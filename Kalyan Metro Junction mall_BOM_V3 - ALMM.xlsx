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xr:revisionPtr revIDLastSave="0" documentId="13_ncr:1_{D9961970-AE82-4BB2-ADE9-9582333800DF}" xr6:coauthVersionLast="47" xr6:coauthVersionMax="47" xr10:uidLastSave="{00000000-0000-0000-0000-000000000000}"/>
  <bookViews>
    <workbookView xWindow="-108" yWindow="-108" windowWidth="23256" windowHeight="12456" tabRatio="863" activeTab="5" xr2:uid="{00000000-000D-0000-FFFF-FFFF00000000}"/>
  </bookViews>
  <sheets>
    <sheet name="Input's from BD(Sales)" sheetId="6" r:id="rId1"/>
    <sheet name="Consumption analysis (BD)" sheetId="24" r:id="rId2"/>
    <sheet name="ESG (Design)" sheetId="26" r:id="rId3"/>
    <sheet name="Input's from Site Visit" sheetId="1" state="veryHidden" r:id="rId4"/>
    <sheet name="Site Vist fomat  (Design)" sheetId="25" r:id="rId5"/>
    <sheet name="Input's from Initial Design" sheetId="2" r:id="rId6"/>
    <sheet name="Cable Calcualtion" sheetId="20" state="hidden" r:id="rId7"/>
    <sheet name="Bidcell BOM (LTS)" sheetId="17" r:id="rId8"/>
    <sheet name="Sheet4" sheetId="32" r:id="rId9"/>
    <sheet name="Sheet3" sheetId="31" state="hidden" r:id="rId10"/>
    <sheet name="Sheet2" sheetId="30" state="hidden" r:id="rId11"/>
    <sheet name="Item's Make" sheetId="19" state="hidden" r:id="rId12"/>
    <sheet name="Sheet1" sheetId="29" state="hidden" r:id="rId13"/>
  </sheets>
  <definedNames>
    <definedName name="_xlnm._FilterDatabase" localSheetId="7" hidden="1">'Bidcell BOM (LTS)'!$A$29:$I$73</definedName>
    <definedName name="_xlchart.v5.0" hidden="1">'Input''s from BD(Sales)'!$A$274</definedName>
    <definedName name="_xlchart.v5.1" hidden="1">'Input''s from BD(Sales)'!$A$275:$A$307</definedName>
    <definedName name="_xlchart.v5.2" hidden="1">'Input''s from BD(Sales)'!$B$274</definedName>
    <definedName name="_xlchart.v5.3" hidden="1">'Input''s from BD(Sales)'!$B$275:$B$307</definedName>
    <definedName name="_xlnm.Print_Area" localSheetId="0">'Input''s from BD(Sales)'!$A$1:$Z$271</definedName>
    <definedName name="_xlnm.Print_Area" localSheetId="4">'Site Vist fomat  (Design)'!$A$1:$G$146</definedName>
    <definedName name="ProjectOptions">'Input''s from BD(Sales)'!$B$167:$D$200</definedName>
    <definedName name="Railing">'Bidcell BOM (LTS)'!#REF!</definedName>
    <definedName name="TN_NOC">'Bidcell BOM (LTS)'!$A$597:$B$612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25" i="2" l="1"/>
  <c r="AL25" i="2"/>
  <c r="AM25" i="2"/>
  <c r="AJ25" i="2"/>
  <c r="AI25" i="2"/>
  <c r="AC25" i="2"/>
  <c r="AA25" i="2"/>
  <c r="Y25" i="2"/>
  <c r="F25" i="2"/>
  <c r="AP25" i="2"/>
  <c r="AE25" i="2"/>
  <c r="E25" i="2"/>
  <c r="E3" i="32"/>
  <c r="D3" i="32"/>
  <c r="D2" i="32"/>
  <c r="B120" i="17"/>
  <c r="B119" i="17"/>
  <c r="B118" i="17"/>
  <c r="B117" i="17"/>
  <c r="B116" i="17"/>
  <c r="B115" i="17"/>
  <c r="B114" i="17"/>
  <c r="B113" i="17"/>
  <c r="B112" i="17"/>
  <c r="B111" i="17"/>
  <c r="B110" i="17"/>
  <c r="B109" i="17"/>
  <c r="B75" i="17"/>
  <c r="B31" i="17"/>
  <c r="C14" i="24" l="1"/>
  <c r="C15" i="24" s="1"/>
  <c r="F12" i="24"/>
  <c r="BH55" i="2" a="1"/>
  <c r="BG55" i="2" a="1"/>
  <c r="BE55" i="2" a="1"/>
  <c r="BD55" i="2" a="1"/>
  <c r="BC55" i="2" a="1"/>
  <c r="BB55" i="2" a="1"/>
  <c r="X25" i="2"/>
  <c r="X143" i="2"/>
  <c r="AV55" i="2" a="1"/>
  <c r="AK55" i="2" a="1"/>
  <c r="AL55" i="2" a="1"/>
  <c r="AM55" i="2" a="1"/>
  <c r="AJ55" i="2" a="1"/>
  <c r="AP55" i="2" a="1"/>
  <c r="G197" i="17"/>
  <c r="AT55" i="2" a="1"/>
  <c r="O180" i="2" a="1"/>
  <c r="O175" i="2" a="1"/>
  <c r="O174" i="2" a="1"/>
  <c r="O173" i="2" a="1"/>
  <c r="O172" i="2" a="1"/>
  <c r="O171" i="2" a="1"/>
  <c r="O170" i="2" a="1"/>
  <c r="C283" i="17" s="1"/>
  <c r="O179" i="2" a="1"/>
  <c r="O178" i="2" a="1"/>
  <c r="O177" i="2" a="1"/>
  <c r="O176" i="2" a="1"/>
  <c r="B213" i="17"/>
  <c r="B212" i="17"/>
  <c r="H152" i="17"/>
  <c r="H143" i="17"/>
  <c r="H555" i="17"/>
  <c r="B163" i="17"/>
  <c r="AF563" i="17"/>
  <c r="B347" i="17"/>
  <c r="BF42" i="2"/>
  <c r="AA166" i="2"/>
  <c r="C168" i="6"/>
  <c r="G63" i="17"/>
  <c r="K21" i="2"/>
  <c r="AQ55" i="2" a="1"/>
  <c r="C140" i="17" s="1"/>
  <c r="B315" i="17"/>
  <c r="L5" i="2"/>
  <c r="C391" i="17"/>
  <c r="G372" i="17"/>
  <c r="G196" i="17"/>
  <c r="B196" i="17" s="1"/>
  <c r="O181" i="2" l="1"/>
  <c r="W498" i="17"/>
  <c r="A754" i="17" s="1"/>
  <c r="W497" i="17"/>
  <c r="A753" i="17" s="1"/>
  <c r="W496" i="17"/>
  <c r="A752" i="17" s="1"/>
  <c r="W495" i="17"/>
  <c r="A751" i="17" s="1"/>
  <c r="W494" i="17"/>
  <c r="A750" i="17" s="1"/>
  <c r="W493" i="17"/>
  <c r="A749" i="17" s="1"/>
  <c r="W492" i="17"/>
  <c r="A748" i="17" s="1"/>
  <c r="W491" i="17"/>
  <c r="A747" i="17" s="1"/>
  <c r="W490" i="17"/>
  <c r="A746" i="17" s="1"/>
  <c r="W489" i="17"/>
  <c r="A745" i="17" s="1"/>
  <c r="W488" i="17"/>
  <c r="A744" i="17" s="1"/>
  <c r="W487" i="17"/>
  <c r="A743" i="17" s="1"/>
  <c r="W486" i="17"/>
  <c r="A742" i="17" s="1"/>
  <c r="W485" i="17"/>
  <c r="A741" i="17" s="1"/>
  <c r="W484" i="17"/>
  <c r="A740" i="17" s="1"/>
  <c r="W483" i="17"/>
  <c r="A739" i="17" s="1"/>
  <c r="W482" i="17"/>
  <c r="A738" i="17" s="1"/>
  <c r="W481" i="17"/>
  <c r="A737" i="17" s="1"/>
  <c r="W480" i="17"/>
  <c r="A736" i="17" s="1"/>
  <c r="W479" i="17"/>
  <c r="A735" i="17" s="1"/>
  <c r="W478" i="17"/>
  <c r="A734" i="17" s="1"/>
  <c r="W477" i="17"/>
  <c r="A733" i="17" s="1"/>
  <c r="B48" i="17"/>
  <c r="C377" i="17" l="1"/>
  <c r="C604" i="17"/>
  <c r="G192" i="17"/>
  <c r="G212" i="2"/>
  <c r="I298" i="2"/>
  <c r="I297" i="2"/>
  <c r="I296" i="2"/>
  <c r="I286" i="2"/>
  <c r="I285" i="2"/>
  <c r="I284" i="2"/>
  <c r="I283" i="2"/>
  <c r="C311" i="17"/>
  <c r="C316" i="17"/>
  <c r="C192" i="17" l="1"/>
  <c r="E192" i="17" s="1"/>
  <c r="C68" i="17"/>
  <c r="B63" i="17"/>
  <c r="K199" i="2"/>
  <c r="K200" i="2"/>
  <c r="K201" i="2"/>
  <c r="K202" i="2"/>
  <c r="K203" i="2"/>
  <c r="K204" i="2"/>
  <c r="K205" i="2"/>
  <c r="K206" i="2"/>
  <c r="K198" i="2"/>
  <c r="B345" i="17"/>
  <c r="AX55" i="2" a="1"/>
  <c r="B87" i="17"/>
  <c r="BA35" i="2"/>
  <c r="BF25" i="2"/>
  <c r="K207" i="2" l="1"/>
  <c r="G163" i="17" s="1"/>
  <c r="L209" i="2"/>
  <c r="B47" i="17"/>
  <c r="B172" i="17" l="1"/>
  <c r="G171" i="17"/>
  <c r="G167" i="17"/>
  <c r="D230" i="6"/>
  <c r="G62" i="17" l="1"/>
  <c r="F212" i="2"/>
  <c r="I48" i="17" a="1"/>
  <c r="G353" i="17"/>
  <c r="C354" i="17" s="1"/>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E16" i="17"/>
  <c r="AG21" i="2"/>
  <c r="AJ21" i="2"/>
  <c r="B522" i="17"/>
  <c r="G363" i="17"/>
  <c r="B321" i="17"/>
  <c r="B319" i="17"/>
  <c r="C353" i="17"/>
  <c r="B313" i="17" l="1"/>
  <c r="B311" i="17"/>
  <c r="P237" i="2"/>
  <c r="O371" i="2"/>
  <c r="O370" i="2"/>
  <c r="O369" i="2"/>
  <c r="O368" i="2"/>
  <c r="O367" i="2"/>
  <c r="O366" i="2"/>
  <c r="O365" i="2"/>
  <c r="O364" i="2"/>
  <c r="O363" i="2"/>
  <c r="O362" i="2"/>
  <c r="O361" i="2"/>
  <c r="AS55" i="2" a="1"/>
  <c r="AR55" i="2" a="1"/>
  <c r="O372" i="2" l="1"/>
  <c r="U281" i="17"/>
  <c r="U279" i="17"/>
  <c r="T275" i="17"/>
  <c r="U275" i="17" s="1"/>
  <c r="R274" i="17"/>
  <c r="U274" i="17" s="1"/>
  <c r="R273" i="17"/>
  <c r="U273" i="17" s="1"/>
  <c r="Q273" i="17"/>
  <c r="N281" i="17"/>
  <c r="N282" i="17" s="1"/>
  <c r="O280" i="17"/>
  <c r="L279" i="17"/>
  <c r="N272" i="17"/>
  <c r="M277" i="17"/>
  <c r="N277" i="17"/>
  <c r="L277" i="17"/>
  <c r="N288" i="17"/>
  <c r="N289" i="17"/>
  <c r="N287" i="17"/>
  <c r="K279" i="17"/>
  <c r="K277" i="17"/>
  <c r="AW55" i="2" a="1"/>
  <c r="C171" i="17" s="1"/>
  <c r="E171" i="17" s="1"/>
  <c r="O277" i="17" l="1"/>
  <c r="L280" i="17"/>
  <c r="U278" i="17"/>
  <c r="U280" i="17" s="1"/>
  <c r="U282" i="17" s="1"/>
  <c r="K275" i="17"/>
  <c r="O279" i="17"/>
  <c r="O281" i="17" s="1"/>
  <c r="O282" i="17" s="1"/>
  <c r="O283" i="17" s="1"/>
  <c r="K282" i="17"/>
  <c r="I228" i="2"/>
  <c r="H237" i="2"/>
  <c r="F237" i="2"/>
  <c r="I237" i="2" s="1"/>
  <c r="L237" i="2" s="1"/>
  <c r="E237" i="2"/>
  <c r="K237" i="2" s="1"/>
  <c r="Q237" i="2" l="1"/>
  <c r="M237" i="2"/>
  <c r="K283" i="17"/>
  <c r="K284" i="17" s="1"/>
  <c r="C10" i="6"/>
  <c r="E275" i="6"/>
  <c r="E187" i="6"/>
  <c r="C188" i="6"/>
  <c r="C189" i="6"/>
  <c r="C190" i="6"/>
  <c r="C191" i="6"/>
  <c r="C192" i="6"/>
  <c r="C193" i="6"/>
  <c r="C194" i="6"/>
  <c r="C195" i="6"/>
  <c r="C196" i="6"/>
  <c r="C197" i="6"/>
  <c r="C198" i="6"/>
  <c r="C199" i="6"/>
  <c r="C200" i="6"/>
  <c r="C187" i="6"/>
  <c r="E176" i="6"/>
  <c r="E168" i="6"/>
  <c r="C186" i="6"/>
  <c r="C185" i="6"/>
  <c r="C184" i="6"/>
  <c r="C183" i="6"/>
  <c r="C182" i="6"/>
  <c r="C181" i="6"/>
  <c r="C180" i="6"/>
  <c r="C179" i="6"/>
  <c r="C178" i="6"/>
  <c r="C177" i="6"/>
  <c r="C176" i="6"/>
  <c r="C175" i="6"/>
  <c r="C174" i="6"/>
  <c r="C173" i="6"/>
  <c r="C172" i="6"/>
  <c r="C171" i="6"/>
  <c r="C170" i="6"/>
  <c r="C169" i="6"/>
  <c r="B193" i="6"/>
  <c r="B194" i="6"/>
  <c r="B195" i="6"/>
  <c r="B196" i="6"/>
  <c r="B192" i="6"/>
  <c r="B183" i="6"/>
  <c r="B182" i="6"/>
  <c r="B181" i="6"/>
  <c r="B180" i="6"/>
  <c r="B173" i="6"/>
  <c r="B172" i="6"/>
  <c r="B171" i="6"/>
  <c r="B175" i="6"/>
  <c r="B174" i="6"/>
  <c r="B170" i="6"/>
  <c r="B169" i="6"/>
  <c r="B168" i="6"/>
  <c r="B185" i="6"/>
  <c r="B186" i="6"/>
  <c r="B187" i="6"/>
  <c r="B184" i="6"/>
  <c r="B177" i="6"/>
  <c r="B178" i="6"/>
  <c r="B179" i="6"/>
  <c r="B176" i="6"/>
  <c r="B198" i="6"/>
  <c r="B199" i="6"/>
  <c r="B200" i="6"/>
  <c r="B197" i="6"/>
  <c r="B188" i="6"/>
  <c r="B189" i="6"/>
  <c r="B190" i="6"/>
  <c r="B191" i="6"/>
  <c r="F168" i="6" l="1" a="1"/>
  <c r="F187" i="6" a="1"/>
  <c r="F176" i="6" a="1"/>
  <c r="E506" i="2"/>
  <c r="E505" i="2"/>
  <c r="E504" i="2"/>
  <c r="E503" i="2"/>
  <c r="E502" i="2"/>
  <c r="E501" i="2"/>
  <c r="E500" i="2"/>
  <c r="E499" i="2"/>
  <c r="E498" i="2"/>
  <c r="E497" i="2"/>
  <c r="E496" i="2"/>
  <c r="E495" i="2"/>
  <c r="E494" i="2"/>
  <c r="AY55" i="2" a="1"/>
  <c r="I14" i="2" l="1"/>
  <c r="C265" i="17"/>
  <c r="F55" i="2"/>
  <c r="C196" i="17"/>
  <c r="C314" i="17" l="1"/>
  <c r="C312" i="17"/>
  <c r="C198" i="17"/>
  <c r="R140" i="2"/>
  <c r="C170" i="17" s="1"/>
  <c r="E170" i="17" s="1"/>
  <c r="R139" i="2"/>
  <c r="C169" i="17" s="1"/>
  <c r="E169" i="17" s="1"/>
  <c r="R138" i="2"/>
  <c r="C168" i="17" s="1"/>
  <c r="E168" i="17" s="1"/>
  <c r="R137" i="2" a="1"/>
  <c r="C167" i="17" s="1"/>
  <c r="E167" i="17" s="1"/>
  <c r="BA54" i="2"/>
  <c r="BA53" i="2"/>
  <c r="BA52" i="2"/>
  <c r="BA51" i="2"/>
  <c r="BA50" i="2"/>
  <c r="BA49" i="2"/>
  <c r="BA48" i="2"/>
  <c r="BA47" i="2"/>
  <c r="BA46" i="2"/>
  <c r="BA45" i="2"/>
  <c r="BA44" i="2"/>
  <c r="BA43" i="2"/>
  <c r="BA42" i="2"/>
  <c r="BA41" i="2"/>
  <c r="BA40" i="2"/>
  <c r="BA39" i="2"/>
  <c r="BA38" i="2"/>
  <c r="BA37" i="2"/>
  <c r="BA36" i="2"/>
  <c r="BA34" i="2"/>
  <c r="BA33" i="2"/>
  <c r="BA32" i="2"/>
  <c r="BA31" i="2"/>
  <c r="BA30" i="2"/>
  <c r="BA29" i="2"/>
  <c r="BA28" i="2"/>
  <c r="BA27" i="2"/>
  <c r="BA26" i="2"/>
  <c r="BA25" i="2"/>
  <c r="H21" i="2"/>
  <c r="D20" i="2"/>
  <c r="I12" i="2"/>
  <c r="G397" i="17"/>
  <c r="C222" i="17" a="1"/>
  <c r="B275" i="6" l="1"/>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C15" i="6"/>
  <c r="H192" i="17"/>
  <c r="C221" i="17" l="1" a="1"/>
  <c r="G44" i="17" l="1"/>
  <c r="E7" i="17" l="1"/>
  <c r="V55" i="2" l="1"/>
  <c r="C233" i="17" s="1"/>
  <c r="B57" i="17" l="1"/>
  <c r="G387" i="17" l="1"/>
  <c r="G386" i="17"/>
  <c r="H391" i="17"/>
  <c r="H181" i="17" l="1"/>
  <c r="B181" i="17"/>
  <c r="H127" i="17"/>
  <c r="G93" i="17"/>
  <c r="C278" i="17" l="1"/>
  <c r="G87" i="17"/>
  <c r="C287" i="17"/>
  <c r="C282" i="17"/>
  <c r="G88" i="17"/>
  <c r="C288" i="17"/>
  <c r="G85" i="17"/>
  <c r="C280" i="17"/>
  <c r="C285" i="17"/>
  <c r="G86" i="17"/>
  <c r="C281" i="17"/>
  <c r="C286" i="17"/>
  <c r="G89" i="17"/>
  <c r="C289" i="17"/>
  <c r="G90" i="17"/>
  <c r="C290" i="17"/>
  <c r="G91" i="17"/>
  <c r="C291" i="17"/>
  <c r="G84" i="17"/>
  <c r="C284" i="17"/>
  <c r="C279" i="17"/>
  <c r="G92" i="17"/>
  <c r="C292" i="17"/>
  <c r="G83" i="17"/>
  <c r="G7" i="17"/>
  <c r="G352" i="17"/>
  <c r="G355" i="17"/>
  <c r="C124" i="17"/>
  <c r="Q200" i="2" a="1"/>
  <c r="Q199" i="2" a="1"/>
  <c r="C123" i="17" s="1"/>
  <c r="G307" i="17"/>
  <c r="BF54" i="2"/>
  <c r="BF53" i="2"/>
  <c r="BF52" i="2"/>
  <c r="BF51" i="2"/>
  <c r="BF50" i="2"/>
  <c r="BF49" i="2"/>
  <c r="BF48" i="2"/>
  <c r="BF47" i="2"/>
  <c r="BF46" i="2"/>
  <c r="BF45" i="2"/>
  <c r="BF44" i="2"/>
  <c r="BF43" i="2"/>
  <c r="BF41" i="2"/>
  <c r="BF40" i="2"/>
  <c r="BF39" i="2"/>
  <c r="BF38" i="2"/>
  <c r="BF37" i="2"/>
  <c r="BF36" i="2"/>
  <c r="BF35" i="2"/>
  <c r="BF34" i="2"/>
  <c r="BF33" i="2"/>
  <c r="BF32" i="2"/>
  <c r="BF31" i="2"/>
  <c r="BF30" i="2"/>
  <c r="BF29" i="2"/>
  <c r="BF28" i="2"/>
  <c r="BF27" i="2"/>
  <c r="BF26" i="2"/>
  <c r="BF55" i="2" l="1" a="1"/>
  <c r="B166" i="17"/>
  <c r="H166" i="17" s="1"/>
  <c r="G123" i="17"/>
  <c r="U60" i="2"/>
  <c r="C308" i="17"/>
  <c r="G308" i="17" l="1"/>
  <c r="D123" i="2"/>
  <c r="E335" i="2" l="1"/>
  <c r="F335" i="2" s="1"/>
  <c r="AA161" i="2" l="1"/>
  <c r="O9" i="2"/>
  <c r="O8" i="2"/>
  <c r="M11" i="2"/>
  <c r="M12" i="2"/>
  <c r="O12" i="2"/>
  <c r="C24" i="6"/>
  <c r="C25" i="6" s="1"/>
  <c r="C26" i="6" s="1"/>
  <c r="C352" i="17"/>
  <c r="C351" i="17" s="1"/>
  <c r="M125" i="17"/>
  <c r="L112" i="17"/>
  <c r="L126" i="17"/>
  <c r="L125" i="17"/>
  <c r="C237" i="17" l="1"/>
  <c r="C236" i="17" s="1"/>
  <c r="G21" i="17" l="1"/>
  <c r="H139" i="17"/>
  <c r="H134" i="17"/>
  <c r="B134" i="17" s="1"/>
  <c r="B136" i="17" l="1"/>
  <c r="F8" i="30" l="1"/>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G366" i="2" l="1"/>
  <c r="G365" i="2"/>
  <c r="G364" i="2"/>
  <c r="G363" i="2"/>
  <c r="G362" i="2"/>
  <c r="G361" i="2"/>
  <c r="G360" i="2"/>
  <c r="F373" i="2"/>
  <c r="F372" i="2"/>
  <c r="F371" i="2"/>
  <c r="F370" i="2"/>
  <c r="F368" i="2"/>
  <c r="F369" i="2"/>
  <c r="F367" i="2"/>
  <c r="F365" i="2"/>
  <c r="F366" i="2"/>
  <c r="F364" i="2"/>
  <c r="F363" i="2"/>
  <c r="F362" i="2"/>
  <c r="F361" i="2"/>
  <c r="F360" i="2"/>
  <c r="H603" i="17"/>
  <c r="H602" i="17"/>
  <c r="H601" i="17"/>
  <c r="B135" i="17" s="1"/>
  <c r="H611" i="17"/>
  <c r="H610" i="17"/>
  <c r="H609" i="17"/>
  <c r="H608" i="17"/>
  <c r="H607" i="17"/>
  <c r="B140" i="17" s="1"/>
  <c r="E140" i="17" s="1"/>
  <c r="H606" i="17"/>
  <c r="C654" i="17"/>
  <c r="C653" i="17"/>
  <c r="C652" i="17"/>
  <c r="C650" i="17"/>
  <c r="C649" i="17"/>
  <c r="C648" i="17"/>
  <c r="C646" i="17"/>
  <c r="C645" i="17"/>
  <c r="C644" i="17"/>
  <c r="C642" i="17"/>
  <c r="C641" i="17"/>
  <c r="C640" i="17"/>
  <c r="C638" i="17"/>
  <c r="C637" i="17"/>
  <c r="C636" i="17"/>
  <c r="C634" i="17"/>
  <c r="C633" i="17"/>
  <c r="C632" i="17"/>
  <c r="C630" i="17"/>
  <c r="C629" i="17"/>
  <c r="C628" i="17"/>
  <c r="G646" i="17"/>
  <c r="G638" i="17"/>
  <c r="H638" i="17" s="1"/>
  <c r="B630" i="17"/>
  <c r="B634" i="17" l="1"/>
  <c r="B152" i="17"/>
  <c r="B143" i="17"/>
  <c r="B9" i="30"/>
  <c r="B557" i="17"/>
  <c r="B558" i="17"/>
  <c r="B563" i="17"/>
  <c r="B564" i="17"/>
  <c r="B638" i="17" l="1"/>
  <c r="B145" i="17" s="1"/>
  <c r="B153" i="17"/>
  <c r="B144" i="17"/>
  <c r="B585" i="17"/>
  <c r="B663" i="17"/>
  <c r="D663" i="17"/>
  <c r="P232" i="2"/>
  <c r="B642" i="17" l="1"/>
  <c r="B155" i="17" s="1"/>
  <c r="B154" i="17"/>
  <c r="B380" i="17"/>
  <c r="H353" i="2"/>
  <c r="I353" i="2" s="1"/>
  <c r="H345" i="2"/>
  <c r="I345" i="2" s="1"/>
  <c r="A1" i="30"/>
  <c r="AI55" i="2"/>
  <c r="C250" i="17" l="1"/>
  <c r="B646" i="17"/>
  <c r="B146" i="17"/>
  <c r="B125" i="17"/>
  <c r="A125" i="17" s="1"/>
  <c r="B650" i="17" l="1"/>
  <c r="B156" i="17"/>
  <c r="B147" i="17"/>
  <c r="G20" i="17"/>
  <c r="C6" i="2"/>
  <c r="B654" i="17" l="1"/>
  <c r="B157" i="17"/>
  <c r="B148" i="17"/>
  <c r="H19" i="29"/>
  <c r="H20" i="29" s="1"/>
  <c r="H18" i="29"/>
  <c r="H12" i="29"/>
  <c r="H17" i="29"/>
  <c r="H15" i="29"/>
  <c r="H13" i="29"/>
  <c r="H14" i="29" s="1"/>
  <c r="H16" i="29" s="1"/>
  <c r="F21" i="29"/>
  <c r="E22" i="29"/>
  <c r="F22" i="29"/>
  <c r="H25" i="29"/>
  <c r="C43" i="19"/>
  <c r="C48" i="19"/>
  <c r="C45" i="19"/>
  <c r="C47" i="19" s="1"/>
  <c r="E85" i="29"/>
  <c r="H26" i="29"/>
  <c r="H85" i="29" s="1"/>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C25" i="29"/>
  <c r="C26" i="29" s="1"/>
  <c r="C27" i="29" s="1"/>
  <c r="C28" i="29" s="1"/>
  <c r="C29" i="29" s="1"/>
  <c r="C30" i="29" s="1"/>
  <c r="C31" i="29" s="1"/>
  <c r="C32" i="29" s="1"/>
  <c r="C33" i="29" s="1"/>
  <c r="C34" i="29" s="1"/>
  <c r="C35" i="29" s="1"/>
  <c r="C36" i="29" s="1"/>
  <c r="C37" i="29" s="1"/>
  <c r="C38" i="29" s="1"/>
  <c r="C39" i="29" s="1"/>
  <c r="C40" i="29" s="1"/>
  <c r="C41" i="29" s="1"/>
  <c r="C42" i="29" s="1"/>
  <c r="C43" i="29" s="1"/>
  <c r="C44" i="29" s="1"/>
  <c r="C45" i="29" s="1"/>
  <c r="C46" i="29" s="1"/>
  <c r="C47" i="29" s="1"/>
  <c r="C48" i="29" s="1"/>
  <c r="C49" i="29" s="1"/>
  <c r="C50" i="29" s="1"/>
  <c r="C51" i="29" s="1"/>
  <c r="C52" i="29" s="1"/>
  <c r="C53" i="29" s="1"/>
  <c r="C54" i="29" s="1"/>
  <c r="C55" i="29" s="1"/>
  <c r="C56" i="29" s="1"/>
  <c r="C57" i="29" s="1"/>
  <c r="C58" i="29" s="1"/>
  <c r="C59" i="29" s="1"/>
  <c r="C60" i="29" s="1"/>
  <c r="C61" i="29" s="1"/>
  <c r="C62" i="29" s="1"/>
  <c r="C63" i="29" s="1"/>
  <c r="C64" i="29" s="1"/>
  <c r="C65" i="29" s="1"/>
  <c r="C66" i="29" s="1"/>
  <c r="C67" i="29" s="1"/>
  <c r="C68" i="29" s="1"/>
  <c r="C69" i="29" s="1"/>
  <c r="C70" i="29" s="1"/>
  <c r="C71" i="29" s="1"/>
  <c r="C72" i="29" s="1"/>
  <c r="C73" i="29" s="1"/>
  <c r="C74" i="29" s="1"/>
  <c r="C75" i="29" s="1"/>
  <c r="C76" i="29" s="1"/>
  <c r="C77" i="29" s="1"/>
  <c r="C78" i="29" s="1"/>
  <c r="C79" i="29" s="1"/>
  <c r="C80" i="29" s="1"/>
  <c r="C81" i="29" s="1"/>
  <c r="C82" i="29" s="1"/>
  <c r="C83" i="29" s="1"/>
  <c r="C84" i="29" s="1"/>
  <c r="F24" i="29"/>
  <c r="F25" i="29" s="1"/>
  <c r="F26" i="29" s="1"/>
  <c r="F27" i="29" s="1"/>
  <c r="F28" i="29" s="1"/>
  <c r="F29" i="29" s="1"/>
  <c r="F30" i="29" s="1"/>
  <c r="F31" i="29" s="1"/>
  <c r="F32" i="29" s="1"/>
  <c r="F33" i="29" s="1"/>
  <c r="F34" i="29" s="1"/>
  <c r="F35" i="29" s="1"/>
  <c r="F36" i="29" s="1"/>
  <c r="F37" i="29" s="1"/>
  <c r="F38" i="29" s="1"/>
  <c r="F39" i="29" s="1"/>
  <c r="F40" i="29" s="1"/>
  <c r="F41" i="29" s="1"/>
  <c r="F42" i="29" s="1"/>
  <c r="F43" i="29" s="1"/>
  <c r="F44" i="29" s="1"/>
  <c r="F45" i="29" s="1"/>
  <c r="F46" i="29" s="1"/>
  <c r="F47" i="29" s="1"/>
  <c r="F48" i="29" s="1"/>
  <c r="F49" i="29" s="1"/>
  <c r="F50" i="29" s="1"/>
  <c r="F51" i="29" s="1"/>
  <c r="F52" i="29" s="1"/>
  <c r="F53" i="29" s="1"/>
  <c r="F54" i="29" s="1"/>
  <c r="F55" i="29" s="1"/>
  <c r="F56" i="29" s="1"/>
  <c r="F57" i="29" s="1"/>
  <c r="F58" i="29" s="1"/>
  <c r="F59" i="29" s="1"/>
  <c r="F60" i="29" s="1"/>
  <c r="F61" i="29" s="1"/>
  <c r="F62" i="29" s="1"/>
  <c r="F63" i="29" s="1"/>
  <c r="F64" i="29" s="1"/>
  <c r="F65" i="29" s="1"/>
  <c r="F66" i="29" s="1"/>
  <c r="F67" i="29" s="1"/>
  <c r="F68" i="29" s="1"/>
  <c r="F69" i="29" s="1"/>
  <c r="F70" i="29" s="1"/>
  <c r="D24" i="29"/>
  <c r="B85" i="29"/>
  <c r="A27" i="29"/>
  <c r="A28" i="29" s="1"/>
  <c r="A29" i="29" s="1"/>
  <c r="A30" i="29" s="1"/>
  <c r="A31" i="29" s="1"/>
  <c r="A32" i="29" s="1"/>
  <c r="A33" i="29" s="1"/>
  <c r="A34" i="29" s="1"/>
  <c r="A35" i="29" s="1"/>
  <c r="A36" i="29" s="1"/>
  <c r="A37" i="29" s="1"/>
  <c r="A38" i="29" s="1"/>
  <c r="A39" i="29" s="1"/>
  <c r="A40" i="29" s="1"/>
  <c r="A41" i="29" s="1"/>
  <c r="A42" i="29" s="1"/>
  <c r="A43" i="29" s="1"/>
  <c r="A44" i="29" s="1"/>
  <c r="A45" i="29" s="1"/>
  <c r="A46" i="29" s="1"/>
  <c r="A47" i="29" s="1"/>
  <c r="A48" i="29" s="1"/>
  <c r="A49" i="29" s="1"/>
  <c r="A50" i="29" s="1"/>
  <c r="A51" i="29" s="1"/>
  <c r="A52" i="29" s="1"/>
  <c r="A53" i="29" s="1"/>
  <c r="A54" i="29" s="1"/>
  <c r="A55" i="29" s="1"/>
  <c r="A56" i="29" s="1"/>
  <c r="A57" i="29" s="1"/>
  <c r="A58" i="29" s="1"/>
  <c r="A59" i="29" s="1"/>
  <c r="A60" i="29" s="1"/>
  <c r="A61" i="29" s="1"/>
  <c r="A62" i="29" s="1"/>
  <c r="A63" i="29" s="1"/>
  <c r="A64" i="29" s="1"/>
  <c r="A65" i="29" s="1"/>
  <c r="A66" i="29" s="1"/>
  <c r="A67" i="29" s="1"/>
  <c r="A68" i="29" s="1"/>
  <c r="A69" i="29" s="1"/>
  <c r="A70" i="29" s="1"/>
  <c r="A71" i="29" s="1"/>
  <c r="A72" i="29" s="1"/>
  <c r="A73" i="29" s="1"/>
  <c r="A74" i="29" s="1"/>
  <c r="A75" i="29" s="1"/>
  <c r="A76" i="29" s="1"/>
  <c r="A77" i="29" s="1"/>
  <c r="A78" i="29" s="1"/>
  <c r="A79" i="29" s="1"/>
  <c r="A80" i="29" s="1"/>
  <c r="A81" i="29" s="1"/>
  <c r="A82" i="29" s="1"/>
  <c r="A83" i="29" s="1"/>
  <c r="A84" i="29" s="1"/>
  <c r="A26" i="29"/>
  <c r="C44" i="19"/>
  <c r="C42" i="19"/>
  <c r="B39" i="19" s="1"/>
  <c r="B40" i="19" s="1"/>
  <c r="B43" i="19" s="1"/>
  <c r="C41" i="19"/>
  <c r="B158" i="17" l="1"/>
  <c r="B149" i="17"/>
  <c r="G22" i="29"/>
  <c r="H22" i="29" s="1"/>
  <c r="G21" i="29"/>
  <c r="H21" i="29" s="1"/>
  <c r="C39" i="19"/>
  <c r="C40" i="19" s="1"/>
  <c r="F295" i="2" l="1"/>
  <c r="K295" i="2"/>
  <c r="M295" i="2" s="1"/>
  <c r="P295" i="2"/>
  <c r="L296" i="2"/>
  <c r="K296" i="2"/>
  <c r="M296" i="2" s="1"/>
  <c r="P296" i="2"/>
  <c r="L297" i="2"/>
  <c r="K297" i="2"/>
  <c r="M297" i="2" s="1"/>
  <c r="P297" i="2"/>
  <c r="L298" i="2"/>
  <c r="K298" i="2"/>
  <c r="M298" i="2" s="1"/>
  <c r="P298" i="2"/>
  <c r="L283" i="2"/>
  <c r="K283" i="2"/>
  <c r="M283" i="2" s="1"/>
  <c r="P283" i="2"/>
  <c r="L284" i="2"/>
  <c r="K284" i="2"/>
  <c r="M284" i="2" s="1"/>
  <c r="P284" i="2"/>
  <c r="L285" i="2"/>
  <c r="K285" i="2"/>
  <c r="M285" i="2" s="1"/>
  <c r="P285" i="2"/>
  <c r="L286" i="2"/>
  <c r="K286" i="2"/>
  <c r="M286" i="2" s="1"/>
  <c r="P286" i="2"/>
  <c r="G35" i="19"/>
  <c r="G42" i="19"/>
  <c r="F42" i="19"/>
  <c r="F41" i="19"/>
  <c r="I295" i="2" l="1"/>
  <c r="L295" i="2" s="1"/>
  <c r="Q295" i="2" s="1"/>
  <c r="Q297" i="2"/>
  <c r="Q284" i="2"/>
  <c r="Q298" i="2"/>
  <c r="Q296" i="2"/>
  <c r="Q286" i="2"/>
  <c r="Q285" i="2"/>
  <c r="Q283" i="2"/>
  <c r="E37" i="19"/>
  <c r="E36" i="19"/>
  <c r="D41" i="19"/>
  <c r="F45" i="19"/>
  <c r="F44" i="19"/>
  <c r="D36" i="19" l="1"/>
  <c r="D53" i="19"/>
  <c r="F36" i="19"/>
  <c r="G55" i="19"/>
  <c r="F58" i="19"/>
  <c r="E59" i="19"/>
  <c r="E58" i="19"/>
  <c r="E63" i="19" s="1"/>
  <c r="E64" i="19" s="1"/>
  <c r="D59" i="19"/>
  <c r="D58" i="19"/>
  <c r="D63" i="19" s="1"/>
  <c r="D52" i="19"/>
  <c r="D51" i="19"/>
  <c r="D48" i="19"/>
  <c r="D47" i="19"/>
  <c r="D46" i="19"/>
  <c r="D43" i="19"/>
  <c r="D40" i="19"/>
  <c r="D44" i="19" s="1"/>
  <c r="D39" i="19"/>
  <c r="D38" i="19"/>
  <c r="B189" i="17" l="1"/>
  <c r="E4" i="29" l="1"/>
  <c r="E5" i="29"/>
  <c r="E6" i="29"/>
  <c r="E7" i="29"/>
  <c r="E8" i="29"/>
  <c r="E9" i="29"/>
  <c r="E10" i="29"/>
  <c r="E11" i="29"/>
  <c r="E12" i="29"/>
  <c r="E13" i="29"/>
  <c r="E14" i="29"/>
  <c r="E15" i="29"/>
  <c r="E16" i="29"/>
  <c r="E17" i="29"/>
  <c r="E18" i="29"/>
  <c r="E3" i="29"/>
  <c r="A5" i="29"/>
  <c r="A6" i="29" s="1"/>
  <c r="A7" i="29" s="1"/>
  <c r="A8" i="29" s="1"/>
  <c r="A9" i="29" s="1"/>
  <c r="A10" i="29" s="1"/>
  <c r="A11" i="29" s="1"/>
  <c r="A12" i="29" s="1"/>
  <c r="A13" i="29" s="1"/>
  <c r="A14" i="29" s="1"/>
  <c r="A15" i="29" s="1"/>
  <c r="A16" i="29" s="1"/>
  <c r="A17" i="29" s="1"/>
  <c r="A18" i="29" s="1"/>
  <c r="A4" i="29"/>
  <c r="I234" i="2" l="1"/>
  <c r="I235" i="2"/>
  <c r="I236"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7" i="2"/>
  <c r="I288" i="2"/>
  <c r="I289" i="2"/>
  <c r="I290" i="2"/>
  <c r="I291" i="2"/>
  <c r="I292" i="2"/>
  <c r="I293" i="2"/>
  <c r="I294"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P270" i="2" l="1"/>
  <c r="I233" i="2"/>
  <c r="I229" i="2"/>
  <c r="I230" i="2"/>
  <c r="I231" i="2"/>
  <c r="I232" i="2"/>
  <c r="I227" i="2"/>
  <c r="I226" i="2"/>
  <c r="I225" i="2"/>
  <c r="P273" i="2" l="1"/>
  <c r="F7" i="2" l="1"/>
  <c r="F8" i="2"/>
  <c r="C199" i="17" l="1"/>
  <c r="K246" i="2" l="1"/>
  <c r="B378" i="17" l="1"/>
  <c r="K266" i="2" l="1"/>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4" i="2"/>
  <c r="P293" i="2"/>
  <c r="P292" i="2"/>
  <c r="P291" i="2"/>
  <c r="P290" i="2"/>
  <c r="P289" i="2"/>
  <c r="P288" i="2"/>
  <c r="P287" i="2"/>
  <c r="P282" i="2"/>
  <c r="P281" i="2"/>
  <c r="P280" i="2"/>
  <c r="P279" i="2"/>
  <c r="P278" i="2"/>
  <c r="P277" i="2"/>
  <c r="P276" i="2"/>
  <c r="P275" i="2"/>
  <c r="P274" i="2"/>
  <c r="P272" i="2"/>
  <c r="P271"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6" i="2"/>
  <c r="P235" i="2"/>
  <c r="P234" i="2"/>
  <c r="P233" i="2"/>
  <c r="P231" i="2"/>
  <c r="P230" i="2"/>
  <c r="P229" i="2"/>
  <c r="P228" i="2"/>
  <c r="P227" i="2"/>
  <c r="P226" i="2"/>
  <c r="P225" i="2"/>
  <c r="L330" i="2"/>
  <c r="M330" i="2" s="1"/>
  <c r="K330" i="2"/>
  <c r="L329" i="2"/>
  <c r="M329" i="2" s="1"/>
  <c r="K329" i="2"/>
  <c r="L328" i="2"/>
  <c r="M328" i="2" s="1"/>
  <c r="K328" i="2"/>
  <c r="L327" i="2"/>
  <c r="M327" i="2" s="1"/>
  <c r="K327" i="2"/>
  <c r="L326" i="2"/>
  <c r="M326" i="2" s="1"/>
  <c r="K326" i="2"/>
  <c r="L325" i="2"/>
  <c r="K325" i="2"/>
  <c r="L324" i="2"/>
  <c r="M324" i="2" s="1"/>
  <c r="K324" i="2"/>
  <c r="L323" i="2"/>
  <c r="M323" i="2" s="1"/>
  <c r="K323" i="2"/>
  <c r="L322" i="2"/>
  <c r="M322" i="2" s="1"/>
  <c r="K322" i="2"/>
  <c r="L321" i="2"/>
  <c r="M321" i="2" s="1"/>
  <c r="K321" i="2"/>
  <c r="L320" i="2"/>
  <c r="M320" i="2" s="1"/>
  <c r="K320" i="2"/>
  <c r="L319" i="2"/>
  <c r="M319" i="2" s="1"/>
  <c r="K319" i="2"/>
  <c r="L318" i="2"/>
  <c r="M318" i="2" s="1"/>
  <c r="K318" i="2"/>
  <c r="L317" i="2"/>
  <c r="M317" i="2" s="1"/>
  <c r="K317" i="2"/>
  <c r="L316" i="2"/>
  <c r="M316" i="2" s="1"/>
  <c r="K316" i="2"/>
  <c r="L315" i="2"/>
  <c r="M315" i="2" s="1"/>
  <c r="K315" i="2"/>
  <c r="L314" i="2"/>
  <c r="M314" i="2" s="1"/>
  <c r="K314" i="2"/>
  <c r="L313" i="2"/>
  <c r="M313" i="2" s="1"/>
  <c r="K313" i="2"/>
  <c r="L312" i="2"/>
  <c r="M312" i="2" s="1"/>
  <c r="K312" i="2"/>
  <c r="L311" i="2"/>
  <c r="M311" i="2" s="1"/>
  <c r="K311" i="2"/>
  <c r="L310" i="2"/>
  <c r="M310" i="2" s="1"/>
  <c r="K310" i="2"/>
  <c r="L309" i="2"/>
  <c r="M309" i="2" s="1"/>
  <c r="K309" i="2"/>
  <c r="L308" i="2"/>
  <c r="M308" i="2" s="1"/>
  <c r="K308" i="2"/>
  <c r="L307" i="2"/>
  <c r="M307" i="2" s="1"/>
  <c r="K307" i="2"/>
  <c r="L306" i="2"/>
  <c r="M306" i="2" s="1"/>
  <c r="K306" i="2"/>
  <c r="L305" i="2"/>
  <c r="M305" i="2" s="1"/>
  <c r="K305" i="2"/>
  <c r="L304" i="2"/>
  <c r="M304" i="2" s="1"/>
  <c r="K304" i="2"/>
  <c r="L303" i="2"/>
  <c r="M303" i="2" s="1"/>
  <c r="K303" i="2"/>
  <c r="K302" i="2"/>
  <c r="K301" i="2"/>
  <c r="K300" i="2"/>
  <c r="L299" i="2"/>
  <c r="M299" i="2" s="1"/>
  <c r="K299" i="2"/>
  <c r="L290" i="2"/>
  <c r="M290" i="2" s="1"/>
  <c r="K290" i="2"/>
  <c r="L289" i="2"/>
  <c r="M289" i="2" s="1"/>
  <c r="K289" i="2"/>
  <c r="L288" i="2"/>
  <c r="M288" i="2" s="1"/>
  <c r="K288" i="2"/>
  <c r="L287" i="2"/>
  <c r="M287" i="2" s="1"/>
  <c r="K287" i="2"/>
  <c r="L282" i="2"/>
  <c r="M282" i="2" s="1"/>
  <c r="K282" i="2"/>
  <c r="L281" i="2"/>
  <c r="M281" i="2" s="1"/>
  <c r="K281" i="2"/>
  <c r="L280" i="2"/>
  <c r="M280" i="2" s="1"/>
  <c r="K280" i="2"/>
  <c r="L279" i="2"/>
  <c r="M279" i="2" s="1"/>
  <c r="K279" i="2"/>
  <c r="L278" i="2"/>
  <c r="M278" i="2" s="1"/>
  <c r="K278" i="2"/>
  <c r="L277" i="2"/>
  <c r="M277" i="2" s="1"/>
  <c r="K277" i="2"/>
  <c r="L276" i="2"/>
  <c r="M276" i="2" s="1"/>
  <c r="K276" i="2"/>
  <c r="L275" i="2"/>
  <c r="M275" i="2" s="1"/>
  <c r="K275" i="2"/>
  <c r="L274" i="2"/>
  <c r="M274" i="2" s="1"/>
  <c r="K274" i="2"/>
  <c r="L273" i="2"/>
  <c r="M273" i="2" s="1"/>
  <c r="K273" i="2"/>
  <c r="L272" i="2"/>
  <c r="M272" i="2" s="1"/>
  <c r="K272" i="2"/>
  <c r="L271" i="2"/>
  <c r="M271" i="2" s="1"/>
  <c r="K271" i="2"/>
  <c r="L269" i="2"/>
  <c r="M269" i="2" s="1"/>
  <c r="K269" i="2"/>
  <c r="K268" i="2"/>
  <c r="K267" i="2"/>
  <c r="L265" i="2"/>
  <c r="M265" i="2" s="1"/>
  <c r="K265" i="2"/>
  <c r="L264" i="2"/>
  <c r="M264" i="2" s="1"/>
  <c r="K264" i="2"/>
  <c r="L263" i="2"/>
  <c r="M263" i="2" s="1"/>
  <c r="K263" i="2"/>
  <c r="L262" i="2"/>
  <c r="M262" i="2" s="1"/>
  <c r="K262" i="2"/>
  <c r="L261" i="2"/>
  <c r="M261" i="2" s="1"/>
  <c r="K261" i="2"/>
  <c r="L260" i="2"/>
  <c r="M260" i="2" s="1"/>
  <c r="K260" i="2"/>
  <c r="L259" i="2"/>
  <c r="M259" i="2" s="1"/>
  <c r="K259" i="2"/>
  <c r="L258" i="2"/>
  <c r="M258" i="2" s="1"/>
  <c r="K258" i="2"/>
  <c r="L257" i="2"/>
  <c r="M257" i="2" s="1"/>
  <c r="K257" i="2"/>
  <c r="L256" i="2"/>
  <c r="M256" i="2" s="1"/>
  <c r="K256" i="2"/>
  <c r="L255" i="2"/>
  <c r="M255" i="2" s="1"/>
  <c r="K255" i="2"/>
  <c r="L254" i="2"/>
  <c r="M254" i="2" s="1"/>
  <c r="K254" i="2"/>
  <c r="L253" i="2"/>
  <c r="M253" i="2" s="1"/>
  <c r="K253" i="2"/>
  <c r="L252" i="2"/>
  <c r="M252" i="2" s="1"/>
  <c r="K252" i="2"/>
  <c r="L251" i="2"/>
  <c r="M251" i="2" s="1"/>
  <c r="K251" i="2"/>
  <c r="L250" i="2"/>
  <c r="M250" i="2" s="1"/>
  <c r="K250" i="2"/>
  <c r="L249" i="2"/>
  <c r="M249" i="2" s="1"/>
  <c r="K249" i="2"/>
  <c r="L248" i="2"/>
  <c r="M248" i="2" s="1"/>
  <c r="K248" i="2"/>
  <c r="L247" i="2"/>
  <c r="M247" i="2" s="1"/>
  <c r="K247" i="2"/>
  <c r="L246" i="2"/>
  <c r="M246" i="2" s="1"/>
  <c r="L245" i="2"/>
  <c r="M245" i="2" s="1"/>
  <c r="K245" i="2"/>
  <c r="L244" i="2"/>
  <c r="M244" i="2" s="1"/>
  <c r="K244" i="2"/>
  <c r="L243" i="2"/>
  <c r="M243" i="2" s="1"/>
  <c r="K243" i="2"/>
  <c r="L242" i="2"/>
  <c r="M242" i="2" s="1"/>
  <c r="K242" i="2"/>
  <c r="L241" i="2"/>
  <c r="M241" i="2" s="1"/>
  <c r="K241" i="2"/>
  <c r="L240" i="2"/>
  <c r="M240" i="2" s="1"/>
  <c r="K240" i="2"/>
  <c r="L239" i="2"/>
  <c r="M239" i="2" s="1"/>
  <c r="K239" i="2"/>
  <c r="L238" i="2"/>
  <c r="M238" i="2" s="1"/>
  <c r="K238" i="2"/>
  <c r="L236" i="2"/>
  <c r="M236" i="2" s="1"/>
  <c r="K236" i="2"/>
  <c r="L235" i="2"/>
  <c r="K235" i="2"/>
  <c r="L234" i="2"/>
  <c r="K234" i="2"/>
  <c r="L233" i="2"/>
  <c r="M233" i="2" s="1"/>
  <c r="K233" i="2"/>
  <c r="L232" i="2"/>
  <c r="M232" i="2" s="1"/>
  <c r="K232" i="2"/>
  <c r="L231" i="2"/>
  <c r="K231" i="2"/>
  <c r="L230" i="2"/>
  <c r="K230" i="2"/>
  <c r="L229" i="2"/>
  <c r="M229" i="2" s="1"/>
  <c r="K229" i="2"/>
  <c r="L302" i="2"/>
  <c r="L301" i="2"/>
  <c r="L300" i="2"/>
  <c r="L268" i="2"/>
  <c r="M268" i="2" s="1"/>
  <c r="L267" i="2"/>
  <c r="L266" i="2"/>
  <c r="M266" i="2" s="1"/>
  <c r="L228" i="2"/>
  <c r="M228" i="2" s="1"/>
  <c r="L227" i="2"/>
  <c r="L226" i="2"/>
  <c r="L225" i="2"/>
  <c r="M225" i="2" s="1"/>
  <c r="K228" i="2"/>
  <c r="K227" i="2"/>
  <c r="K226" i="2"/>
  <c r="K225" i="2"/>
  <c r="B359" i="17"/>
  <c r="H232" i="2"/>
  <c r="H231" i="2"/>
  <c r="H230" i="2"/>
  <c r="H229" i="2"/>
  <c r="S229" i="2"/>
  <c r="J523" i="2"/>
  <c r="H523" i="2"/>
  <c r="Q230" i="2" l="1"/>
  <c r="Q227" i="2"/>
  <c r="Q231" i="2"/>
  <c r="Q305" i="2"/>
  <c r="Q279" i="2"/>
  <c r="Q307" i="2"/>
  <c r="Q252" i="2"/>
  <c r="Q310" i="2"/>
  <c r="Q315" i="2"/>
  <c r="Q316" i="2"/>
  <c r="Q325" i="2"/>
  <c r="Q327" i="2"/>
  <c r="Q234" i="2"/>
  <c r="Q248" i="2"/>
  <c r="Q254" i="2"/>
  <c r="Q258" i="2"/>
  <c r="Q235" i="2"/>
  <c r="Q263" i="2"/>
  <c r="Q264" i="2"/>
  <c r="Q226" i="2"/>
  <c r="Q233" i="2"/>
  <c r="Q275" i="2"/>
  <c r="Q328" i="2"/>
  <c r="Q329" i="2"/>
  <c r="Q330" i="2"/>
  <c r="M325" i="2"/>
  <c r="Q317" i="2"/>
  <c r="Q313" i="2"/>
  <c r="Q311" i="2"/>
  <c r="Q314" i="2"/>
  <c r="Q308" i="2"/>
  <c r="Q309" i="2"/>
  <c r="Q277" i="2"/>
  <c r="Q280" i="2"/>
  <c r="Q281" i="2"/>
  <c r="Q259" i="2"/>
  <c r="Q260" i="2"/>
  <c r="Q261" i="2"/>
  <c r="Q253" i="2"/>
  <c r="Q244" i="2"/>
  <c r="M227" i="2"/>
  <c r="M226" i="2"/>
  <c r="Q323" i="2"/>
  <c r="Q324" i="2"/>
  <c r="Q326" i="2"/>
  <c r="Q321" i="2"/>
  <c r="Q322" i="2"/>
  <c r="Q319" i="2"/>
  <c r="Q320" i="2"/>
  <c r="Q318" i="2"/>
  <c r="Q312" i="2"/>
  <c r="Q306" i="2"/>
  <c r="Q303" i="2"/>
  <c r="Q304" i="2"/>
  <c r="Q289" i="2"/>
  <c r="Q290" i="2"/>
  <c r="Q287" i="2"/>
  <c r="Q288" i="2"/>
  <c r="Q282" i="2"/>
  <c r="Q276" i="2"/>
  <c r="Q278" i="2"/>
  <c r="Q273" i="2"/>
  <c r="Q274" i="2"/>
  <c r="Q271" i="2"/>
  <c r="Q272" i="2"/>
  <c r="Q262" i="2"/>
  <c r="Q265" i="2"/>
  <c r="Q255" i="2"/>
  <c r="Q256" i="2"/>
  <c r="Q257" i="2"/>
  <c r="Q250" i="2"/>
  <c r="Q251" i="2"/>
  <c r="Q246" i="2"/>
  <c r="Q247" i="2"/>
  <c r="Q249" i="2"/>
  <c r="Q245" i="2"/>
  <c r="Q242" i="2"/>
  <c r="Q243" i="2"/>
  <c r="Q238" i="2"/>
  <c r="Q239" i="2"/>
  <c r="Q240" i="2"/>
  <c r="Q241" i="2"/>
  <c r="Q236" i="2"/>
  <c r="Q229" i="2"/>
  <c r="Q232" i="2"/>
  <c r="Q228" i="2"/>
  <c r="Q225" i="2"/>
  <c r="M302" i="2"/>
  <c r="Q302" i="2"/>
  <c r="M301" i="2"/>
  <c r="Q301" i="2"/>
  <c r="M300" i="2"/>
  <c r="Q300" i="2"/>
  <c r="Q299" i="2"/>
  <c r="Q266" i="2"/>
  <c r="M267" i="2"/>
  <c r="Q267" i="2"/>
  <c r="Q269" i="2"/>
  <c r="Q268" i="2"/>
  <c r="M234" i="2"/>
  <c r="M235" i="2"/>
  <c r="M230" i="2"/>
  <c r="M231" i="2"/>
  <c r="M385" i="2" l="1"/>
  <c r="M386" i="2" s="1"/>
  <c r="F393" i="2"/>
  <c r="F386" i="2"/>
  <c r="M391" i="2" l="1"/>
  <c r="M387" i="2"/>
  <c r="M388" i="2" l="1"/>
  <c r="M389" i="2"/>
  <c r="M390" i="2" l="1"/>
  <c r="M392" i="2" s="1"/>
  <c r="M393" i="2" s="1"/>
  <c r="M394" i="2" s="1"/>
  <c r="L390" i="2" l="1"/>
  <c r="A18" i="20"/>
  <c r="A41" i="20"/>
  <c r="A63" i="20"/>
  <c r="A85" i="20"/>
  <c r="A109" i="20"/>
  <c r="A133" i="20"/>
  <c r="A157" i="20"/>
  <c r="A181" i="20"/>
  <c r="A205" i="20"/>
  <c r="A229" i="20"/>
  <c r="A253" i="20"/>
  <c r="A277" i="20"/>
  <c r="A301" i="20"/>
  <c r="A325" i="20"/>
  <c r="A349" i="20"/>
  <c r="A373" i="20"/>
  <c r="A397" i="20"/>
  <c r="A421" i="20"/>
  <c r="A445" i="20"/>
  <c r="A469" i="20"/>
  <c r="A493" i="20"/>
  <c r="A517" i="20"/>
  <c r="A541" i="20"/>
  <c r="A565" i="20"/>
  <c r="A589" i="20"/>
  <c r="A613" i="20"/>
  <c r="A637" i="20"/>
  <c r="A661" i="20"/>
  <c r="A685" i="20"/>
  <c r="A709" i="20"/>
  <c r="A733" i="20"/>
  <c r="A757" i="20"/>
  <c r="C273" i="17" l="1"/>
  <c r="C272" i="17"/>
  <c r="C271" i="17"/>
  <c r="G116" i="17" s="1"/>
  <c r="C117" i="17" l="1"/>
  <c r="G117" i="17"/>
  <c r="C274" i="17"/>
  <c r="C116" i="17"/>
  <c r="C219" i="17"/>
  <c r="C220" i="17"/>
  <c r="C275" i="17" l="1"/>
  <c r="C255" i="17"/>
  <c r="Q192" i="2"/>
  <c r="C161" i="17" s="1"/>
  <c r="G25" i="2"/>
  <c r="C165" i="17"/>
  <c r="G165" i="17" s="1"/>
  <c r="G368" i="2" l="1"/>
  <c r="G367" i="2"/>
  <c r="U118" i="2" l="1"/>
  <c r="V118" i="2" s="1"/>
  <c r="U116" i="2"/>
  <c r="V116" i="2" s="1"/>
  <c r="U114" i="2"/>
  <c r="V114" i="2" s="1"/>
  <c r="U112" i="2"/>
  <c r="V112" i="2" s="1"/>
  <c r="U110" i="2"/>
  <c r="V110" i="2" s="1"/>
  <c r="U108" i="2"/>
  <c r="V108" i="2" s="1"/>
  <c r="U106" i="2"/>
  <c r="V106" i="2" s="1"/>
  <c r="U104" i="2"/>
  <c r="V104" i="2" s="1"/>
  <c r="U102" i="2"/>
  <c r="V102" i="2" s="1"/>
  <c r="U100" i="2"/>
  <c r="V100" i="2" s="1"/>
  <c r="U98" i="2"/>
  <c r="V98" i="2" s="1"/>
  <c r="U96" i="2"/>
  <c r="V96" i="2" s="1"/>
  <c r="U94" i="2"/>
  <c r="V94" i="2" s="1"/>
  <c r="U92" i="2"/>
  <c r="V92" i="2" s="1"/>
  <c r="U90" i="2"/>
  <c r="V90" i="2" s="1"/>
  <c r="U88" i="2"/>
  <c r="V88" i="2" s="1"/>
  <c r="U86" i="2"/>
  <c r="V86" i="2" s="1"/>
  <c r="U84" i="2"/>
  <c r="V84" i="2" s="1"/>
  <c r="U82" i="2"/>
  <c r="V82" i="2" s="1"/>
  <c r="U80" i="2"/>
  <c r="V80" i="2" s="1"/>
  <c r="U78" i="2"/>
  <c r="V78" i="2" s="1"/>
  <c r="U76" i="2"/>
  <c r="V76" i="2" s="1"/>
  <c r="U74" i="2"/>
  <c r="V74" i="2" s="1"/>
  <c r="U72" i="2"/>
  <c r="V72" i="2" s="1"/>
  <c r="U70" i="2"/>
  <c r="V70" i="2" s="1"/>
  <c r="U68" i="2"/>
  <c r="V68" i="2" s="1"/>
  <c r="U66" i="2"/>
  <c r="V66" i="2" s="1"/>
  <c r="U64" i="2"/>
  <c r="V64" i="2" s="1"/>
  <c r="U62" i="2"/>
  <c r="V62" i="2" s="1"/>
  <c r="V60" i="2"/>
  <c r="AC120" i="2"/>
  <c r="B727" i="20"/>
  <c r="B751" i="20"/>
  <c r="C751" i="20" s="1"/>
  <c r="D751" i="20" s="1"/>
  <c r="E751" i="20" s="1"/>
  <c r="F751" i="20" s="1"/>
  <c r="G751" i="20" s="1"/>
  <c r="H751" i="20" s="1"/>
  <c r="I751" i="20" s="1"/>
  <c r="J751" i="20" s="1"/>
  <c r="K751" i="20" s="1"/>
  <c r="L751" i="20" s="1"/>
  <c r="M751" i="20" s="1"/>
  <c r="N751" i="20" s="1"/>
  <c r="B749" i="20"/>
  <c r="C749" i="20" s="1"/>
  <c r="B750" i="20"/>
  <c r="C750" i="20" s="1"/>
  <c r="D750" i="20" s="1"/>
  <c r="E750" i="20" s="1"/>
  <c r="F750" i="20" s="1"/>
  <c r="G750" i="20" s="1"/>
  <c r="H750" i="20" s="1"/>
  <c r="I750" i="20" s="1"/>
  <c r="J750" i="20" s="1"/>
  <c r="K750" i="20" s="1"/>
  <c r="L750" i="20" s="1"/>
  <c r="M750" i="20" s="1"/>
  <c r="N750" i="20" s="1"/>
  <c r="X118" i="2"/>
  <c r="X116" i="2"/>
  <c r="X114" i="2"/>
  <c r="X112" i="2"/>
  <c r="X110" i="2"/>
  <c r="X108" i="2"/>
  <c r="X106" i="2"/>
  <c r="X104" i="2"/>
  <c r="X102" i="2"/>
  <c r="X100" i="2"/>
  <c r="X98" i="2"/>
  <c r="X96" i="2"/>
  <c r="X94" i="2"/>
  <c r="X92" i="2"/>
  <c r="X90" i="2"/>
  <c r="X88" i="2"/>
  <c r="X86" i="2"/>
  <c r="X84" i="2"/>
  <c r="X82" i="2"/>
  <c r="X80" i="2"/>
  <c r="X78" i="2"/>
  <c r="X76" i="2"/>
  <c r="X74" i="2"/>
  <c r="X72" i="2"/>
  <c r="X70" i="2"/>
  <c r="X68" i="2"/>
  <c r="X66" i="2"/>
  <c r="X64" i="2"/>
  <c r="X62" i="2"/>
  <c r="X60" i="2"/>
  <c r="C752" i="20"/>
  <c r="D752" i="20" s="1"/>
  <c r="E752" i="20" s="1"/>
  <c r="F752" i="20" s="1"/>
  <c r="G752" i="20" s="1"/>
  <c r="H752" i="20" s="1"/>
  <c r="I752" i="20" s="1"/>
  <c r="J752" i="20" s="1"/>
  <c r="K752" i="20" s="1"/>
  <c r="L752" i="20" s="1"/>
  <c r="M752" i="20" s="1"/>
  <c r="N752" i="20" s="1"/>
  <c r="C744" i="20"/>
  <c r="C742" i="20"/>
  <c r="C743" i="20" l="1"/>
  <c r="D742" i="20"/>
  <c r="D749" i="20"/>
  <c r="C753" i="20"/>
  <c r="C754" i="20" s="1"/>
  <c r="C756" i="20" s="1"/>
  <c r="C755" i="20" l="1"/>
  <c r="D753" i="20"/>
  <c r="D754" i="20" s="1"/>
  <c r="E749" i="20"/>
  <c r="D743" i="20"/>
  <c r="E742" i="20"/>
  <c r="D744" i="20"/>
  <c r="D756" i="20" l="1"/>
  <c r="D755" i="20"/>
  <c r="E743" i="20"/>
  <c r="F742" i="20"/>
  <c r="E744" i="20"/>
  <c r="E753" i="20"/>
  <c r="E754" i="20" s="1"/>
  <c r="E756" i="20" s="1"/>
  <c r="F749" i="20"/>
  <c r="E755" i="20" l="1"/>
  <c r="F753" i="20"/>
  <c r="F754" i="20" s="1"/>
  <c r="G749" i="20"/>
  <c r="G742" i="20"/>
  <c r="F744" i="20"/>
  <c r="F743" i="20"/>
  <c r="F755" i="20" l="1"/>
  <c r="F756" i="20"/>
  <c r="H742" i="20"/>
  <c r="G744" i="20"/>
  <c r="G743" i="20"/>
  <c r="G753" i="20"/>
  <c r="G754" i="20" s="1"/>
  <c r="G755" i="20" s="1"/>
  <c r="H749" i="20"/>
  <c r="G756" i="20" l="1"/>
  <c r="I742" i="20"/>
  <c r="H744" i="20"/>
  <c r="H743" i="20"/>
  <c r="I749" i="20"/>
  <c r="H753" i="20"/>
  <c r="H754" i="20" s="1"/>
  <c r="H755" i="20" l="1"/>
  <c r="H756" i="20"/>
  <c r="I744" i="20"/>
  <c r="I743" i="20"/>
  <c r="J742" i="20"/>
  <c r="I753" i="20"/>
  <c r="I754" i="20" s="1"/>
  <c r="I755" i="20" s="1"/>
  <c r="J749" i="20"/>
  <c r="J753" i="20" l="1"/>
  <c r="J754" i="20" s="1"/>
  <c r="K749" i="20"/>
  <c r="I756" i="20"/>
  <c r="J743" i="20"/>
  <c r="K742" i="20"/>
  <c r="J744" i="20"/>
  <c r="J755" i="20" l="1"/>
  <c r="J756" i="20"/>
  <c r="K743" i="20"/>
  <c r="L742" i="20"/>
  <c r="K744" i="20"/>
  <c r="L749" i="20"/>
  <c r="K753" i="20"/>
  <c r="K754" i="20" s="1"/>
  <c r="K756" i="20" s="1"/>
  <c r="L743" i="20" l="1"/>
  <c r="M742" i="20"/>
  <c r="L744" i="20"/>
  <c r="K755" i="20"/>
  <c r="L753" i="20"/>
  <c r="L754" i="20" s="1"/>
  <c r="M749" i="20"/>
  <c r="L756" i="20" l="1"/>
  <c r="L755" i="20"/>
  <c r="M743" i="20"/>
  <c r="N742" i="20"/>
  <c r="M744" i="20"/>
  <c r="M753" i="20"/>
  <c r="M754" i="20" s="1"/>
  <c r="M756" i="20" s="1"/>
  <c r="N749" i="20"/>
  <c r="B760" i="20" l="1"/>
  <c r="M755" i="20"/>
  <c r="B759" i="20" s="1"/>
  <c r="AJ99" i="2" s="1"/>
  <c r="N753" i="20"/>
  <c r="N754" i="20" s="1"/>
  <c r="N755" i="20" s="1"/>
  <c r="N744" i="20"/>
  <c r="N743" i="20"/>
  <c r="N756" i="20" l="1"/>
  <c r="B731" i="20" l="1"/>
  <c r="C727" i="20"/>
  <c r="D727" i="20" s="1"/>
  <c r="E727" i="20" s="1"/>
  <c r="F727" i="20" s="1"/>
  <c r="G727" i="20" s="1"/>
  <c r="H727" i="20" s="1"/>
  <c r="I727" i="20" s="1"/>
  <c r="J727" i="20" s="1"/>
  <c r="K727" i="20" s="1"/>
  <c r="L727" i="20" s="1"/>
  <c r="M727" i="20" s="1"/>
  <c r="N727" i="20" s="1"/>
  <c r="B726" i="20"/>
  <c r="C726" i="20" s="1"/>
  <c r="D726" i="20" s="1"/>
  <c r="E726" i="20" s="1"/>
  <c r="F726" i="20" s="1"/>
  <c r="G726" i="20" s="1"/>
  <c r="H726" i="20" s="1"/>
  <c r="I726" i="20" s="1"/>
  <c r="J726" i="20" s="1"/>
  <c r="K726" i="20" s="1"/>
  <c r="L726" i="20" s="1"/>
  <c r="M726" i="20" s="1"/>
  <c r="N726" i="20" s="1"/>
  <c r="B725" i="20"/>
  <c r="C725" i="20" s="1"/>
  <c r="D728" i="20"/>
  <c r="E728" i="20" s="1"/>
  <c r="F728" i="20" s="1"/>
  <c r="G728" i="20" s="1"/>
  <c r="H728" i="20" s="1"/>
  <c r="I728" i="20" s="1"/>
  <c r="J728" i="20" s="1"/>
  <c r="K728" i="20" s="1"/>
  <c r="L728" i="20" s="1"/>
  <c r="M728" i="20" s="1"/>
  <c r="N728" i="20" s="1"/>
  <c r="C728" i="20"/>
  <c r="C719" i="20"/>
  <c r="D718" i="20"/>
  <c r="D719" i="20" s="1"/>
  <c r="C718" i="20"/>
  <c r="C720" i="20" s="1"/>
  <c r="C729" i="20" l="1"/>
  <c r="C730" i="20" s="1"/>
  <c r="C732" i="20" s="1"/>
  <c r="D725" i="20"/>
  <c r="E718" i="20"/>
  <c r="D720" i="20"/>
  <c r="C731" i="20" l="1"/>
  <c r="F718" i="20"/>
  <c r="E720" i="20"/>
  <c r="E719" i="20"/>
  <c r="D729" i="20"/>
  <c r="D730" i="20" s="1"/>
  <c r="D731" i="20" s="1"/>
  <c r="E725" i="20"/>
  <c r="D732" i="20" l="1"/>
  <c r="E729" i="20"/>
  <c r="E730" i="20" s="1"/>
  <c r="E731" i="20" s="1"/>
  <c r="F725" i="20"/>
  <c r="F719" i="20"/>
  <c r="F720" i="20"/>
  <c r="G718" i="20"/>
  <c r="E732" i="20" l="1"/>
  <c r="G719" i="20"/>
  <c r="H718" i="20"/>
  <c r="G720" i="20"/>
  <c r="F729" i="20"/>
  <c r="F730" i="20" s="1"/>
  <c r="F732" i="20" s="1"/>
  <c r="G725" i="20"/>
  <c r="B57" i="20"/>
  <c r="B56" i="20"/>
  <c r="B151" i="20"/>
  <c r="B150" i="20"/>
  <c r="B79" i="20"/>
  <c r="B78" i="20"/>
  <c r="F731" i="20" l="1"/>
  <c r="I718" i="20"/>
  <c r="H720" i="20"/>
  <c r="H719" i="20"/>
  <c r="G729" i="20"/>
  <c r="G730" i="20" s="1"/>
  <c r="G732" i="20" s="1"/>
  <c r="H725" i="20"/>
  <c r="H729" i="20" l="1"/>
  <c r="H730" i="20" s="1"/>
  <c r="H732" i="20" s="1"/>
  <c r="I725" i="20"/>
  <c r="G731" i="20"/>
  <c r="J718" i="20"/>
  <c r="I719" i="20"/>
  <c r="I720" i="20"/>
  <c r="K718" i="20" l="1"/>
  <c r="J720" i="20"/>
  <c r="J719" i="20"/>
  <c r="I729" i="20"/>
  <c r="I730" i="20" s="1"/>
  <c r="I732" i="20" s="1"/>
  <c r="J725" i="20"/>
  <c r="H731" i="20"/>
  <c r="K725" i="20" l="1"/>
  <c r="J729" i="20"/>
  <c r="J730" i="20" s="1"/>
  <c r="J731" i="20" s="1"/>
  <c r="I731" i="20"/>
  <c r="K720" i="20"/>
  <c r="K719" i="20"/>
  <c r="L718" i="20"/>
  <c r="L719" i="20" l="1"/>
  <c r="M718" i="20"/>
  <c r="L720" i="20"/>
  <c r="J732" i="20"/>
  <c r="K729" i="20"/>
  <c r="K730" i="20" s="1"/>
  <c r="K731" i="20" s="1"/>
  <c r="L725" i="20"/>
  <c r="L729" i="20" l="1"/>
  <c r="L730" i="20" s="1"/>
  <c r="L731" i="20" s="1"/>
  <c r="M725" i="20"/>
  <c r="K732" i="20"/>
  <c r="M719" i="20"/>
  <c r="N718" i="20"/>
  <c r="M720" i="20"/>
  <c r="L732" i="20" l="1"/>
  <c r="M729" i="20"/>
  <c r="M730" i="20" s="1"/>
  <c r="M731" i="20" s="1"/>
  <c r="B735" i="20" s="1"/>
  <c r="N725" i="20"/>
  <c r="N719" i="20"/>
  <c r="N720" i="20"/>
  <c r="M732" i="20" l="1"/>
  <c r="B736" i="20" s="1"/>
  <c r="N729" i="20"/>
  <c r="N730" i="20" s="1"/>
  <c r="N732" i="20" s="1"/>
  <c r="N731" i="20" l="1"/>
  <c r="B703" i="20" l="1"/>
  <c r="B702" i="20"/>
  <c r="B679" i="20"/>
  <c r="B678" i="20"/>
  <c r="B655" i="20"/>
  <c r="B654" i="20"/>
  <c r="B631" i="20"/>
  <c r="B630" i="20"/>
  <c r="B607" i="20" l="1"/>
  <c r="B606" i="20"/>
  <c r="B583" i="20"/>
  <c r="B582" i="20"/>
  <c r="B559" i="20" l="1"/>
  <c r="B558" i="20"/>
  <c r="B535" i="20"/>
  <c r="B534" i="20"/>
  <c r="B511" i="20"/>
  <c r="B510" i="20"/>
  <c r="B487" i="20"/>
  <c r="B486" i="20"/>
  <c r="B463" i="20"/>
  <c r="B462" i="20"/>
  <c r="B439" i="20"/>
  <c r="B438" i="20"/>
  <c r="B415" i="20"/>
  <c r="B414" i="20"/>
  <c r="B391" i="20"/>
  <c r="B390" i="20"/>
  <c r="B367" i="20"/>
  <c r="B366" i="20"/>
  <c r="B343" i="20"/>
  <c r="B342" i="20"/>
  <c r="B319" i="20"/>
  <c r="B318" i="20"/>
  <c r="B295" i="20"/>
  <c r="B294" i="20"/>
  <c r="B271" i="20"/>
  <c r="B270" i="20"/>
  <c r="B247" i="20"/>
  <c r="B246" i="20"/>
  <c r="B223" i="20"/>
  <c r="B222" i="20"/>
  <c r="B199" i="20"/>
  <c r="B198" i="20"/>
  <c r="B175" i="20"/>
  <c r="B174" i="20"/>
  <c r="B127" i="20"/>
  <c r="B126" i="20"/>
  <c r="B103" i="20"/>
  <c r="B102" i="20"/>
  <c r="C704" i="20"/>
  <c r="D704" i="20" s="1"/>
  <c r="E704" i="20" s="1"/>
  <c r="F704" i="20" s="1"/>
  <c r="G704" i="20" s="1"/>
  <c r="H704" i="20" s="1"/>
  <c r="I704" i="20" s="1"/>
  <c r="J704" i="20" s="1"/>
  <c r="K704" i="20" s="1"/>
  <c r="L704" i="20" s="1"/>
  <c r="M704" i="20" s="1"/>
  <c r="N704" i="20" s="1"/>
  <c r="C703" i="20"/>
  <c r="D703" i="20" s="1"/>
  <c r="E703" i="20" s="1"/>
  <c r="F703" i="20" s="1"/>
  <c r="G703" i="20" s="1"/>
  <c r="H703" i="20" s="1"/>
  <c r="I703" i="20" s="1"/>
  <c r="J703" i="20" s="1"/>
  <c r="K703" i="20" s="1"/>
  <c r="L703" i="20" s="1"/>
  <c r="M703" i="20" s="1"/>
  <c r="N703" i="20" s="1"/>
  <c r="C702" i="20"/>
  <c r="D702" i="20" s="1"/>
  <c r="E702" i="20" s="1"/>
  <c r="F702" i="20" s="1"/>
  <c r="G702" i="20" s="1"/>
  <c r="H702" i="20" s="1"/>
  <c r="I702" i="20" s="1"/>
  <c r="J702" i="20" s="1"/>
  <c r="K702" i="20" s="1"/>
  <c r="L702" i="20" s="1"/>
  <c r="M702" i="20" s="1"/>
  <c r="N702" i="20" s="1"/>
  <c r="B701" i="20"/>
  <c r="C701" i="20" s="1"/>
  <c r="D696" i="20"/>
  <c r="C695" i="20"/>
  <c r="D694" i="20"/>
  <c r="D695" i="20" s="1"/>
  <c r="C694" i="20"/>
  <c r="C696" i="20" s="1"/>
  <c r="D680" i="20"/>
  <c r="E680" i="20" s="1"/>
  <c r="F680" i="20" s="1"/>
  <c r="G680" i="20" s="1"/>
  <c r="H680" i="20" s="1"/>
  <c r="I680" i="20" s="1"/>
  <c r="J680" i="20" s="1"/>
  <c r="K680" i="20" s="1"/>
  <c r="L680" i="20" s="1"/>
  <c r="M680" i="20" s="1"/>
  <c r="N680" i="20" s="1"/>
  <c r="C680" i="20"/>
  <c r="C679" i="20"/>
  <c r="D679" i="20" s="1"/>
  <c r="E679" i="20" s="1"/>
  <c r="F679" i="20" s="1"/>
  <c r="G679" i="20" s="1"/>
  <c r="H679" i="20" s="1"/>
  <c r="I679" i="20" s="1"/>
  <c r="J679" i="20" s="1"/>
  <c r="K679" i="20" s="1"/>
  <c r="L679" i="20" s="1"/>
  <c r="M679" i="20" s="1"/>
  <c r="N679" i="20" s="1"/>
  <c r="C678" i="20"/>
  <c r="D678" i="20" s="1"/>
  <c r="E678" i="20" s="1"/>
  <c r="F678" i="20" s="1"/>
  <c r="G678" i="20" s="1"/>
  <c r="H678" i="20" s="1"/>
  <c r="I678" i="20" s="1"/>
  <c r="J678" i="20" s="1"/>
  <c r="K678" i="20" s="1"/>
  <c r="L678" i="20" s="1"/>
  <c r="M678" i="20" s="1"/>
  <c r="N678" i="20" s="1"/>
  <c r="B677" i="20"/>
  <c r="C677" i="20" s="1"/>
  <c r="D671" i="20"/>
  <c r="C671" i="20"/>
  <c r="D670" i="20"/>
  <c r="E670" i="20" s="1"/>
  <c r="C670" i="20"/>
  <c r="C672" i="20" s="1"/>
  <c r="B653" i="20"/>
  <c r="C653" i="20" s="1"/>
  <c r="C656" i="20"/>
  <c r="D656" i="20" s="1"/>
  <c r="E656" i="20" s="1"/>
  <c r="F656" i="20" s="1"/>
  <c r="G656" i="20" s="1"/>
  <c r="H656" i="20" s="1"/>
  <c r="I656" i="20" s="1"/>
  <c r="J656" i="20" s="1"/>
  <c r="K656" i="20" s="1"/>
  <c r="L656" i="20" s="1"/>
  <c r="M656" i="20" s="1"/>
  <c r="N656" i="20" s="1"/>
  <c r="C655" i="20"/>
  <c r="D655" i="20" s="1"/>
  <c r="E655" i="20" s="1"/>
  <c r="F655" i="20" s="1"/>
  <c r="G655" i="20" s="1"/>
  <c r="H655" i="20" s="1"/>
  <c r="I655" i="20" s="1"/>
  <c r="J655" i="20" s="1"/>
  <c r="K655" i="20" s="1"/>
  <c r="L655" i="20" s="1"/>
  <c r="M655" i="20" s="1"/>
  <c r="N655" i="20" s="1"/>
  <c r="C654" i="20"/>
  <c r="D654" i="20" s="1"/>
  <c r="E654" i="20" s="1"/>
  <c r="F654" i="20" s="1"/>
  <c r="G654" i="20" s="1"/>
  <c r="H654" i="20" s="1"/>
  <c r="I654" i="20" s="1"/>
  <c r="J654" i="20" s="1"/>
  <c r="K654" i="20" s="1"/>
  <c r="L654" i="20" s="1"/>
  <c r="M654" i="20" s="1"/>
  <c r="N654" i="20" s="1"/>
  <c r="C646" i="20"/>
  <c r="C647" i="20" s="1"/>
  <c r="B35" i="20"/>
  <c r="B34" i="20"/>
  <c r="B12" i="20"/>
  <c r="B11" i="20"/>
  <c r="E672" i="20" l="1"/>
  <c r="E671" i="20"/>
  <c r="F670" i="20"/>
  <c r="E694" i="20"/>
  <c r="C657" i="20"/>
  <c r="C658" i="20" s="1"/>
  <c r="C659" i="20" s="1"/>
  <c r="D653" i="20"/>
  <c r="D677" i="20"/>
  <c r="C681" i="20"/>
  <c r="C682" i="20" s="1"/>
  <c r="C683" i="20" s="1"/>
  <c r="C705" i="20"/>
  <c r="C706" i="20" s="1"/>
  <c r="C707" i="20" s="1"/>
  <c r="D701" i="20"/>
  <c r="C648" i="20"/>
  <c r="D646" i="20"/>
  <c r="D672" i="20"/>
  <c r="B629" i="20"/>
  <c r="C629" i="20" s="1"/>
  <c r="C632" i="20"/>
  <c r="D632" i="20" s="1"/>
  <c r="E632" i="20" s="1"/>
  <c r="F632" i="20" s="1"/>
  <c r="G632" i="20" s="1"/>
  <c r="H632" i="20" s="1"/>
  <c r="I632" i="20" s="1"/>
  <c r="J632" i="20" s="1"/>
  <c r="K632" i="20" s="1"/>
  <c r="L632" i="20" s="1"/>
  <c r="M632" i="20" s="1"/>
  <c r="N632" i="20" s="1"/>
  <c r="C631" i="20"/>
  <c r="D631" i="20" s="1"/>
  <c r="E631" i="20" s="1"/>
  <c r="F631" i="20" s="1"/>
  <c r="G631" i="20" s="1"/>
  <c r="H631" i="20" s="1"/>
  <c r="I631" i="20" s="1"/>
  <c r="J631" i="20" s="1"/>
  <c r="K631" i="20" s="1"/>
  <c r="L631" i="20" s="1"/>
  <c r="M631" i="20" s="1"/>
  <c r="N631" i="20" s="1"/>
  <c r="C630" i="20"/>
  <c r="D630" i="20" s="1"/>
  <c r="E630" i="20" s="1"/>
  <c r="F630" i="20" s="1"/>
  <c r="G630" i="20" s="1"/>
  <c r="H630" i="20" s="1"/>
  <c r="I630" i="20" s="1"/>
  <c r="J630" i="20" s="1"/>
  <c r="K630" i="20" s="1"/>
  <c r="L630" i="20" s="1"/>
  <c r="M630" i="20" s="1"/>
  <c r="N630" i="20" s="1"/>
  <c r="C622" i="20"/>
  <c r="D622" i="20" s="1"/>
  <c r="B605" i="20"/>
  <c r="C605" i="20" s="1"/>
  <c r="C608" i="20"/>
  <c r="D608" i="20" s="1"/>
  <c r="E608" i="20" s="1"/>
  <c r="F608" i="20" s="1"/>
  <c r="G608" i="20" s="1"/>
  <c r="H608" i="20" s="1"/>
  <c r="I608" i="20" s="1"/>
  <c r="J608" i="20" s="1"/>
  <c r="K608" i="20" s="1"/>
  <c r="L608" i="20" s="1"/>
  <c r="M608" i="20" s="1"/>
  <c r="N608" i="20" s="1"/>
  <c r="C607" i="20"/>
  <c r="D607" i="20" s="1"/>
  <c r="E607" i="20" s="1"/>
  <c r="F607" i="20" s="1"/>
  <c r="G607" i="20" s="1"/>
  <c r="H607" i="20" s="1"/>
  <c r="I607" i="20" s="1"/>
  <c r="J607" i="20" s="1"/>
  <c r="K607" i="20" s="1"/>
  <c r="L607" i="20" s="1"/>
  <c r="M607" i="20" s="1"/>
  <c r="N607" i="20" s="1"/>
  <c r="C606" i="20"/>
  <c r="D606" i="20" s="1"/>
  <c r="E606" i="20" s="1"/>
  <c r="F606" i="20" s="1"/>
  <c r="G606" i="20" s="1"/>
  <c r="H606" i="20" s="1"/>
  <c r="I606" i="20" s="1"/>
  <c r="J606" i="20" s="1"/>
  <c r="K606" i="20" s="1"/>
  <c r="L606" i="20" s="1"/>
  <c r="M606" i="20" s="1"/>
  <c r="N606" i="20" s="1"/>
  <c r="C598" i="20"/>
  <c r="C599" i="20" s="1"/>
  <c r="B581" i="20"/>
  <c r="C581" i="20" s="1"/>
  <c r="C584" i="20"/>
  <c r="D584" i="20" s="1"/>
  <c r="E584" i="20" s="1"/>
  <c r="F584" i="20" s="1"/>
  <c r="G584" i="20" s="1"/>
  <c r="H584" i="20" s="1"/>
  <c r="I584" i="20" s="1"/>
  <c r="J584" i="20" s="1"/>
  <c r="K584" i="20" s="1"/>
  <c r="L584" i="20" s="1"/>
  <c r="M584" i="20" s="1"/>
  <c r="N584" i="20" s="1"/>
  <c r="C583" i="20"/>
  <c r="D583" i="20" s="1"/>
  <c r="E583" i="20" s="1"/>
  <c r="F583" i="20" s="1"/>
  <c r="G583" i="20" s="1"/>
  <c r="H583" i="20" s="1"/>
  <c r="I583" i="20" s="1"/>
  <c r="J583" i="20" s="1"/>
  <c r="K583" i="20" s="1"/>
  <c r="L583" i="20" s="1"/>
  <c r="M583" i="20" s="1"/>
  <c r="N583" i="20" s="1"/>
  <c r="C582" i="20"/>
  <c r="D582" i="20" s="1"/>
  <c r="E582" i="20" s="1"/>
  <c r="F582" i="20" s="1"/>
  <c r="G582" i="20" s="1"/>
  <c r="H582" i="20" s="1"/>
  <c r="I582" i="20" s="1"/>
  <c r="J582" i="20" s="1"/>
  <c r="K582" i="20" s="1"/>
  <c r="L582" i="20" s="1"/>
  <c r="M582" i="20" s="1"/>
  <c r="N582" i="20" s="1"/>
  <c r="C574" i="20"/>
  <c r="C576" i="20" s="1"/>
  <c r="B557" i="20"/>
  <c r="C557" i="20" s="1"/>
  <c r="C560" i="20"/>
  <c r="D560" i="20" s="1"/>
  <c r="E560" i="20" s="1"/>
  <c r="F560" i="20" s="1"/>
  <c r="G560" i="20" s="1"/>
  <c r="H560" i="20" s="1"/>
  <c r="I560" i="20" s="1"/>
  <c r="J560" i="20" s="1"/>
  <c r="K560" i="20" s="1"/>
  <c r="L560" i="20" s="1"/>
  <c r="M560" i="20" s="1"/>
  <c r="N560" i="20" s="1"/>
  <c r="C559" i="20"/>
  <c r="D559" i="20" s="1"/>
  <c r="E559" i="20" s="1"/>
  <c r="F559" i="20" s="1"/>
  <c r="G559" i="20" s="1"/>
  <c r="H559" i="20" s="1"/>
  <c r="I559" i="20" s="1"/>
  <c r="J559" i="20" s="1"/>
  <c r="K559" i="20" s="1"/>
  <c r="L559" i="20" s="1"/>
  <c r="M559" i="20" s="1"/>
  <c r="N559" i="20" s="1"/>
  <c r="C558" i="20"/>
  <c r="D558" i="20" s="1"/>
  <c r="E558" i="20" s="1"/>
  <c r="F558" i="20" s="1"/>
  <c r="G558" i="20" s="1"/>
  <c r="H558" i="20" s="1"/>
  <c r="I558" i="20" s="1"/>
  <c r="J558" i="20" s="1"/>
  <c r="K558" i="20" s="1"/>
  <c r="L558" i="20" s="1"/>
  <c r="M558" i="20" s="1"/>
  <c r="N558" i="20" s="1"/>
  <c r="C550" i="20"/>
  <c r="D550" i="20" s="1"/>
  <c r="D551" i="20" s="1"/>
  <c r="B533" i="20"/>
  <c r="C533" i="20" s="1"/>
  <c r="C536" i="20"/>
  <c r="D536" i="20" s="1"/>
  <c r="E536" i="20" s="1"/>
  <c r="F536" i="20" s="1"/>
  <c r="G536" i="20" s="1"/>
  <c r="H536" i="20" s="1"/>
  <c r="I536" i="20" s="1"/>
  <c r="J536" i="20" s="1"/>
  <c r="K536" i="20" s="1"/>
  <c r="L536" i="20" s="1"/>
  <c r="M536" i="20" s="1"/>
  <c r="N536" i="20" s="1"/>
  <c r="C535" i="20"/>
  <c r="D535" i="20" s="1"/>
  <c r="E535" i="20" s="1"/>
  <c r="F535" i="20" s="1"/>
  <c r="G535" i="20" s="1"/>
  <c r="H535" i="20" s="1"/>
  <c r="I535" i="20" s="1"/>
  <c r="J535" i="20" s="1"/>
  <c r="K535" i="20" s="1"/>
  <c r="L535" i="20" s="1"/>
  <c r="M535" i="20" s="1"/>
  <c r="N535" i="20" s="1"/>
  <c r="C534" i="20"/>
  <c r="D534" i="20" s="1"/>
  <c r="E534" i="20" s="1"/>
  <c r="F534" i="20" s="1"/>
  <c r="G534" i="20" s="1"/>
  <c r="H534" i="20" s="1"/>
  <c r="I534" i="20" s="1"/>
  <c r="J534" i="20" s="1"/>
  <c r="K534" i="20" s="1"/>
  <c r="L534" i="20" s="1"/>
  <c r="M534" i="20" s="1"/>
  <c r="N534" i="20" s="1"/>
  <c r="C526" i="20"/>
  <c r="C527" i="20" s="1"/>
  <c r="B509" i="20"/>
  <c r="C509" i="20" s="1"/>
  <c r="C512" i="20"/>
  <c r="D512" i="20" s="1"/>
  <c r="E512" i="20" s="1"/>
  <c r="F512" i="20" s="1"/>
  <c r="G512" i="20" s="1"/>
  <c r="H512" i="20" s="1"/>
  <c r="I512" i="20" s="1"/>
  <c r="J512" i="20" s="1"/>
  <c r="K512" i="20" s="1"/>
  <c r="L512" i="20" s="1"/>
  <c r="M512" i="20" s="1"/>
  <c r="N512" i="20" s="1"/>
  <c r="C511" i="20"/>
  <c r="D511" i="20" s="1"/>
  <c r="E511" i="20" s="1"/>
  <c r="F511" i="20" s="1"/>
  <c r="G511" i="20" s="1"/>
  <c r="H511" i="20" s="1"/>
  <c r="I511" i="20" s="1"/>
  <c r="J511" i="20" s="1"/>
  <c r="K511" i="20" s="1"/>
  <c r="L511" i="20" s="1"/>
  <c r="M511" i="20" s="1"/>
  <c r="N511" i="20" s="1"/>
  <c r="C510" i="20"/>
  <c r="D510" i="20" s="1"/>
  <c r="E510" i="20" s="1"/>
  <c r="F510" i="20" s="1"/>
  <c r="G510" i="20" s="1"/>
  <c r="H510" i="20" s="1"/>
  <c r="I510" i="20" s="1"/>
  <c r="J510" i="20" s="1"/>
  <c r="K510" i="20" s="1"/>
  <c r="L510" i="20" s="1"/>
  <c r="M510" i="20" s="1"/>
  <c r="N510" i="20" s="1"/>
  <c r="C502" i="20"/>
  <c r="C504" i="20" s="1"/>
  <c r="B485" i="20"/>
  <c r="C485" i="20" s="1"/>
  <c r="D485" i="20" s="1"/>
  <c r="C488" i="20"/>
  <c r="D488" i="20" s="1"/>
  <c r="E488" i="20" s="1"/>
  <c r="F488" i="20" s="1"/>
  <c r="G488" i="20" s="1"/>
  <c r="H488" i="20" s="1"/>
  <c r="I488" i="20" s="1"/>
  <c r="J488" i="20" s="1"/>
  <c r="K488" i="20" s="1"/>
  <c r="L488" i="20" s="1"/>
  <c r="M488" i="20" s="1"/>
  <c r="N488" i="20" s="1"/>
  <c r="C487" i="20"/>
  <c r="D487" i="20" s="1"/>
  <c r="E487" i="20" s="1"/>
  <c r="F487" i="20" s="1"/>
  <c r="G487" i="20" s="1"/>
  <c r="H487" i="20" s="1"/>
  <c r="I487" i="20" s="1"/>
  <c r="J487" i="20" s="1"/>
  <c r="K487" i="20" s="1"/>
  <c r="L487" i="20" s="1"/>
  <c r="M487" i="20" s="1"/>
  <c r="N487" i="20" s="1"/>
  <c r="C486" i="20"/>
  <c r="D486" i="20" s="1"/>
  <c r="E486" i="20" s="1"/>
  <c r="F486" i="20" s="1"/>
  <c r="G486" i="20" s="1"/>
  <c r="H486" i="20" s="1"/>
  <c r="I486" i="20" s="1"/>
  <c r="J486" i="20" s="1"/>
  <c r="K486" i="20" s="1"/>
  <c r="L486" i="20" s="1"/>
  <c r="M486" i="20" s="1"/>
  <c r="N486" i="20" s="1"/>
  <c r="C478" i="20"/>
  <c r="D478" i="20" s="1"/>
  <c r="B461" i="20"/>
  <c r="C461" i="20" s="1"/>
  <c r="C464" i="20"/>
  <c r="D464" i="20" s="1"/>
  <c r="E464" i="20" s="1"/>
  <c r="F464" i="20" s="1"/>
  <c r="G464" i="20" s="1"/>
  <c r="H464" i="20" s="1"/>
  <c r="I464" i="20" s="1"/>
  <c r="J464" i="20" s="1"/>
  <c r="K464" i="20" s="1"/>
  <c r="L464" i="20" s="1"/>
  <c r="M464" i="20" s="1"/>
  <c r="N464" i="20" s="1"/>
  <c r="C463" i="20"/>
  <c r="D463" i="20" s="1"/>
  <c r="E463" i="20" s="1"/>
  <c r="F463" i="20" s="1"/>
  <c r="G463" i="20" s="1"/>
  <c r="H463" i="20" s="1"/>
  <c r="I463" i="20" s="1"/>
  <c r="J463" i="20" s="1"/>
  <c r="K463" i="20" s="1"/>
  <c r="L463" i="20" s="1"/>
  <c r="M463" i="20" s="1"/>
  <c r="N463" i="20" s="1"/>
  <c r="C462" i="20"/>
  <c r="D462" i="20" s="1"/>
  <c r="E462" i="20" s="1"/>
  <c r="F462" i="20" s="1"/>
  <c r="G462" i="20" s="1"/>
  <c r="H462" i="20" s="1"/>
  <c r="I462" i="20" s="1"/>
  <c r="J462" i="20" s="1"/>
  <c r="K462" i="20" s="1"/>
  <c r="L462" i="20" s="1"/>
  <c r="M462" i="20" s="1"/>
  <c r="N462" i="20" s="1"/>
  <c r="C454" i="20"/>
  <c r="C456" i="20" s="1"/>
  <c r="B437" i="20"/>
  <c r="C437" i="20" s="1"/>
  <c r="C440" i="20"/>
  <c r="D440" i="20" s="1"/>
  <c r="E440" i="20" s="1"/>
  <c r="F440" i="20" s="1"/>
  <c r="G440" i="20" s="1"/>
  <c r="H440" i="20" s="1"/>
  <c r="I440" i="20" s="1"/>
  <c r="J440" i="20" s="1"/>
  <c r="K440" i="20" s="1"/>
  <c r="L440" i="20" s="1"/>
  <c r="M440" i="20" s="1"/>
  <c r="N440" i="20" s="1"/>
  <c r="C439" i="20"/>
  <c r="D439" i="20" s="1"/>
  <c r="E439" i="20" s="1"/>
  <c r="F439" i="20" s="1"/>
  <c r="G439" i="20" s="1"/>
  <c r="H439" i="20" s="1"/>
  <c r="I439" i="20" s="1"/>
  <c r="J439" i="20" s="1"/>
  <c r="K439" i="20" s="1"/>
  <c r="L439" i="20" s="1"/>
  <c r="M439" i="20" s="1"/>
  <c r="N439" i="20" s="1"/>
  <c r="C438" i="20"/>
  <c r="D438" i="20" s="1"/>
  <c r="E438" i="20" s="1"/>
  <c r="F438" i="20" s="1"/>
  <c r="G438" i="20" s="1"/>
  <c r="H438" i="20" s="1"/>
  <c r="I438" i="20" s="1"/>
  <c r="J438" i="20" s="1"/>
  <c r="K438" i="20" s="1"/>
  <c r="L438" i="20" s="1"/>
  <c r="M438" i="20" s="1"/>
  <c r="N438" i="20" s="1"/>
  <c r="C430" i="20"/>
  <c r="D430" i="20" s="1"/>
  <c r="E430" i="20" s="1"/>
  <c r="B413" i="20"/>
  <c r="C413" i="20" s="1"/>
  <c r="C416" i="20"/>
  <c r="D416" i="20" s="1"/>
  <c r="E416" i="20" s="1"/>
  <c r="F416" i="20" s="1"/>
  <c r="G416" i="20" s="1"/>
  <c r="H416" i="20" s="1"/>
  <c r="I416" i="20" s="1"/>
  <c r="J416" i="20" s="1"/>
  <c r="K416" i="20" s="1"/>
  <c r="L416" i="20" s="1"/>
  <c r="M416" i="20" s="1"/>
  <c r="N416" i="20" s="1"/>
  <c r="C415" i="20"/>
  <c r="D415" i="20" s="1"/>
  <c r="E415" i="20" s="1"/>
  <c r="F415" i="20" s="1"/>
  <c r="G415" i="20" s="1"/>
  <c r="H415" i="20" s="1"/>
  <c r="I415" i="20" s="1"/>
  <c r="J415" i="20" s="1"/>
  <c r="K415" i="20" s="1"/>
  <c r="L415" i="20" s="1"/>
  <c r="M415" i="20" s="1"/>
  <c r="N415" i="20" s="1"/>
  <c r="C414" i="20"/>
  <c r="D414" i="20" s="1"/>
  <c r="E414" i="20" s="1"/>
  <c r="F414" i="20" s="1"/>
  <c r="G414" i="20" s="1"/>
  <c r="H414" i="20" s="1"/>
  <c r="I414" i="20" s="1"/>
  <c r="J414" i="20" s="1"/>
  <c r="K414" i="20" s="1"/>
  <c r="L414" i="20" s="1"/>
  <c r="M414" i="20" s="1"/>
  <c r="N414" i="20" s="1"/>
  <c r="C406" i="20"/>
  <c r="C407" i="20" s="1"/>
  <c r="B389" i="20"/>
  <c r="C389" i="20" s="1"/>
  <c r="C392" i="20"/>
  <c r="D392" i="20" s="1"/>
  <c r="E392" i="20" s="1"/>
  <c r="F392" i="20" s="1"/>
  <c r="G392" i="20" s="1"/>
  <c r="H392" i="20" s="1"/>
  <c r="I392" i="20" s="1"/>
  <c r="J392" i="20" s="1"/>
  <c r="K392" i="20" s="1"/>
  <c r="L392" i="20" s="1"/>
  <c r="M392" i="20" s="1"/>
  <c r="N392" i="20" s="1"/>
  <c r="C391" i="20"/>
  <c r="D391" i="20" s="1"/>
  <c r="E391" i="20" s="1"/>
  <c r="F391" i="20" s="1"/>
  <c r="G391" i="20" s="1"/>
  <c r="H391" i="20" s="1"/>
  <c r="I391" i="20" s="1"/>
  <c r="J391" i="20" s="1"/>
  <c r="K391" i="20" s="1"/>
  <c r="L391" i="20" s="1"/>
  <c r="M391" i="20" s="1"/>
  <c r="N391" i="20" s="1"/>
  <c r="C390" i="20"/>
  <c r="D390" i="20" s="1"/>
  <c r="E390" i="20" s="1"/>
  <c r="F390" i="20" s="1"/>
  <c r="G390" i="20" s="1"/>
  <c r="H390" i="20" s="1"/>
  <c r="I390" i="20" s="1"/>
  <c r="J390" i="20" s="1"/>
  <c r="K390" i="20" s="1"/>
  <c r="L390" i="20" s="1"/>
  <c r="M390" i="20" s="1"/>
  <c r="N390" i="20" s="1"/>
  <c r="C382" i="20"/>
  <c r="C384" i="20" s="1"/>
  <c r="B365" i="20"/>
  <c r="C365" i="20" s="1"/>
  <c r="C368" i="20"/>
  <c r="D368" i="20" s="1"/>
  <c r="E368" i="20" s="1"/>
  <c r="F368" i="20" s="1"/>
  <c r="G368" i="20" s="1"/>
  <c r="H368" i="20" s="1"/>
  <c r="I368" i="20" s="1"/>
  <c r="J368" i="20" s="1"/>
  <c r="K368" i="20" s="1"/>
  <c r="L368" i="20" s="1"/>
  <c r="M368" i="20" s="1"/>
  <c r="N368" i="20" s="1"/>
  <c r="C367" i="20"/>
  <c r="D367" i="20" s="1"/>
  <c r="E367" i="20" s="1"/>
  <c r="F367" i="20" s="1"/>
  <c r="G367" i="20" s="1"/>
  <c r="H367" i="20" s="1"/>
  <c r="I367" i="20" s="1"/>
  <c r="J367" i="20" s="1"/>
  <c r="K367" i="20" s="1"/>
  <c r="L367" i="20" s="1"/>
  <c r="M367" i="20" s="1"/>
  <c r="N367" i="20" s="1"/>
  <c r="C366" i="20"/>
  <c r="D366" i="20" s="1"/>
  <c r="E366" i="20" s="1"/>
  <c r="F366" i="20" s="1"/>
  <c r="G366" i="20" s="1"/>
  <c r="H366" i="20" s="1"/>
  <c r="I366" i="20" s="1"/>
  <c r="J366" i="20" s="1"/>
  <c r="K366" i="20" s="1"/>
  <c r="L366" i="20" s="1"/>
  <c r="M366" i="20" s="1"/>
  <c r="N366" i="20" s="1"/>
  <c r="C358" i="20"/>
  <c r="C359" i="20" s="1"/>
  <c r="B341" i="20"/>
  <c r="C341" i="20" s="1"/>
  <c r="C344" i="20"/>
  <c r="D344" i="20" s="1"/>
  <c r="E344" i="20" s="1"/>
  <c r="F344" i="20" s="1"/>
  <c r="G344" i="20" s="1"/>
  <c r="H344" i="20" s="1"/>
  <c r="I344" i="20" s="1"/>
  <c r="J344" i="20" s="1"/>
  <c r="K344" i="20" s="1"/>
  <c r="L344" i="20" s="1"/>
  <c r="M344" i="20" s="1"/>
  <c r="N344" i="20" s="1"/>
  <c r="C343" i="20"/>
  <c r="D343" i="20" s="1"/>
  <c r="E343" i="20" s="1"/>
  <c r="F343" i="20" s="1"/>
  <c r="G343" i="20" s="1"/>
  <c r="H343" i="20" s="1"/>
  <c r="I343" i="20" s="1"/>
  <c r="J343" i="20" s="1"/>
  <c r="K343" i="20" s="1"/>
  <c r="L343" i="20" s="1"/>
  <c r="M343" i="20" s="1"/>
  <c r="N343" i="20" s="1"/>
  <c r="C342" i="20"/>
  <c r="D342" i="20" s="1"/>
  <c r="E342" i="20" s="1"/>
  <c r="F342" i="20" s="1"/>
  <c r="G342" i="20" s="1"/>
  <c r="H342" i="20" s="1"/>
  <c r="I342" i="20" s="1"/>
  <c r="J342" i="20" s="1"/>
  <c r="K342" i="20" s="1"/>
  <c r="L342" i="20" s="1"/>
  <c r="M342" i="20" s="1"/>
  <c r="N342" i="20" s="1"/>
  <c r="C334" i="20"/>
  <c r="C336" i="20" s="1"/>
  <c r="B317" i="20"/>
  <c r="C317" i="20" s="1"/>
  <c r="D317" i="20" s="1"/>
  <c r="C320" i="20"/>
  <c r="D320" i="20" s="1"/>
  <c r="E320" i="20" s="1"/>
  <c r="F320" i="20" s="1"/>
  <c r="G320" i="20" s="1"/>
  <c r="H320" i="20" s="1"/>
  <c r="I320" i="20" s="1"/>
  <c r="J320" i="20" s="1"/>
  <c r="K320" i="20" s="1"/>
  <c r="L320" i="20" s="1"/>
  <c r="M320" i="20" s="1"/>
  <c r="N320" i="20" s="1"/>
  <c r="C319" i="20"/>
  <c r="C318" i="20"/>
  <c r="D318" i="20" s="1"/>
  <c r="E318" i="20" s="1"/>
  <c r="F318" i="20" s="1"/>
  <c r="G318" i="20" s="1"/>
  <c r="H318" i="20" s="1"/>
  <c r="I318" i="20" s="1"/>
  <c r="J318" i="20" s="1"/>
  <c r="K318" i="20" s="1"/>
  <c r="L318" i="20" s="1"/>
  <c r="M318" i="20" s="1"/>
  <c r="N318" i="20" s="1"/>
  <c r="C310" i="20"/>
  <c r="D310" i="20" s="1"/>
  <c r="B293" i="20"/>
  <c r="C293" i="20" s="1"/>
  <c r="C296" i="20"/>
  <c r="D296" i="20" s="1"/>
  <c r="E296" i="20" s="1"/>
  <c r="F296" i="20" s="1"/>
  <c r="G296" i="20" s="1"/>
  <c r="H296" i="20" s="1"/>
  <c r="I296" i="20" s="1"/>
  <c r="J296" i="20" s="1"/>
  <c r="K296" i="20" s="1"/>
  <c r="L296" i="20" s="1"/>
  <c r="M296" i="20" s="1"/>
  <c r="N296" i="20" s="1"/>
  <c r="C295" i="20"/>
  <c r="D295" i="20" s="1"/>
  <c r="E295" i="20" s="1"/>
  <c r="F295" i="20" s="1"/>
  <c r="G295" i="20" s="1"/>
  <c r="H295" i="20" s="1"/>
  <c r="I295" i="20" s="1"/>
  <c r="J295" i="20" s="1"/>
  <c r="K295" i="20" s="1"/>
  <c r="L295" i="20" s="1"/>
  <c r="M295" i="20" s="1"/>
  <c r="N295" i="20" s="1"/>
  <c r="C294" i="20"/>
  <c r="D294" i="20" s="1"/>
  <c r="E294" i="20" s="1"/>
  <c r="F294" i="20" s="1"/>
  <c r="G294" i="20" s="1"/>
  <c r="H294" i="20" s="1"/>
  <c r="I294" i="20" s="1"/>
  <c r="J294" i="20" s="1"/>
  <c r="K294" i="20" s="1"/>
  <c r="L294" i="20" s="1"/>
  <c r="M294" i="20" s="1"/>
  <c r="N294" i="20" s="1"/>
  <c r="C286" i="20"/>
  <c r="C287" i="20" s="1"/>
  <c r="B269" i="20"/>
  <c r="C269" i="20" s="1"/>
  <c r="C272" i="20"/>
  <c r="D272" i="20" s="1"/>
  <c r="E272" i="20" s="1"/>
  <c r="F272" i="20" s="1"/>
  <c r="G272" i="20" s="1"/>
  <c r="H272" i="20" s="1"/>
  <c r="I272" i="20" s="1"/>
  <c r="J272" i="20" s="1"/>
  <c r="K272" i="20" s="1"/>
  <c r="L272" i="20" s="1"/>
  <c r="M272" i="20" s="1"/>
  <c r="N272" i="20" s="1"/>
  <c r="C271" i="20"/>
  <c r="D271" i="20" s="1"/>
  <c r="E271" i="20" s="1"/>
  <c r="F271" i="20" s="1"/>
  <c r="G271" i="20" s="1"/>
  <c r="H271" i="20" s="1"/>
  <c r="I271" i="20" s="1"/>
  <c r="J271" i="20" s="1"/>
  <c r="K271" i="20" s="1"/>
  <c r="L271" i="20" s="1"/>
  <c r="M271" i="20" s="1"/>
  <c r="N271" i="20" s="1"/>
  <c r="C270" i="20"/>
  <c r="D270" i="20" s="1"/>
  <c r="C262" i="20"/>
  <c r="B245" i="20"/>
  <c r="C245" i="20" s="1"/>
  <c r="D245" i="20" s="1"/>
  <c r="E245" i="20" s="1"/>
  <c r="C248" i="20"/>
  <c r="D248" i="20" s="1"/>
  <c r="E248" i="20" s="1"/>
  <c r="F248" i="20" s="1"/>
  <c r="G248" i="20" s="1"/>
  <c r="H248" i="20" s="1"/>
  <c r="I248" i="20" s="1"/>
  <c r="J248" i="20" s="1"/>
  <c r="K248" i="20" s="1"/>
  <c r="L248" i="20" s="1"/>
  <c r="M248" i="20" s="1"/>
  <c r="N248" i="20" s="1"/>
  <c r="C247" i="20"/>
  <c r="D247" i="20" s="1"/>
  <c r="E247" i="20" s="1"/>
  <c r="F247" i="20" s="1"/>
  <c r="G247" i="20" s="1"/>
  <c r="H247" i="20" s="1"/>
  <c r="I247" i="20" s="1"/>
  <c r="J247" i="20" s="1"/>
  <c r="K247" i="20" s="1"/>
  <c r="L247" i="20" s="1"/>
  <c r="M247" i="20" s="1"/>
  <c r="N247" i="20" s="1"/>
  <c r="C246" i="20"/>
  <c r="C238" i="20"/>
  <c r="B221" i="20"/>
  <c r="C221" i="20" s="1"/>
  <c r="D221" i="20" s="1"/>
  <c r="C224" i="20"/>
  <c r="D224" i="20" s="1"/>
  <c r="E224" i="20" s="1"/>
  <c r="F224" i="20" s="1"/>
  <c r="G224" i="20" s="1"/>
  <c r="H224" i="20" s="1"/>
  <c r="I224" i="20" s="1"/>
  <c r="J224" i="20" s="1"/>
  <c r="K224" i="20" s="1"/>
  <c r="L224" i="20" s="1"/>
  <c r="M224" i="20" s="1"/>
  <c r="N224" i="20" s="1"/>
  <c r="C223" i="20"/>
  <c r="D223" i="20" s="1"/>
  <c r="E223" i="20" s="1"/>
  <c r="F223" i="20" s="1"/>
  <c r="G223" i="20" s="1"/>
  <c r="H223" i="20" s="1"/>
  <c r="I223" i="20" s="1"/>
  <c r="J223" i="20" s="1"/>
  <c r="K223" i="20" s="1"/>
  <c r="L223" i="20" s="1"/>
  <c r="M223" i="20" s="1"/>
  <c r="N223" i="20" s="1"/>
  <c r="C222" i="20"/>
  <c r="D222" i="20" s="1"/>
  <c r="E222" i="20" s="1"/>
  <c r="F222" i="20" s="1"/>
  <c r="G222" i="20" s="1"/>
  <c r="H222" i="20" s="1"/>
  <c r="I222" i="20" s="1"/>
  <c r="J222" i="20" s="1"/>
  <c r="K222" i="20" s="1"/>
  <c r="L222" i="20" s="1"/>
  <c r="M222" i="20" s="1"/>
  <c r="N222" i="20" s="1"/>
  <c r="C214" i="20"/>
  <c r="C216" i="20" s="1"/>
  <c r="B197" i="20"/>
  <c r="C197" i="20" s="1"/>
  <c r="C200" i="20"/>
  <c r="D200" i="20" s="1"/>
  <c r="E200" i="20" s="1"/>
  <c r="F200" i="20" s="1"/>
  <c r="G200" i="20" s="1"/>
  <c r="H200" i="20" s="1"/>
  <c r="I200" i="20" s="1"/>
  <c r="J200" i="20" s="1"/>
  <c r="K200" i="20" s="1"/>
  <c r="L200" i="20" s="1"/>
  <c r="M200" i="20" s="1"/>
  <c r="N200" i="20" s="1"/>
  <c r="C199" i="20"/>
  <c r="D199" i="20" s="1"/>
  <c r="E199" i="20" s="1"/>
  <c r="F199" i="20" s="1"/>
  <c r="G199" i="20" s="1"/>
  <c r="H199" i="20" s="1"/>
  <c r="I199" i="20" s="1"/>
  <c r="J199" i="20" s="1"/>
  <c r="K199" i="20" s="1"/>
  <c r="L199" i="20" s="1"/>
  <c r="M199" i="20" s="1"/>
  <c r="N199" i="20" s="1"/>
  <c r="C198" i="20"/>
  <c r="D198" i="20" s="1"/>
  <c r="E198" i="20" s="1"/>
  <c r="F198" i="20" s="1"/>
  <c r="G198" i="20" s="1"/>
  <c r="H198" i="20" s="1"/>
  <c r="I198" i="20" s="1"/>
  <c r="J198" i="20" s="1"/>
  <c r="K198" i="20" s="1"/>
  <c r="L198" i="20" s="1"/>
  <c r="M198" i="20" s="1"/>
  <c r="N198" i="20" s="1"/>
  <c r="C190" i="20"/>
  <c r="D190" i="20" s="1"/>
  <c r="E190" i="20" s="1"/>
  <c r="B173" i="20"/>
  <c r="C173" i="20" s="1"/>
  <c r="C176" i="20"/>
  <c r="D176" i="20" s="1"/>
  <c r="E176" i="20" s="1"/>
  <c r="F176" i="20" s="1"/>
  <c r="G176" i="20" s="1"/>
  <c r="H176" i="20" s="1"/>
  <c r="I176" i="20" s="1"/>
  <c r="J176" i="20" s="1"/>
  <c r="K176" i="20" s="1"/>
  <c r="L176" i="20" s="1"/>
  <c r="M176" i="20" s="1"/>
  <c r="N176" i="20" s="1"/>
  <c r="C175" i="20"/>
  <c r="D175" i="20" s="1"/>
  <c r="E175" i="20" s="1"/>
  <c r="F175" i="20" s="1"/>
  <c r="G175" i="20" s="1"/>
  <c r="H175" i="20" s="1"/>
  <c r="I175" i="20" s="1"/>
  <c r="J175" i="20" s="1"/>
  <c r="K175" i="20" s="1"/>
  <c r="L175" i="20" s="1"/>
  <c r="M175" i="20" s="1"/>
  <c r="N175" i="20" s="1"/>
  <c r="C174" i="20"/>
  <c r="D174" i="20" s="1"/>
  <c r="E174" i="20" s="1"/>
  <c r="F174" i="20" s="1"/>
  <c r="G174" i="20" s="1"/>
  <c r="H174" i="20" s="1"/>
  <c r="I174" i="20" s="1"/>
  <c r="J174" i="20" s="1"/>
  <c r="K174" i="20" s="1"/>
  <c r="L174" i="20" s="1"/>
  <c r="M174" i="20" s="1"/>
  <c r="N174" i="20" s="1"/>
  <c r="C166" i="20"/>
  <c r="D166" i="20" s="1"/>
  <c r="B149" i="20"/>
  <c r="C149" i="20" s="1"/>
  <c r="C152" i="20"/>
  <c r="D152" i="20" s="1"/>
  <c r="E152" i="20" s="1"/>
  <c r="F152" i="20" s="1"/>
  <c r="G152" i="20" s="1"/>
  <c r="H152" i="20" s="1"/>
  <c r="I152" i="20" s="1"/>
  <c r="J152" i="20" s="1"/>
  <c r="K152" i="20" s="1"/>
  <c r="L152" i="20" s="1"/>
  <c r="M152" i="20" s="1"/>
  <c r="N152" i="20" s="1"/>
  <c r="C151" i="20"/>
  <c r="D151" i="20" s="1"/>
  <c r="E151" i="20" s="1"/>
  <c r="F151" i="20" s="1"/>
  <c r="G151" i="20" s="1"/>
  <c r="H151" i="20" s="1"/>
  <c r="I151" i="20" s="1"/>
  <c r="J151" i="20" s="1"/>
  <c r="K151" i="20" s="1"/>
  <c r="L151" i="20" s="1"/>
  <c r="M151" i="20" s="1"/>
  <c r="N151" i="20" s="1"/>
  <c r="C150" i="20"/>
  <c r="D150" i="20" s="1"/>
  <c r="E150" i="20" s="1"/>
  <c r="F150" i="20" s="1"/>
  <c r="G150" i="20" s="1"/>
  <c r="H150" i="20" s="1"/>
  <c r="I150" i="20" s="1"/>
  <c r="J150" i="20" s="1"/>
  <c r="K150" i="20" s="1"/>
  <c r="L150" i="20" s="1"/>
  <c r="M150" i="20" s="1"/>
  <c r="N150" i="20" s="1"/>
  <c r="C142" i="20"/>
  <c r="D142" i="20" s="1"/>
  <c r="B125" i="20"/>
  <c r="C125" i="20" s="1"/>
  <c r="C128" i="20"/>
  <c r="D128" i="20" s="1"/>
  <c r="E128" i="20" s="1"/>
  <c r="F128" i="20" s="1"/>
  <c r="G128" i="20" s="1"/>
  <c r="H128" i="20" s="1"/>
  <c r="I128" i="20" s="1"/>
  <c r="J128" i="20" s="1"/>
  <c r="K128" i="20" s="1"/>
  <c r="L128" i="20" s="1"/>
  <c r="M128" i="20" s="1"/>
  <c r="N128" i="20" s="1"/>
  <c r="C127" i="20"/>
  <c r="D127" i="20" s="1"/>
  <c r="E127" i="20" s="1"/>
  <c r="F127" i="20" s="1"/>
  <c r="G127" i="20" s="1"/>
  <c r="H127" i="20" s="1"/>
  <c r="I127" i="20" s="1"/>
  <c r="J127" i="20" s="1"/>
  <c r="K127" i="20" s="1"/>
  <c r="L127" i="20" s="1"/>
  <c r="M127" i="20" s="1"/>
  <c r="N127" i="20" s="1"/>
  <c r="C126" i="20"/>
  <c r="D126" i="20" s="1"/>
  <c r="E126" i="20" s="1"/>
  <c r="F126" i="20" s="1"/>
  <c r="G126" i="20" s="1"/>
  <c r="H126" i="20" s="1"/>
  <c r="I126" i="20" s="1"/>
  <c r="J126" i="20" s="1"/>
  <c r="K126" i="20" s="1"/>
  <c r="L126" i="20" s="1"/>
  <c r="M126" i="20" s="1"/>
  <c r="N126" i="20" s="1"/>
  <c r="C118" i="20"/>
  <c r="C120" i="20" s="1"/>
  <c r="B101" i="20"/>
  <c r="C101" i="20" s="1"/>
  <c r="C104" i="20"/>
  <c r="D104" i="20" s="1"/>
  <c r="E104" i="20" s="1"/>
  <c r="F104" i="20" s="1"/>
  <c r="G104" i="20" s="1"/>
  <c r="H104" i="20" s="1"/>
  <c r="I104" i="20" s="1"/>
  <c r="J104" i="20" s="1"/>
  <c r="K104" i="20" s="1"/>
  <c r="L104" i="20" s="1"/>
  <c r="M104" i="20" s="1"/>
  <c r="N104" i="20" s="1"/>
  <c r="C103" i="20"/>
  <c r="D103" i="20" s="1"/>
  <c r="E103" i="20" s="1"/>
  <c r="F103" i="20" s="1"/>
  <c r="G103" i="20" s="1"/>
  <c r="H103" i="20" s="1"/>
  <c r="I103" i="20" s="1"/>
  <c r="J103" i="20" s="1"/>
  <c r="K103" i="20" s="1"/>
  <c r="L103" i="20" s="1"/>
  <c r="M103" i="20" s="1"/>
  <c r="N103" i="20" s="1"/>
  <c r="C102" i="20"/>
  <c r="D102" i="20" s="1"/>
  <c r="E102" i="20" s="1"/>
  <c r="F102" i="20" s="1"/>
  <c r="G102" i="20" s="1"/>
  <c r="H102" i="20" s="1"/>
  <c r="I102" i="20" s="1"/>
  <c r="J102" i="20" s="1"/>
  <c r="K102" i="20" s="1"/>
  <c r="L102" i="20" s="1"/>
  <c r="M102" i="20" s="1"/>
  <c r="N102" i="20" s="1"/>
  <c r="C94" i="20"/>
  <c r="C96" i="20" s="1"/>
  <c r="B77" i="20"/>
  <c r="C77" i="20" s="1"/>
  <c r="C80" i="20"/>
  <c r="D80" i="20" s="1"/>
  <c r="E80" i="20" s="1"/>
  <c r="F80" i="20" s="1"/>
  <c r="G80" i="20" s="1"/>
  <c r="H80" i="20" s="1"/>
  <c r="I80" i="20" s="1"/>
  <c r="J80" i="20" s="1"/>
  <c r="K80" i="20" s="1"/>
  <c r="L80" i="20" s="1"/>
  <c r="M80" i="20" s="1"/>
  <c r="N80" i="20" s="1"/>
  <c r="C79" i="20"/>
  <c r="D79" i="20" s="1"/>
  <c r="E79" i="20" s="1"/>
  <c r="F79" i="20" s="1"/>
  <c r="G79" i="20" s="1"/>
  <c r="H79" i="20" s="1"/>
  <c r="I79" i="20" s="1"/>
  <c r="J79" i="20" s="1"/>
  <c r="K79" i="20" s="1"/>
  <c r="L79" i="20" s="1"/>
  <c r="M79" i="20" s="1"/>
  <c r="N79" i="20" s="1"/>
  <c r="C78" i="20"/>
  <c r="D78" i="20" s="1"/>
  <c r="E78" i="20" s="1"/>
  <c r="F78" i="20" s="1"/>
  <c r="G78" i="20" s="1"/>
  <c r="H78" i="20" s="1"/>
  <c r="I78" i="20" s="1"/>
  <c r="J78" i="20" s="1"/>
  <c r="K78" i="20" s="1"/>
  <c r="L78" i="20" s="1"/>
  <c r="M78" i="20" s="1"/>
  <c r="N78" i="20" s="1"/>
  <c r="C72" i="20"/>
  <c r="D72" i="20" s="1"/>
  <c r="B55" i="20"/>
  <c r="C55" i="20" s="1"/>
  <c r="D55" i="20" s="1"/>
  <c r="C58" i="20"/>
  <c r="D58" i="20" s="1"/>
  <c r="E58" i="20" s="1"/>
  <c r="F58" i="20" s="1"/>
  <c r="G58" i="20" s="1"/>
  <c r="H58" i="20" s="1"/>
  <c r="I58" i="20" s="1"/>
  <c r="J58" i="20" s="1"/>
  <c r="K58" i="20" s="1"/>
  <c r="L58" i="20" s="1"/>
  <c r="M58" i="20" s="1"/>
  <c r="N58" i="20" s="1"/>
  <c r="C57" i="20"/>
  <c r="D57" i="20" s="1"/>
  <c r="E57" i="20" s="1"/>
  <c r="F57" i="20" s="1"/>
  <c r="G57" i="20" s="1"/>
  <c r="H57" i="20" s="1"/>
  <c r="I57" i="20" s="1"/>
  <c r="J57" i="20" s="1"/>
  <c r="K57" i="20" s="1"/>
  <c r="L57" i="20" s="1"/>
  <c r="M57" i="20" s="1"/>
  <c r="N57" i="20" s="1"/>
  <c r="C56" i="20"/>
  <c r="D56" i="20" s="1"/>
  <c r="E56" i="20" s="1"/>
  <c r="F56" i="20" s="1"/>
  <c r="G56" i="20" s="1"/>
  <c r="H56" i="20" s="1"/>
  <c r="I56" i="20" s="1"/>
  <c r="J56" i="20" s="1"/>
  <c r="K56" i="20" s="1"/>
  <c r="L56" i="20" s="1"/>
  <c r="M56" i="20" s="1"/>
  <c r="N56" i="20" s="1"/>
  <c r="C50" i="20"/>
  <c r="C51" i="20" s="1"/>
  <c r="B33" i="20"/>
  <c r="C33" i="20" s="1"/>
  <c r="C36" i="20"/>
  <c r="D36" i="20" s="1"/>
  <c r="E36" i="20" s="1"/>
  <c r="F36" i="20" s="1"/>
  <c r="G36" i="20" s="1"/>
  <c r="H36" i="20" s="1"/>
  <c r="I36" i="20" s="1"/>
  <c r="J36" i="20" s="1"/>
  <c r="K36" i="20" s="1"/>
  <c r="L36" i="20" s="1"/>
  <c r="M36" i="20" s="1"/>
  <c r="N36" i="20" s="1"/>
  <c r="C35" i="20"/>
  <c r="D35" i="20" s="1"/>
  <c r="E35" i="20" s="1"/>
  <c r="F35" i="20" s="1"/>
  <c r="G35" i="20" s="1"/>
  <c r="H35" i="20" s="1"/>
  <c r="I35" i="20" s="1"/>
  <c r="J35" i="20" s="1"/>
  <c r="K35" i="20" s="1"/>
  <c r="L35" i="20" s="1"/>
  <c r="M35" i="20" s="1"/>
  <c r="N35" i="20" s="1"/>
  <c r="C34" i="20"/>
  <c r="D34" i="20" s="1"/>
  <c r="E34" i="20" s="1"/>
  <c r="F34" i="20" s="1"/>
  <c r="G34" i="20" s="1"/>
  <c r="H34" i="20" s="1"/>
  <c r="I34" i="20" s="1"/>
  <c r="J34" i="20" s="1"/>
  <c r="K34" i="20" s="1"/>
  <c r="L34" i="20" s="1"/>
  <c r="M34" i="20" s="1"/>
  <c r="N34" i="20" s="1"/>
  <c r="C28" i="20"/>
  <c r="D28" i="20" s="1"/>
  <c r="R145" i="2"/>
  <c r="R146" i="2"/>
  <c r="R147" i="2"/>
  <c r="R148" i="2"/>
  <c r="AF120" i="2"/>
  <c r="C349" i="17" s="1"/>
  <c r="AE120" i="2"/>
  <c r="AD120" i="2"/>
  <c r="C348" i="17" s="1"/>
  <c r="C264" i="17" s="1"/>
  <c r="C346" i="17"/>
  <c r="R152" i="2"/>
  <c r="R151" i="2"/>
  <c r="R150" i="2"/>
  <c r="R149" i="2"/>
  <c r="R163" i="2"/>
  <c r="R162" i="2"/>
  <c r="R161" i="2"/>
  <c r="R160" i="2"/>
  <c r="R159" i="2"/>
  <c r="R158" i="2"/>
  <c r="R157" i="2"/>
  <c r="R164" i="2"/>
  <c r="Q194" i="2"/>
  <c r="Q193" i="2"/>
  <c r="C162" i="17" s="1"/>
  <c r="C262" i="17" l="1"/>
  <c r="E346" i="17"/>
  <c r="C175" i="17"/>
  <c r="G175" i="17"/>
  <c r="Y155" i="2"/>
  <c r="E348" i="17"/>
  <c r="E349" i="17"/>
  <c r="C708" i="20"/>
  <c r="C684" i="20"/>
  <c r="C660" i="20"/>
  <c r="D681" i="20"/>
  <c r="D682" i="20" s="1"/>
  <c r="D683" i="20" s="1"/>
  <c r="E677" i="20"/>
  <c r="D705" i="20"/>
  <c r="D706" i="20" s="1"/>
  <c r="D707" i="20" s="1"/>
  <c r="E701" i="20"/>
  <c r="F694" i="20"/>
  <c r="E695" i="20"/>
  <c r="E696" i="20"/>
  <c r="E646" i="20"/>
  <c r="D648" i="20"/>
  <c r="D647" i="20"/>
  <c r="F671" i="20"/>
  <c r="G670" i="20"/>
  <c r="F672" i="20"/>
  <c r="D657" i="20"/>
  <c r="D658" i="20" s="1"/>
  <c r="D660" i="20" s="1"/>
  <c r="E653" i="20"/>
  <c r="D214" i="20"/>
  <c r="D215" i="20" s="1"/>
  <c r="C600" i="20"/>
  <c r="C417" i="20"/>
  <c r="C418" i="20" s="1"/>
  <c r="D286" i="20"/>
  <c r="D287" i="20" s="1"/>
  <c r="D502" i="20"/>
  <c r="E502" i="20" s="1"/>
  <c r="E504" i="20" s="1"/>
  <c r="C335" i="20"/>
  <c r="C360" i="20"/>
  <c r="C52" i="20"/>
  <c r="C73" i="20"/>
  <c r="C29" i="20"/>
  <c r="C249" i="20"/>
  <c r="C250" i="20" s="1"/>
  <c r="C167" i="20"/>
  <c r="D269" i="20"/>
  <c r="E269" i="20" s="1"/>
  <c r="F269" i="20" s="1"/>
  <c r="C273" i="20"/>
  <c r="C274" i="20" s="1"/>
  <c r="D216" i="20"/>
  <c r="D406" i="20"/>
  <c r="E406" i="20" s="1"/>
  <c r="C552" i="20"/>
  <c r="C311" i="20"/>
  <c r="D454" i="20"/>
  <c r="E454" i="20" s="1"/>
  <c r="E456" i="20" s="1"/>
  <c r="D574" i="20"/>
  <c r="E574" i="20" s="1"/>
  <c r="C455" i="20"/>
  <c r="C575" i="20"/>
  <c r="C623" i="20"/>
  <c r="C74" i="20"/>
  <c r="D94" i="20"/>
  <c r="E94" i="20" s="1"/>
  <c r="F94" i="20" s="1"/>
  <c r="D382" i="20"/>
  <c r="D383" i="20" s="1"/>
  <c r="C551" i="20"/>
  <c r="C561" i="20"/>
  <c r="C562" i="20" s="1"/>
  <c r="D557" i="20"/>
  <c r="C585" i="20"/>
  <c r="C586" i="20" s="1"/>
  <c r="D581" i="20"/>
  <c r="D629" i="20"/>
  <c r="C633" i="20"/>
  <c r="C634" i="20" s="1"/>
  <c r="D533" i="20"/>
  <c r="C537" i="20"/>
  <c r="C538" i="20" s="1"/>
  <c r="C528" i="20"/>
  <c r="D526" i="20"/>
  <c r="E550" i="20"/>
  <c r="D552" i="20"/>
  <c r="D605" i="20"/>
  <c r="C609" i="20"/>
  <c r="C610" i="20" s="1"/>
  <c r="D598" i="20"/>
  <c r="E622" i="20"/>
  <c r="D624" i="20"/>
  <c r="D623" i="20"/>
  <c r="C624" i="20"/>
  <c r="D509" i="20"/>
  <c r="C513" i="20"/>
  <c r="C514" i="20" s="1"/>
  <c r="F430" i="20"/>
  <c r="E432" i="20"/>
  <c r="E431" i="20"/>
  <c r="D461" i="20"/>
  <c r="C465" i="20"/>
  <c r="C466" i="20" s="1"/>
  <c r="D479" i="20"/>
  <c r="E478" i="20"/>
  <c r="D480" i="20"/>
  <c r="C431" i="20"/>
  <c r="C432" i="20"/>
  <c r="D437" i="20"/>
  <c r="C441" i="20"/>
  <c r="C442" i="20" s="1"/>
  <c r="C480" i="20"/>
  <c r="C489" i="20"/>
  <c r="C490" i="20" s="1"/>
  <c r="C479" i="20"/>
  <c r="E485" i="20"/>
  <c r="D489" i="20"/>
  <c r="D490" i="20" s="1"/>
  <c r="D413" i="20"/>
  <c r="D432" i="20"/>
  <c r="D431" i="20"/>
  <c r="C408" i="20"/>
  <c r="C503" i="20"/>
  <c r="D319" i="20"/>
  <c r="E319" i="20" s="1"/>
  <c r="F319" i="20" s="1"/>
  <c r="G319" i="20" s="1"/>
  <c r="H319" i="20" s="1"/>
  <c r="I319" i="20" s="1"/>
  <c r="J319" i="20" s="1"/>
  <c r="K319" i="20" s="1"/>
  <c r="L319" i="20" s="1"/>
  <c r="M319" i="20" s="1"/>
  <c r="N319" i="20" s="1"/>
  <c r="C321" i="20"/>
  <c r="C322" i="20" s="1"/>
  <c r="D365" i="20"/>
  <c r="C369" i="20"/>
  <c r="C370" i="20" s="1"/>
  <c r="E317" i="20"/>
  <c r="D341" i="20"/>
  <c r="C345" i="20"/>
  <c r="C346" i="20" s="1"/>
  <c r="D358" i="20"/>
  <c r="C297" i="20"/>
  <c r="C298" i="20" s="1"/>
  <c r="D293" i="20"/>
  <c r="D312" i="20"/>
  <c r="D311" i="20"/>
  <c r="E310" i="20"/>
  <c r="D334" i="20"/>
  <c r="C393" i="20"/>
  <c r="C394" i="20" s="1"/>
  <c r="D389" i="20"/>
  <c r="C288" i="20"/>
  <c r="C383" i="20"/>
  <c r="C312" i="20"/>
  <c r="D173" i="20"/>
  <c r="C177" i="20"/>
  <c r="C178" i="20" s="1"/>
  <c r="C201" i="20"/>
  <c r="C202" i="20" s="1"/>
  <c r="D197" i="20"/>
  <c r="D167" i="20"/>
  <c r="E166" i="20"/>
  <c r="C192" i="20"/>
  <c r="C168" i="20"/>
  <c r="C191" i="20"/>
  <c r="C239" i="20"/>
  <c r="D238" i="20"/>
  <c r="C240" i="20"/>
  <c r="D246" i="20"/>
  <c r="F190" i="20"/>
  <c r="E192" i="20"/>
  <c r="E191" i="20"/>
  <c r="E270" i="20"/>
  <c r="F270" i="20" s="1"/>
  <c r="G270" i="20" s="1"/>
  <c r="H270" i="20" s="1"/>
  <c r="I270" i="20" s="1"/>
  <c r="J270" i="20" s="1"/>
  <c r="K270" i="20" s="1"/>
  <c r="L270" i="20" s="1"/>
  <c r="M270" i="20" s="1"/>
  <c r="N270" i="20" s="1"/>
  <c r="D192" i="20"/>
  <c r="F245" i="20"/>
  <c r="D168" i="20"/>
  <c r="D191" i="20"/>
  <c r="D262" i="20"/>
  <c r="C264" i="20"/>
  <c r="C263" i="20"/>
  <c r="C225" i="20"/>
  <c r="C226" i="20" s="1"/>
  <c r="D225" i="20"/>
  <c r="D226" i="20" s="1"/>
  <c r="E221" i="20"/>
  <c r="C215" i="20"/>
  <c r="C81" i="20"/>
  <c r="C82" i="20" s="1"/>
  <c r="D77" i="20"/>
  <c r="D149" i="20"/>
  <c r="C153" i="20"/>
  <c r="C154" i="20" s="1"/>
  <c r="E72" i="20"/>
  <c r="D74" i="20"/>
  <c r="D73" i="20"/>
  <c r="E55" i="20"/>
  <c r="D59" i="20"/>
  <c r="D60" i="20" s="1"/>
  <c r="D96" i="20"/>
  <c r="C59" i="20"/>
  <c r="C60" i="20" s="1"/>
  <c r="C105" i="20"/>
  <c r="C106" i="20" s="1"/>
  <c r="D101" i="20"/>
  <c r="D125" i="20"/>
  <c r="C129" i="20"/>
  <c r="C130" i="20" s="1"/>
  <c r="C143" i="20"/>
  <c r="C144" i="20"/>
  <c r="D50" i="20"/>
  <c r="C119" i="20"/>
  <c r="D118" i="20"/>
  <c r="E142" i="20"/>
  <c r="D144" i="20"/>
  <c r="D143" i="20"/>
  <c r="C95" i="20"/>
  <c r="E28" i="20"/>
  <c r="D29" i="20"/>
  <c r="D30" i="20"/>
  <c r="D33" i="20"/>
  <c r="C37" i="20"/>
  <c r="C38" i="20" s="1"/>
  <c r="C30" i="20"/>
  <c r="D708" i="20" l="1"/>
  <c r="D659" i="20"/>
  <c r="F701" i="20"/>
  <c r="E705" i="20"/>
  <c r="E706" i="20" s="1"/>
  <c r="E707" i="20" s="1"/>
  <c r="G671" i="20"/>
  <c r="H670" i="20"/>
  <c r="G672" i="20"/>
  <c r="E657" i="20"/>
  <c r="E658" i="20" s="1"/>
  <c r="E659" i="20" s="1"/>
  <c r="F653" i="20"/>
  <c r="F646" i="20"/>
  <c r="E648" i="20"/>
  <c r="E647" i="20"/>
  <c r="D684" i="20"/>
  <c r="E681" i="20"/>
  <c r="E682" i="20" s="1"/>
  <c r="E684" i="20" s="1"/>
  <c r="F677" i="20"/>
  <c r="F695" i="20"/>
  <c r="G694" i="20"/>
  <c r="F696" i="20"/>
  <c r="D504" i="20"/>
  <c r="E214" i="20"/>
  <c r="E216" i="20" s="1"/>
  <c r="E455" i="20"/>
  <c r="E286" i="20"/>
  <c r="F286" i="20" s="1"/>
  <c r="G286" i="20" s="1"/>
  <c r="D456" i="20"/>
  <c r="F454" i="20"/>
  <c r="F456" i="20" s="1"/>
  <c r="D503" i="20"/>
  <c r="D455" i="20"/>
  <c r="D288" i="20"/>
  <c r="E503" i="20"/>
  <c r="D321" i="20"/>
  <c r="D322" i="20" s="1"/>
  <c r="D273" i="20"/>
  <c r="D274" i="20" s="1"/>
  <c r="F502" i="20"/>
  <c r="G502" i="20" s="1"/>
  <c r="E96" i="20"/>
  <c r="D407" i="20"/>
  <c r="D408" i="20"/>
  <c r="E95" i="20"/>
  <c r="E273" i="20"/>
  <c r="E274" i="20" s="1"/>
  <c r="E382" i="20"/>
  <c r="D384" i="20"/>
  <c r="D95" i="20"/>
  <c r="D575" i="20"/>
  <c r="D576" i="20"/>
  <c r="E215" i="20"/>
  <c r="D609" i="20"/>
  <c r="D610" i="20" s="1"/>
  <c r="E605" i="20"/>
  <c r="D585" i="20"/>
  <c r="D586" i="20" s="1"/>
  <c r="E581" i="20"/>
  <c r="E575" i="20"/>
  <c r="F574" i="20"/>
  <c r="E576" i="20"/>
  <c r="F550" i="20"/>
  <c r="E552" i="20"/>
  <c r="E551" i="20"/>
  <c r="D561" i="20"/>
  <c r="D562" i="20" s="1"/>
  <c r="E557" i="20"/>
  <c r="D599" i="20"/>
  <c r="D600" i="20"/>
  <c r="E598" i="20"/>
  <c r="D527" i="20"/>
  <c r="E526" i="20"/>
  <c r="D528" i="20"/>
  <c r="D633" i="20"/>
  <c r="D634" i="20" s="1"/>
  <c r="E629" i="20"/>
  <c r="D537" i="20"/>
  <c r="D538" i="20" s="1"/>
  <c r="E533" i="20"/>
  <c r="E624" i="20"/>
  <c r="E623" i="20"/>
  <c r="F622" i="20"/>
  <c r="D441" i="20"/>
  <c r="D442" i="20" s="1"/>
  <c r="E437" i="20"/>
  <c r="D513" i="20"/>
  <c r="D514" i="20" s="1"/>
  <c r="E509" i="20"/>
  <c r="F432" i="20"/>
  <c r="G430" i="20"/>
  <c r="F431" i="20"/>
  <c r="D417" i="20"/>
  <c r="D418" i="20" s="1"/>
  <c r="E413" i="20"/>
  <c r="D465" i="20"/>
  <c r="D466" i="20" s="1"/>
  <c r="E461" i="20"/>
  <c r="G454" i="20"/>
  <c r="E407" i="20"/>
  <c r="F406" i="20"/>
  <c r="E408" i="20"/>
  <c r="E489" i="20"/>
  <c r="E490" i="20" s="1"/>
  <c r="F485" i="20"/>
  <c r="F478" i="20"/>
  <c r="E480" i="20"/>
  <c r="E479" i="20"/>
  <c r="D335" i="20"/>
  <c r="E334" i="20"/>
  <c r="D336" i="20"/>
  <c r="E311" i="20"/>
  <c r="E312" i="20"/>
  <c r="F310" i="20"/>
  <c r="E358" i="20"/>
  <c r="D360" i="20"/>
  <c r="D359" i="20"/>
  <c r="D393" i="20"/>
  <c r="D394" i="20" s="1"/>
  <c r="E389" i="20"/>
  <c r="E365" i="20"/>
  <c r="D369" i="20"/>
  <c r="D370" i="20" s="1"/>
  <c r="D345" i="20"/>
  <c r="D346" i="20" s="1"/>
  <c r="E341" i="20"/>
  <c r="D297" i="20"/>
  <c r="D298" i="20" s="1"/>
  <c r="E293" i="20"/>
  <c r="E321" i="20"/>
  <c r="E322" i="20" s="1"/>
  <c r="F317" i="20"/>
  <c r="E246" i="20"/>
  <c r="D249" i="20"/>
  <c r="D250" i="20" s="1"/>
  <c r="F273" i="20"/>
  <c r="F274" i="20" s="1"/>
  <c r="G269" i="20"/>
  <c r="E167" i="20"/>
  <c r="E168" i="20"/>
  <c r="F166" i="20"/>
  <c r="E262" i="20"/>
  <c r="D264" i="20"/>
  <c r="D263" i="20"/>
  <c r="D177" i="20"/>
  <c r="D178" i="20" s="1"/>
  <c r="E173" i="20"/>
  <c r="F221" i="20"/>
  <c r="E225" i="20"/>
  <c r="E226" i="20" s="1"/>
  <c r="G245" i="20"/>
  <c r="D239" i="20"/>
  <c r="D240" i="20"/>
  <c r="E238" i="20"/>
  <c r="F192" i="20"/>
  <c r="F191" i="20"/>
  <c r="G190" i="20"/>
  <c r="E197" i="20"/>
  <c r="D201" i="20"/>
  <c r="D202" i="20" s="1"/>
  <c r="F95" i="20"/>
  <c r="G94" i="20"/>
  <c r="F96" i="20"/>
  <c r="D119" i="20"/>
  <c r="D120" i="20"/>
  <c r="E118" i="20"/>
  <c r="D129" i="20"/>
  <c r="D130" i="20" s="1"/>
  <c r="E125" i="20"/>
  <c r="E77" i="20"/>
  <c r="D81" i="20"/>
  <c r="D82" i="20" s="1"/>
  <c r="E144" i="20"/>
  <c r="E143" i="20"/>
  <c r="F142" i="20"/>
  <c r="F72" i="20"/>
  <c r="E74" i="20"/>
  <c r="E73" i="20"/>
  <c r="E149" i="20"/>
  <c r="D153" i="20"/>
  <c r="D154" i="20" s="1"/>
  <c r="D105" i="20"/>
  <c r="D106" i="20" s="1"/>
  <c r="E101" i="20"/>
  <c r="D51" i="20"/>
  <c r="E50" i="20"/>
  <c r="D52" i="20"/>
  <c r="E59" i="20"/>
  <c r="E60" i="20" s="1"/>
  <c r="F55" i="20"/>
  <c r="E33" i="20"/>
  <c r="D37" i="20"/>
  <c r="D38" i="20" s="1"/>
  <c r="E30" i="20"/>
  <c r="E29" i="20"/>
  <c r="F28" i="20"/>
  <c r="E708" i="20" l="1"/>
  <c r="E660" i="20"/>
  <c r="F681" i="20"/>
  <c r="F682" i="20" s="1"/>
  <c r="F684" i="20" s="1"/>
  <c r="G677" i="20"/>
  <c r="F657" i="20"/>
  <c r="F658" i="20" s="1"/>
  <c r="F660" i="20" s="1"/>
  <c r="G653" i="20"/>
  <c r="E683" i="20"/>
  <c r="H671" i="20"/>
  <c r="H672" i="20"/>
  <c r="I670" i="20"/>
  <c r="F705" i="20"/>
  <c r="F706" i="20" s="1"/>
  <c r="F708" i="20" s="1"/>
  <c r="G701" i="20"/>
  <c r="G695" i="20"/>
  <c r="G696" i="20"/>
  <c r="H694" i="20"/>
  <c r="G646" i="20"/>
  <c r="F648" i="20"/>
  <c r="F647" i="20"/>
  <c r="F214" i="20"/>
  <c r="F287" i="20"/>
  <c r="F455" i="20"/>
  <c r="E288" i="20"/>
  <c r="F288" i="20"/>
  <c r="E287" i="20"/>
  <c r="F503" i="20"/>
  <c r="F504" i="20"/>
  <c r="H502" i="20"/>
  <c r="G503" i="20"/>
  <c r="G504" i="20"/>
  <c r="F215" i="20"/>
  <c r="F216" i="20"/>
  <c r="G214" i="20"/>
  <c r="F382" i="20"/>
  <c r="E383" i="20"/>
  <c r="E384" i="20"/>
  <c r="F598" i="20"/>
  <c r="E600" i="20"/>
  <c r="E599" i="20"/>
  <c r="F624" i="20"/>
  <c r="F623" i="20"/>
  <c r="G622" i="20"/>
  <c r="F552" i="20"/>
  <c r="F551" i="20"/>
  <c r="G550" i="20"/>
  <c r="E561" i="20"/>
  <c r="E562" i="20" s="1"/>
  <c r="F557" i="20"/>
  <c r="F575" i="20"/>
  <c r="G574" i="20"/>
  <c r="F576" i="20"/>
  <c r="E527" i="20"/>
  <c r="F526" i="20"/>
  <c r="E528" i="20"/>
  <c r="F581" i="20"/>
  <c r="E585" i="20"/>
  <c r="E586" i="20" s="1"/>
  <c r="E633" i="20"/>
  <c r="E634" i="20" s="1"/>
  <c r="F629" i="20"/>
  <c r="E609" i="20"/>
  <c r="E610" i="20" s="1"/>
  <c r="F605" i="20"/>
  <c r="E537" i="20"/>
  <c r="E538" i="20" s="1"/>
  <c r="F533" i="20"/>
  <c r="F509" i="20"/>
  <c r="E513" i="20"/>
  <c r="E514" i="20" s="1"/>
  <c r="G406" i="20"/>
  <c r="F408" i="20"/>
  <c r="F407" i="20"/>
  <c r="G455" i="20"/>
  <c r="G456" i="20"/>
  <c r="H454" i="20"/>
  <c r="E441" i="20"/>
  <c r="E442" i="20" s="1"/>
  <c r="F437" i="20"/>
  <c r="F413" i="20"/>
  <c r="E417" i="20"/>
  <c r="E418" i="20" s="1"/>
  <c r="F489" i="20"/>
  <c r="F490" i="20" s="1"/>
  <c r="G485" i="20"/>
  <c r="H430" i="20"/>
  <c r="G431" i="20"/>
  <c r="G432" i="20"/>
  <c r="F480" i="20"/>
  <c r="F479" i="20"/>
  <c r="G478" i="20"/>
  <c r="F461" i="20"/>
  <c r="E465" i="20"/>
  <c r="E466" i="20" s="1"/>
  <c r="E345" i="20"/>
  <c r="E346" i="20" s="1"/>
  <c r="F341" i="20"/>
  <c r="F293" i="20"/>
  <c r="E297" i="20"/>
  <c r="E298" i="20" s="1"/>
  <c r="F389" i="20"/>
  <c r="E393" i="20"/>
  <c r="E394" i="20" s="1"/>
  <c r="G317" i="20"/>
  <c r="F321" i="20"/>
  <c r="F322" i="20" s="1"/>
  <c r="G288" i="20"/>
  <c r="G287" i="20"/>
  <c r="H286" i="20"/>
  <c r="E369" i="20"/>
  <c r="E370" i="20" s="1"/>
  <c r="F365" i="20"/>
  <c r="F358" i="20"/>
  <c r="E360" i="20"/>
  <c r="E359" i="20"/>
  <c r="E335" i="20"/>
  <c r="E336" i="20"/>
  <c r="F334" i="20"/>
  <c r="G310" i="20"/>
  <c r="F312" i="20"/>
  <c r="F311" i="20"/>
  <c r="E177" i="20"/>
  <c r="E178" i="20" s="1"/>
  <c r="F173" i="20"/>
  <c r="E239" i="20"/>
  <c r="F238" i="20"/>
  <c r="E240" i="20"/>
  <c r="H245" i="20"/>
  <c r="H269" i="20"/>
  <c r="G273" i="20"/>
  <c r="G274" i="20" s="1"/>
  <c r="E201" i="20"/>
  <c r="E202" i="20" s="1"/>
  <c r="F197" i="20"/>
  <c r="H190" i="20"/>
  <c r="G192" i="20"/>
  <c r="G191" i="20"/>
  <c r="F225" i="20"/>
  <c r="F226" i="20" s="1"/>
  <c r="G221" i="20"/>
  <c r="E264" i="20"/>
  <c r="E263" i="20"/>
  <c r="F262" i="20"/>
  <c r="G166" i="20"/>
  <c r="F168" i="20"/>
  <c r="F167" i="20"/>
  <c r="F246" i="20"/>
  <c r="E249" i="20"/>
  <c r="E250" i="20" s="1"/>
  <c r="F101" i="20"/>
  <c r="E105" i="20"/>
  <c r="E106" i="20" s="1"/>
  <c r="E81" i="20"/>
  <c r="E82" i="20" s="1"/>
  <c r="F77" i="20"/>
  <c r="F74" i="20"/>
  <c r="F73" i="20"/>
  <c r="G72" i="20"/>
  <c r="F144" i="20"/>
  <c r="G142" i="20"/>
  <c r="F143" i="20"/>
  <c r="E129" i="20"/>
  <c r="E130" i="20" s="1"/>
  <c r="F125" i="20"/>
  <c r="G95" i="20"/>
  <c r="G96" i="20"/>
  <c r="H94" i="20"/>
  <c r="E153" i="20"/>
  <c r="E154" i="20" s="1"/>
  <c r="F149" i="20"/>
  <c r="E52" i="20"/>
  <c r="F50" i="20"/>
  <c r="E51" i="20"/>
  <c r="E120" i="20"/>
  <c r="E119" i="20"/>
  <c r="F118" i="20"/>
  <c r="F59" i="20"/>
  <c r="F60" i="20" s="1"/>
  <c r="G55" i="20"/>
  <c r="E37" i="20"/>
  <c r="E38" i="20" s="1"/>
  <c r="F33" i="20"/>
  <c r="G28" i="20"/>
  <c r="F30" i="20"/>
  <c r="F29" i="20"/>
  <c r="F659" i="20" l="1"/>
  <c r="I694" i="20"/>
  <c r="H696" i="20"/>
  <c r="H695" i="20"/>
  <c r="F683" i="20"/>
  <c r="F707" i="20"/>
  <c r="G705" i="20"/>
  <c r="G706" i="20" s="1"/>
  <c r="G708" i="20" s="1"/>
  <c r="H701" i="20"/>
  <c r="G657" i="20"/>
  <c r="G658" i="20" s="1"/>
  <c r="G659" i="20" s="1"/>
  <c r="H653" i="20"/>
  <c r="H677" i="20"/>
  <c r="G681" i="20"/>
  <c r="G682" i="20" s="1"/>
  <c r="G683" i="20" s="1"/>
  <c r="G648" i="20"/>
  <c r="G647" i="20"/>
  <c r="H646" i="20"/>
  <c r="I671" i="20"/>
  <c r="I672" i="20"/>
  <c r="J670" i="20"/>
  <c r="H504" i="20"/>
  <c r="I502" i="20"/>
  <c r="H503" i="20"/>
  <c r="G215" i="20"/>
  <c r="H214" i="20"/>
  <c r="G216" i="20"/>
  <c r="F383" i="20"/>
  <c r="F384" i="20"/>
  <c r="G382" i="20"/>
  <c r="F609" i="20"/>
  <c r="F610" i="20" s="1"/>
  <c r="G605" i="20"/>
  <c r="G575" i="20"/>
  <c r="G576" i="20"/>
  <c r="H574" i="20"/>
  <c r="G623" i="20"/>
  <c r="G624" i="20"/>
  <c r="H622" i="20"/>
  <c r="F585" i="20"/>
  <c r="F586" i="20" s="1"/>
  <c r="G581" i="20"/>
  <c r="F537" i="20"/>
  <c r="F538" i="20" s="1"/>
  <c r="G533" i="20"/>
  <c r="F561" i="20"/>
  <c r="F562" i="20" s="1"/>
  <c r="G557" i="20"/>
  <c r="F633" i="20"/>
  <c r="F634" i="20" s="1"/>
  <c r="G629" i="20"/>
  <c r="G526" i="20"/>
  <c r="F528" i="20"/>
  <c r="F527" i="20"/>
  <c r="G551" i="20"/>
  <c r="H550" i="20"/>
  <c r="G552" i="20"/>
  <c r="G598" i="20"/>
  <c r="F600" i="20"/>
  <c r="F599" i="20"/>
  <c r="G437" i="20"/>
  <c r="F441" i="20"/>
  <c r="F442" i="20" s="1"/>
  <c r="G408" i="20"/>
  <c r="G407" i="20"/>
  <c r="H406" i="20"/>
  <c r="H431" i="20"/>
  <c r="H432" i="20"/>
  <c r="I430" i="20"/>
  <c r="G413" i="20"/>
  <c r="F417" i="20"/>
  <c r="F418" i="20" s="1"/>
  <c r="F465" i="20"/>
  <c r="F466" i="20" s="1"/>
  <c r="G461" i="20"/>
  <c r="I454" i="20"/>
  <c r="H456" i="20"/>
  <c r="H455" i="20"/>
  <c r="F513" i="20"/>
  <c r="F514" i="20" s="1"/>
  <c r="G509" i="20"/>
  <c r="H478" i="20"/>
  <c r="G480" i="20"/>
  <c r="G479" i="20"/>
  <c r="G489" i="20"/>
  <c r="G490" i="20" s="1"/>
  <c r="H485" i="20"/>
  <c r="G389" i="20"/>
  <c r="F393" i="20"/>
  <c r="F394" i="20" s="1"/>
  <c r="G334" i="20"/>
  <c r="F335" i="20"/>
  <c r="F336" i="20"/>
  <c r="H317" i="20"/>
  <c r="G321" i="20"/>
  <c r="G322" i="20" s="1"/>
  <c r="F297" i="20"/>
  <c r="F298" i="20" s="1"/>
  <c r="G293" i="20"/>
  <c r="I286" i="20"/>
  <c r="H287" i="20"/>
  <c r="H288" i="20"/>
  <c r="F360" i="20"/>
  <c r="F359" i="20"/>
  <c r="G358" i="20"/>
  <c r="F345" i="20"/>
  <c r="F346" i="20" s="1"/>
  <c r="G341" i="20"/>
  <c r="G311" i="20"/>
  <c r="H310" i="20"/>
  <c r="G312" i="20"/>
  <c r="F369" i="20"/>
  <c r="F370" i="20" s="1"/>
  <c r="G365" i="20"/>
  <c r="G246" i="20"/>
  <c r="F249" i="20"/>
  <c r="F250" i="20" s="1"/>
  <c r="G225" i="20"/>
  <c r="G226" i="20" s="1"/>
  <c r="H221" i="20"/>
  <c r="H166" i="20"/>
  <c r="G168" i="20"/>
  <c r="G167" i="20"/>
  <c r="H191" i="20"/>
  <c r="H192" i="20"/>
  <c r="I190" i="20"/>
  <c r="I269" i="20"/>
  <c r="H273" i="20"/>
  <c r="H274" i="20" s="1"/>
  <c r="I245" i="20"/>
  <c r="G238" i="20"/>
  <c r="F240" i="20"/>
  <c r="F239" i="20"/>
  <c r="F177" i="20"/>
  <c r="F178" i="20" s="1"/>
  <c r="G173" i="20"/>
  <c r="F264" i="20"/>
  <c r="G262" i="20"/>
  <c r="F263" i="20"/>
  <c r="F201" i="20"/>
  <c r="F202" i="20" s="1"/>
  <c r="G197" i="20"/>
  <c r="F52" i="20"/>
  <c r="F51" i="20"/>
  <c r="G50" i="20"/>
  <c r="H55" i="20"/>
  <c r="G59" i="20"/>
  <c r="G60" i="20" s="1"/>
  <c r="G101" i="20"/>
  <c r="F105" i="20"/>
  <c r="F106" i="20" s="1"/>
  <c r="F81" i="20"/>
  <c r="F82" i="20" s="1"/>
  <c r="G77" i="20"/>
  <c r="H72" i="20"/>
  <c r="G73" i="20"/>
  <c r="G74" i="20"/>
  <c r="F153" i="20"/>
  <c r="F154" i="20" s="1"/>
  <c r="G149" i="20"/>
  <c r="G118" i="20"/>
  <c r="F120" i="20"/>
  <c r="F119" i="20"/>
  <c r="H96" i="20"/>
  <c r="H95" i="20"/>
  <c r="I94" i="20"/>
  <c r="H142" i="20"/>
  <c r="G143" i="20"/>
  <c r="G144" i="20"/>
  <c r="G125" i="20"/>
  <c r="F129" i="20"/>
  <c r="F130" i="20" s="1"/>
  <c r="G30" i="20"/>
  <c r="G29" i="20"/>
  <c r="H28" i="20"/>
  <c r="F37" i="20"/>
  <c r="F38" i="20" s="1"/>
  <c r="G33" i="20"/>
  <c r="G660" i="20" l="1"/>
  <c r="K670" i="20"/>
  <c r="J672" i="20"/>
  <c r="J671" i="20"/>
  <c r="G684" i="20"/>
  <c r="G707" i="20"/>
  <c r="H705" i="20"/>
  <c r="H706" i="20" s="1"/>
  <c r="H708" i="20" s="1"/>
  <c r="I701" i="20"/>
  <c r="J694" i="20"/>
  <c r="I696" i="20"/>
  <c r="I695" i="20"/>
  <c r="I677" i="20"/>
  <c r="H681" i="20"/>
  <c r="H682" i="20" s="1"/>
  <c r="H684" i="20" s="1"/>
  <c r="H647" i="20"/>
  <c r="H648" i="20"/>
  <c r="I646" i="20"/>
  <c r="H657" i="20"/>
  <c r="H658" i="20" s="1"/>
  <c r="H659" i="20" s="1"/>
  <c r="I653" i="20"/>
  <c r="I503" i="20"/>
  <c r="J502" i="20"/>
  <c r="I504" i="20"/>
  <c r="G384" i="20"/>
  <c r="G383" i="20"/>
  <c r="H382" i="20"/>
  <c r="H216" i="20"/>
  <c r="H215" i="20"/>
  <c r="I214" i="20"/>
  <c r="H598" i="20"/>
  <c r="G600" i="20"/>
  <c r="G599" i="20"/>
  <c r="G537" i="20"/>
  <c r="G538" i="20" s="1"/>
  <c r="H533" i="20"/>
  <c r="H629" i="20"/>
  <c r="G633" i="20"/>
  <c r="G634" i="20" s="1"/>
  <c r="H551" i="20"/>
  <c r="I550" i="20"/>
  <c r="H552" i="20"/>
  <c r="G585" i="20"/>
  <c r="G586" i="20" s="1"/>
  <c r="H581" i="20"/>
  <c r="I574" i="20"/>
  <c r="H576" i="20"/>
  <c r="H575" i="20"/>
  <c r="G561" i="20"/>
  <c r="G562" i="20" s="1"/>
  <c r="H557" i="20"/>
  <c r="H526" i="20"/>
  <c r="G528" i="20"/>
  <c r="G527" i="20"/>
  <c r="G609" i="20"/>
  <c r="G610" i="20" s="1"/>
  <c r="H605" i="20"/>
  <c r="H623" i="20"/>
  <c r="I622" i="20"/>
  <c r="H624" i="20"/>
  <c r="J430" i="20"/>
  <c r="I431" i="20"/>
  <c r="I432" i="20"/>
  <c r="H509" i="20"/>
  <c r="G513" i="20"/>
  <c r="G514" i="20" s="1"/>
  <c r="I406" i="20"/>
  <c r="H407" i="20"/>
  <c r="H408" i="20"/>
  <c r="H461" i="20"/>
  <c r="G465" i="20"/>
  <c r="G466" i="20" s="1"/>
  <c r="H480" i="20"/>
  <c r="H479" i="20"/>
  <c r="I478" i="20"/>
  <c r="I485" i="20"/>
  <c r="H489" i="20"/>
  <c r="H490" i="20" s="1"/>
  <c r="G441" i="20"/>
  <c r="G442" i="20" s="1"/>
  <c r="H437" i="20"/>
  <c r="I456" i="20"/>
  <c r="I455" i="20"/>
  <c r="J454" i="20"/>
  <c r="G417" i="20"/>
  <c r="G418" i="20" s="1"/>
  <c r="H413" i="20"/>
  <c r="G369" i="20"/>
  <c r="G370" i="20" s="1"/>
  <c r="H365" i="20"/>
  <c r="H358" i="20"/>
  <c r="G359" i="20"/>
  <c r="G360" i="20"/>
  <c r="J286" i="20"/>
  <c r="I288" i="20"/>
  <c r="I287" i="20"/>
  <c r="H311" i="20"/>
  <c r="H312" i="20"/>
  <c r="I310" i="20"/>
  <c r="G297" i="20"/>
  <c r="G298" i="20" s="1"/>
  <c r="H293" i="20"/>
  <c r="H334" i="20"/>
  <c r="G336" i="20"/>
  <c r="G335" i="20"/>
  <c r="H341" i="20"/>
  <c r="G345" i="20"/>
  <c r="G346" i="20" s="1"/>
  <c r="H389" i="20"/>
  <c r="G393" i="20"/>
  <c r="G394" i="20" s="1"/>
  <c r="H321" i="20"/>
  <c r="H322" i="20" s="1"/>
  <c r="I317" i="20"/>
  <c r="G201" i="20"/>
  <c r="G202" i="20" s="1"/>
  <c r="H197" i="20"/>
  <c r="I191" i="20"/>
  <c r="J190" i="20"/>
  <c r="I192" i="20"/>
  <c r="G263" i="20"/>
  <c r="H262" i="20"/>
  <c r="G264" i="20"/>
  <c r="H238" i="20"/>
  <c r="G240" i="20"/>
  <c r="G239" i="20"/>
  <c r="I166" i="20"/>
  <c r="H168" i="20"/>
  <c r="H167" i="20"/>
  <c r="J245" i="20"/>
  <c r="H225" i="20"/>
  <c r="H226" i="20" s="1"/>
  <c r="I221" i="20"/>
  <c r="I273" i="20"/>
  <c r="I274" i="20" s="1"/>
  <c r="J269" i="20"/>
  <c r="H173" i="20"/>
  <c r="G177" i="20"/>
  <c r="G178" i="20" s="1"/>
  <c r="H246" i="20"/>
  <c r="G249" i="20"/>
  <c r="G250" i="20" s="1"/>
  <c r="H50" i="20"/>
  <c r="G52" i="20"/>
  <c r="G51" i="20"/>
  <c r="G105" i="20"/>
  <c r="G106" i="20" s="1"/>
  <c r="H101" i="20"/>
  <c r="I72" i="20"/>
  <c r="H73" i="20"/>
  <c r="H74" i="20"/>
  <c r="H118" i="20"/>
  <c r="G120" i="20"/>
  <c r="G119" i="20"/>
  <c r="G81" i="20"/>
  <c r="G82" i="20" s="1"/>
  <c r="H77" i="20"/>
  <c r="H143" i="20"/>
  <c r="I142" i="20"/>
  <c r="H144" i="20"/>
  <c r="H59" i="20"/>
  <c r="H60" i="20" s="1"/>
  <c r="I55" i="20"/>
  <c r="G129" i="20"/>
  <c r="G130" i="20" s="1"/>
  <c r="H125" i="20"/>
  <c r="J94" i="20"/>
  <c r="I96" i="20"/>
  <c r="I95" i="20"/>
  <c r="H149" i="20"/>
  <c r="G153" i="20"/>
  <c r="G154" i="20" s="1"/>
  <c r="H33" i="20"/>
  <c r="G37" i="20"/>
  <c r="G38" i="20" s="1"/>
  <c r="I28" i="20"/>
  <c r="H29" i="20"/>
  <c r="H30" i="20"/>
  <c r="H683" i="20" l="1"/>
  <c r="H660" i="20"/>
  <c r="K694" i="20"/>
  <c r="J695" i="20"/>
  <c r="J696" i="20"/>
  <c r="I705" i="20"/>
  <c r="I706" i="20" s="1"/>
  <c r="I708" i="20" s="1"/>
  <c r="J701" i="20"/>
  <c r="H707" i="20"/>
  <c r="I647" i="20"/>
  <c r="J646" i="20"/>
  <c r="I648" i="20"/>
  <c r="L670" i="20"/>
  <c r="K672" i="20"/>
  <c r="K671" i="20"/>
  <c r="J653" i="20"/>
  <c r="I657" i="20"/>
  <c r="I658" i="20" s="1"/>
  <c r="I659" i="20" s="1"/>
  <c r="I681" i="20"/>
  <c r="I682" i="20" s="1"/>
  <c r="I683" i="20" s="1"/>
  <c r="J677" i="20"/>
  <c r="K502" i="20"/>
  <c r="J503" i="20"/>
  <c r="J504" i="20"/>
  <c r="J214" i="20"/>
  <c r="I215" i="20"/>
  <c r="I216" i="20"/>
  <c r="H384" i="20"/>
  <c r="H383" i="20"/>
  <c r="I382" i="20"/>
  <c r="H633" i="20"/>
  <c r="H634" i="20" s="1"/>
  <c r="I629" i="20"/>
  <c r="I551" i="20"/>
  <c r="J550" i="20"/>
  <c r="I552" i="20"/>
  <c r="I557" i="20"/>
  <c r="H561" i="20"/>
  <c r="H562" i="20" s="1"/>
  <c r="H537" i="20"/>
  <c r="H538" i="20" s="1"/>
  <c r="I533" i="20"/>
  <c r="I623" i="20"/>
  <c r="J622" i="20"/>
  <c r="I624" i="20"/>
  <c r="J574" i="20"/>
  <c r="I576" i="20"/>
  <c r="I575" i="20"/>
  <c r="H585" i="20"/>
  <c r="H586" i="20" s="1"/>
  <c r="I581" i="20"/>
  <c r="H528" i="20"/>
  <c r="H527" i="20"/>
  <c r="I526" i="20"/>
  <c r="H609" i="20"/>
  <c r="H610" i="20" s="1"/>
  <c r="I605" i="20"/>
  <c r="H600" i="20"/>
  <c r="H599" i="20"/>
  <c r="I598" i="20"/>
  <c r="H417" i="20"/>
  <c r="H418" i="20" s="1"/>
  <c r="I413" i="20"/>
  <c r="I408" i="20"/>
  <c r="J406" i="20"/>
  <c r="I407" i="20"/>
  <c r="H465" i="20"/>
  <c r="H466" i="20" s="1"/>
  <c r="I461" i="20"/>
  <c r="H513" i="20"/>
  <c r="H514" i="20" s="1"/>
  <c r="I509" i="20"/>
  <c r="I437" i="20"/>
  <c r="H441" i="20"/>
  <c r="H442" i="20" s="1"/>
  <c r="I489" i="20"/>
  <c r="I490" i="20" s="1"/>
  <c r="J485" i="20"/>
  <c r="K454" i="20"/>
  <c r="J456" i="20"/>
  <c r="J455" i="20"/>
  <c r="J478" i="20"/>
  <c r="I480" i="20"/>
  <c r="I479" i="20"/>
  <c r="J431" i="20"/>
  <c r="J432" i="20"/>
  <c r="K430" i="20"/>
  <c r="J287" i="20"/>
  <c r="K286" i="20"/>
  <c r="J288" i="20"/>
  <c r="H393" i="20"/>
  <c r="H394" i="20" s="1"/>
  <c r="I389" i="20"/>
  <c r="I334" i="20"/>
  <c r="H336" i="20"/>
  <c r="H335" i="20"/>
  <c r="H345" i="20"/>
  <c r="H346" i="20" s="1"/>
  <c r="I341" i="20"/>
  <c r="I312" i="20"/>
  <c r="I311" i="20"/>
  <c r="J310" i="20"/>
  <c r="I358" i="20"/>
  <c r="H359" i="20"/>
  <c r="H360" i="20"/>
  <c r="I321" i="20"/>
  <c r="I322" i="20" s="1"/>
  <c r="J317" i="20"/>
  <c r="H297" i="20"/>
  <c r="H298" i="20" s="1"/>
  <c r="I293" i="20"/>
  <c r="I365" i="20"/>
  <c r="H369" i="20"/>
  <c r="H370" i="20" s="1"/>
  <c r="I168" i="20"/>
  <c r="I167" i="20"/>
  <c r="J166" i="20"/>
  <c r="H177" i="20"/>
  <c r="H178" i="20" s="1"/>
  <c r="I173" i="20"/>
  <c r="J191" i="20"/>
  <c r="J192" i="20"/>
  <c r="K190" i="20"/>
  <c r="I246" i="20"/>
  <c r="H249" i="20"/>
  <c r="H250" i="20" s="1"/>
  <c r="H240" i="20"/>
  <c r="H239" i="20"/>
  <c r="I238" i="20"/>
  <c r="H263" i="20"/>
  <c r="I262" i="20"/>
  <c r="H264" i="20"/>
  <c r="I197" i="20"/>
  <c r="H201" i="20"/>
  <c r="H202" i="20" s="1"/>
  <c r="J273" i="20"/>
  <c r="J274" i="20" s="1"/>
  <c r="K269" i="20"/>
  <c r="K245" i="20"/>
  <c r="J221" i="20"/>
  <c r="I225" i="20"/>
  <c r="I226" i="20" s="1"/>
  <c r="I73" i="20"/>
  <c r="J72" i="20"/>
  <c r="I74" i="20"/>
  <c r="K94" i="20"/>
  <c r="J96" i="20"/>
  <c r="J95" i="20"/>
  <c r="I77" i="20"/>
  <c r="H81" i="20"/>
  <c r="H82" i="20" s="1"/>
  <c r="H52" i="20"/>
  <c r="H51" i="20"/>
  <c r="I50" i="20"/>
  <c r="H120" i="20"/>
  <c r="H119" i="20"/>
  <c r="I118" i="20"/>
  <c r="H153" i="20"/>
  <c r="H154" i="20" s="1"/>
  <c r="I149" i="20"/>
  <c r="I59" i="20"/>
  <c r="I60" i="20" s="1"/>
  <c r="J55" i="20"/>
  <c r="H129" i="20"/>
  <c r="H130" i="20" s="1"/>
  <c r="I125" i="20"/>
  <c r="H105" i="20"/>
  <c r="H106" i="20" s="1"/>
  <c r="I101" i="20"/>
  <c r="I143" i="20"/>
  <c r="I144" i="20"/>
  <c r="J142" i="20"/>
  <c r="I29" i="20"/>
  <c r="J28" i="20"/>
  <c r="I30" i="20"/>
  <c r="H37" i="20"/>
  <c r="H38" i="20" s="1"/>
  <c r="I33" i="20"/>
  <c r="I707" i="20" l="1"/>
  <c r="I684" i="20"/>
  <c r="I660" i="20"/>
  <c r="M670" i="20"/>
  <c r="L671" i="20"/>
  <c r="L672" i="20"/>
  <c r="K653" i="20"/>
  <c r="J657" i="20"/>
  <c r="J658" i="20" s="1"/>
  <c r="J660" i="20" s="1"/>
  <c r="K696" i="20"/>
  <c r="K695" i="20"/>
  <c r="L694" i="20"/>
  <c r="K677" i="20"/>
  <c r="J681" i="20"/>
  <c r="J682" i="20" s="1"/>
  <c r="J683" i="20" s="1"/>
  <c r="J705" i="20"/>
  <c r="J706" i="20" s="1"/>
  <c r="J707" i="20" s="1"/>
  <c r="K701" i="20"/>
  <c r="J647" i="20"/>
  <c r="K646" i="20"/>
  <c r="J648" i="20"/>
  <c r="K503" i="20"/>
  <c r="L502" i="20"/>
  <c r="K504" i="20"/>
  <c r="J216" i="20"/>
  <c r="K214" i="20"/>
  <c r="J215" i="20"/>
  <c r="I383" i="20"/>
  <c r="I384" i="20"/>
  <c r="J382" i="20"/>
  <c r="I561" i="20"/>
  <c r="I562" i="20" s="1"/>
  <c r="J557" i="20"/>
  <c r="I537" i="20"/>
  <c r="I538" i="20" s="1"/>
  <c r="J533" i="20"/>
  <c r="I528" i="20"/>
  <c r="I527" i="20"/>
  <c r="J526" i="20"/>
  <c r="I600" i="20"/>
  <c r="I599" i="20"/>
  <c r="J598" i="20"/>
  <c r="K574" i="20"/>
  <c r="J576" i="20"/>
  <c r="J575" i="20"/>
  <c r="I633" i="20"/>
  <c r="I634" i="20" s="1"/>
  <c r="J629" i="20"/>
  <c r="I585" i="20"/>
  <c r="I586" i="20" s="1"/>
  <c r="J581" i="20"/>
  <c r="J551" i="20"/>
  <c r="J552" i="20"/>
  <c r="K550" i="20"/>
  <c r="I609" i="20"/>
  <c r="I610" i="20" s="1"/>
  <c r="J605" i="20"/>
  <c r="K622" i="20"/>
  <c r="J624" i="20"/>
  <c r="J623" i="20"/>
  <c r="L430" i="20"/>
  <c r="K432" i="20"/>
  <c r="K431" i="20"/>
  <c r="K456" i="20"/>
  <c r="K455" i="20"/>
  <c r="L454" i="20"/>
  <c r="I465" i="20"/>
  <c r="I466" i="20" s="1"/>
  <c r="J461" i="20"/>
  <c r="J479" i="20"/>
  <c r="J480" i="20"/>
  <c r="K478" i="20"/>
  <c r="K406" i="20"/>
  <c r="J407" i="20"/>
  <c r="J408" i="20"/>
  <c r="K485" i="20"/>
  <c r="J489" i="20"/>
  <c r="J490" i="20" s="1"/>
  <c r="J413" i="20"/>
  <c r="I417" i="20"/>
  <c r="I418" i="20" s="1"/>
  <c r="I441" i="20"/>
  <c r="I442" i="20" s="1"/>
  <c r="J437" i="20"/>
  <c r="J509" i="20"/>
  <c r="I513" i="20"/>
  <c r="I514" i="20" s="1"/>
  <c r="I369" i="20"/>
  <c r="I370" i="20" s="1"/>
  <c r="J365" i="20"/>
  <c r="K317" i="20"/>
  <c r="J321" i="20"/>
  <c r="J322" i="20" s="1"/>
  <c r="I336" i="20"/>
  <c r="I335" i="20"/>
  <c r="J334" i="20"/>
  <c r="J293" i="20"/>
  <c r="I297" i="20"/>
  <c r="I298" i="20" s="1"/>
  <c r="I345" i="20"/>
  <c r="I346" i="20" s="1"/>
  <c r="J341" i="20"/>
  <c r="J389" i="20"/>
  <c r="I393" i="20"/>
  <c r="I394" i="20" s="1"/>
  <c r="I359" i="20"/>
  <c r="J358" i="20"/>
  <c r="I360" i="20"/>
  <c r="K310" i="20"/>
  <c r="J312" i="20"/>
  <c r="J311" i="20"/>
  <c r="K287" i="20"/>
  <c r="K288" i="20"/>
  <c r="L286" i="20"/>
  <c r="I177" i="20"/>
  <c r="I178" i="20" s="1"/>
  <c r="J173" i="20"/>
  <c r="I263" i="20"/>
  <c r="I264" i="20"/>
  <c r="J262" i="20"/>
  <c r="K192" i="20"/>
  <c r="L190" i="20"/>
  <c r="K191" i="20"/>
  <c r="J246" i="20"/>
  <c r="I249" i="20"/>
  <c r="I250" i="20" s="1"/>
  <c r="L269" i="20"/>
  <c r="K273" i="20"/>
  <c r="K274" i="20" s="1"/>
  <c r="L245" i="20"/>
  <c r="K221" i="20"/>
  <c r="J225" i="20"/>
  <c r="J226" i="20" s="1"/>
  <c r="I201" i="20"/>
  <c r="I202" i="20" s="1"/>
  <c r="J197" i="20"/>
  <c r="J168" i="20"/>
  <c r="K166" i="20"/>
  <c r="J167" i="20"/>
  <c r="J238" i="20"/>
  <c r="I240" i="20"/>
  <c r="I239" i="20"/>
  <c r="J118" i="20"/>
  <c r="I119" i="20"/>
  <c r="I120" i="20"/>
  <c r="I81" i="20"/>
  <c r="I82" i="20" s="1"/>
  <c r="J77" i="20"/>
  <c r="I51" i="20"/>
  <c r="J50" i="20"/>
  <c r="I52" i="20"/>
  <c r="J59" i="20"/>
  <c r="J60" i="20" s="1"/>
  <c r="K55" i="20"/>
  <c r="J101" i="20"/>
  <c r="I105" i="20"/>
  <c r="I106" i="20" s="1"/>
  <c r="I129" i="20"/>
  <c r="I130" i="20" s="1"/>
  <c r="J125" i="20"/>
  <c r="J149" i="20"/>
  <c r="I153" i="20"/>
  <c r="I154" i="20" s="1"/>
  <c r="K96" i="20"/>
  <c r="K95" i="20"/>
  <c r="L94" i="20"/>
  <c r="J73" i="20"/>
  <c r="J74" i="20"/>
  <c r="K72" i="20"/>
  <c r="J144" i="20"/>
  <c r="J143" i="20"/>
  <c r="K142" i="20"/>
  <c r="I37" i="20"/>
  <c r="I38" i="20" s="1"/>
  <c r="J33" i="20"/>
  <c r="K28" i="20"/>
  <c r="J30" i="20"/>
  <c r="J29" i="20"/>
  <c r="J708" i="20" l="1"/>
  <c r="J684" i="20"/>
  <c r="J659" i="20"/>
  <c r="L695" i="20"/>
  <c r="M694" i="20"/>
  <c r="L696" i="20"/>
  <c r="K705" i="20"/>
  <c r="K706" i="20" s="1"/>
  <c r="K708" i="20" s="1"/>
  <c r="L701" i="20"/>
  <c r="M672" i="20"/>
  <c r="M671" i="20"/>
  <c r="N670" i="20"/>
  <c r="K647" i="20"/>
  <c r="K648" i="20"/>
  <c r="L646" i="20"/>
  <c r="K681" i="20"/>
  <c r="K682" i="20" s="1"/>
  <c r="K683" i="20" s="1"/>
  <c r="L677" i="20"/>
  <c r="L653" i="20"/>
  <c r="K657" i="20"/>
  <c r="K658" i="20" s="1"/>
  <c r="M502" i="20"/>
  <c r="L504" i="20"/>
  <c r="L503" i="20"/>
  <c r="K216" i="20"/>
  <c r="K215" i="20"/>
  <c r="L214" i="20"/>
  <c r="J384" i="20"/>
  <c r="J383" i="20"/>
  <c r="K382" i="20"/>
  <c r="K605" i="20"/>
  <c r="J609" i="20"/>
  <c r="J610" i="20" s="1"/>
  <c r="J599" i="20"/>
  <c r="K598" i="20"/>
  <c r="J600" i="20"/>
  <c r="J537" i="20"/>
  <c r="J538" i="20" s="1"/>
  <c r="K533" i="20"/>
  <c r="J561" i="20"/>
  <c r="J562" i="20" s="1"/>
  <c r="K557" i="20"/>
  <c r="K576" i="20"/>
  <c r="K575" i="20"/>
  <c r="L574" i="20"/>
  <c r="J633" i="20"/>
  <c r="J634" i="20" s="1"/>
  <c r="K629" i="20"/>
  <c r="J527" i="20"/>
  <c r="K526" i="20"/>
  <c r="J528" i="20"/>
  <c r="L622" i="20"/>
  <c r="K624" i="20"/>
  <c r="K623" i="20"/>
  <c r="J585" i="20"/>
  <c r="J586" i="20" s="1"/>
  <c r="K581" i="20"/>
  <c r="L550" i="20"/>
  <c r="K552" i="20"/>
  <c r="K551" i="20"/>
  <c r="K480" i="20"/>
  <c r="L478" i="20"/>
  <c r="K479" i="20"/>
  <c r="M454" i="20"/>
  <c r="L456" i="20"/>
  <c r="L455" i="20"/>
  <c r="K437" i="20"/>
  <c r="J441" i="20"/>
  <c r="J442" i="20" s="1"/>
  <c r="K489" i="20"/>
  <c r="K490" i="20" s="1"/>
  <c r="L485" i="20"/>
  <c r="J465" i="20"/>
  <c r="J466" i="20" s="1"/>
  <c r="K461" i="20"/>
  <c r="K509" i="20"/>
  <c r="J513" i="20"/>
  <c r="J514" i="20" s="1"/>
  <c r="J417" i="20"/>
  <c r="J418" i="20" s="1"/>
  <c r="K413" i="20"/>
  <c r="K407" i="20"/>
  <c r="K408" i="20"/>
  <c r="L406" i="20"/>
  <c r="L432" i="20"/>
  <c r="L431" i="20"/>
  <c r="M430" i="20"/>
  <c r="L310" i="20"/>
  <c r="K312" i="20"/>
  <c r="K311" i="20"/>
  <c r="J297" i="20"/>
  <c r="J298" i="20" s="1"/>
  <c r="K293" i="20"/>
  <c r="K321" i="20"/>
  <c r="K322" i="20" s="1"/>
  <c r="L317" i="20"/>
  <c r="M286" i="20"/>
  <c r="L287" i="20"/>
  <c r="L288" i="20"/>
  <c r="J345" i="20"/>
  <c r="J346" i="20" s="1"/>
  <c r="K341" i="20"/>
  <c r="K334" i="20"/>
  <c r="J336" i="20"/>
  <c r="J335" i="20"/>
  <c r="J369" i="20"/>
  <c r="J370" i="20" s="1"/>
  <c r="K365" i="20"/>
  <c r="J393" i="20"/>
  <c r="J394" i="20" s="1"/>
  <c r="K389" i="20"/>
  <c r="J359" i="20"/>
  <c r="J360" i="20"/>
  <c r="K358" i="20"/>
  <c r="M245" i="20"/>
  <c r="K246" i="20"/>
  <c r="J249" i="20"/>
  <c r="J250" i="20" s="1"/>
  <c r="K197" i="20"/>
  <c r="J201" i="20"/>
  <c r="J202" i="20" s="1"/>
  <c r="K262" i="20"/>
  <c r="J263" i="20"/>
  <c r="J264" i="20"/>
  <c r="J239" i="20"/>
  <c r="K238" i="20"/>
  <c r="J240" i="20"/>
  <c r="J177" i="20"/>
  <c r="J178" i="20" s="1"/>
  <c r="K173" i="20"/>
  <c r="K225" i="20"/>
  <c r="K226" i="20" s="1"/>
  <c r="L221" i="20"/>
  <c r="K168" i="20"/>
  <c r="L166" i="20"/>
  <c r="K167" i="20"/>
  <c r="L273" i="20"/>
  <c r="L274" i="20" s="1"/>
  <c r="M269" i="20"/>
  <c r="M190" i="20"/>
  <c r="L191" i="20"/>
  <c r="L192" i="20"/>
  <c r="J81" i="20"/>
  <c r="J82" i="20" s="1"/>
  <c r="K77" i="20"/>
  <c r="L142" i="20"/>
  <c r="K143" i="20"/>
  <c r="K144" i="20"/>
  <c r="J153" i="20"/>
  <c r="J154" i="20" s="1"/>
  <c r="K149" i="20"/>
  <c r="K74" i="20"/>
  <c r="K73" i="20"/>
  <c r="L72" i="20"/>
  <c r="J52" i="20"/>
  <c r="J51" i="20"/>
  <c r="K50" i="20"/>
  <c r="K118" i="20"/>
  <c r="J119" i="20"/>
  <c r="J120" i="20"/>
  <c r="K101" i="20"/>
  <c r="J105" i="20"/>
  <c r="J106" i="20" s="1"/>
  <c r="L95" i="20"/>
  <c r="M94" i="20"/>
  <c r="L96" i="20"/>
  <c r="K125" i="20"/>
  <c r="J129" i="20"/>
  <c r="J130" i="20" s="1"/>
  <c r="L55" i="20"/>
  <c r="K59" i="20"/>
  <c r="K60" i="20" s="1"/>
  <c r="K29" i="20"/>
  <c r="L28" i="20"/>
  <c r="K30" i="20"/>
  <c r="J37" i="20"/>
  <c r="J38" i="20" s="1"/>
  <c r="K33" i="20"/>
  <c r="K707" i="20" l="1"/>
  <c r="K684" i="20"/>
  <c r="K660" i="20"/>
  <c r="K659" i="20"/>
  <c r="L657" i="20"/>
  <c r="L658" i="20" s="1"/>
  <c r="L660" i="20" s="1"/>
  <c r="M653" i="20"/>
  <c r="M695" i="20"/>
  <c r="N694" i="20"/>
  <c r="M696" i="20"/>
  <c r="L681" i="20"/>
  <c r="L682" i="20" s="1"/>
  <c r="L684" i="20" s="1"/>
  <c r="M677" i="20"/>
  <c r="L705" i="20"/>
  <c r="L706" i="20" s="1"/>
  <c r="L707" i="20" s="1"/>
  <c r="M701" i="20"/>
  <c r="N671" i="20"/>
  <c r="N672" i="20"/>
  <c r="M646" i="20"/>
  <c r="L648" i="20"/>
  <c r="L647" i="20"/>
  <c r="M503" i="20"/>
  <c r="M504" i="20"/>
  <c r="N502" i="20"/>
  <c r="L382" i="20"/>
  <c r="K384" i="20"/>
  <c r="K383" i="20"/>
  <c r="M214" i="20"/>
  <c r="L215" i="20"/>
  <c r="L216" i="20"/>
  <c r="K599" i="20"/>
  <c r="L598" i="20"/>
  <c r="K600" i="20"/>
  <c r="K585" i="20"/>
  <c r="K586" i="20" s="1"/>
  <c r="L581" i="20"/>
  <c r="L557" i="20"/>
  <c r="K561" i="20"/>
  <c r="K562" i="20" s="1"/>
  <c r="L629" i="20"/>
  <c r="K633" i="20"/>
  <c r="K634" i="20" s="1"/>
  <c r="M550" i="20"/>
  <c r="L552" i="20"/>
  <c r="L551" i="20"/>
  <c r="M622" i="20"/>
  <c r="L624" i="20"/>
  <c r="L623" i="20"/>
  <c r="L576" i="20"/>
  <c r="M574" i="20"/>
  <c r="L575" i="20"/>
  <c r="K527" i="20"/>
  <c r="K528" i="20"/>
  <c r="L526" i="20"/>
  <c r="L533" i="20"/>
  <c r="K537" i="20"/>
  <c r="K538" i="20" s="1"/>
  <c r="L605" i="20"/>
  <c r="K609" i="20"/>
  <c r="K610" i="20" s="1"/>
  <c r="L413" i="20"/>
  <c r="K417" i="20"/>
  <c r="K418" i="20" s="1"/>
  <c r="L437" i="20"/>
  <c r="K441" i="20"/>
  <c r="K442" i="20" s="1"/>
  <c r="M485" i="20"/>
  <c r="L489" i="20"/>
  <c r="L490" i="20" s="1"/>
  <c r="M406" i="20"/>
  <c r="L407" i="20"/>
  <c r="L408" i="20"/>
  <c r="M455" i="20"/>
  <c r="M456" i="20"/>
  <c r="N454" i="20"/>
  <c r="K513" i="20"/>
  <c r="K514" i="20" s="1"/>
  <c r="L509" i="20"/>
  <c r="N430" i="20"/>
  <c r="M432" i="20"/>
  <c r="M431" i="20"/>
  <c r="L461" i="20"/>
  <c r="K465" i="20"/>
  <c r="K466" i="20" s="1"/>
  <c r="L479" i="20"/>
  <c r="M478" i="20"/>
  <c r="L480" i="20"/>
  <c r="L321" i="20"/>
  <c r="L322" i="20" s="1"/>
  <c r="M317" i="20"/>
  <c r="K297" i="20"/>
  <c r="K298" i="20" s="1"/>
  <c r="L293" i="20"/>
  <c r="K335" i="20"/>
  <c r="K336" i="20"/>
  <c r="L334" i="20"/>
  <c r="K393" i="20"/>
  <c r="K394" i="20" s="1"/>
  <c r="L389" i="20"/>
  <c r="N286" i="20"/>
  <c r="M287" i="20"/>
  <c r="M288" i="20"/>
  <c r="K369" i="20"/>
  <c r="K370" i="20" s="1"/>
  <c r="L365" i="20"/>
  <c r="K360" i="20"/>
  <c r="K359" i="20"/>
  <c r="L358" i="20"/>
  <c r="L341" i="20"/>
  <c r="K345" i="20"/>
  <c r="K346" i="20" s="1"/>
  <c r="L312" i="20"/>
  <c r="L311" i="20"/>
  <c r="M310" i="20"/>
  <c r="L246" i="20"/>
  <c r="K249" i="20"/>
  <c r="K250" i="20" s="1"/>
  <c r="L262" i="20"/>
  <c r="K263" i="20"/>
  <c r="K264" i="20"/>
  <c r="N190" i="20"/>
  <c r="M192" i="20"/>
  <c r="M191" i="20"/>
  <c r="N245" i="20"/>
  <c r="K239" i="20"/>
  <c r="L238" i="20"/>
  <c r="K240" i="20"/>
  <c r="L167" i="20"/>
  <c r="M166" i="20"/>
  <c r="L168" i="20"/>
  <c r="L173" i="20"/>
  <c r="K177" i="20"/>
  <c r="K178" i="20" s="1"/>
  <c r="K201" i="20"/>
  <c r="K202" i="20" s="1"/>
  <c r="L197" i="20"/>
  <c r="M273" i="20"/>
  <c r="M274" i="20" s="1"/>
  <c r="N269" i="20"/>
  <c r="L225" i="20"/>
  <c r="L226" i="20" s="1"/>
  <c r="M221" i="20"/>
  <c r="K81" i="20"/>
  <c r="K82" i="20" s="1"/>
  <c r="L77" i="20"/>
  <c r="L59" i="20"/>
  <c r="L60" i="20" s="1"/>
  <c r="M55" i="20"/>
  <c r="L50" i="20"/>
  <c r="K52" i="20"/>
  <c r="K51" i="20"/>
  <c r="K129" i="20"/>
  <c r="K130" i="20" s="1"/>
  <c r="L125" i="20"/>
  <c r="M72" i="20"/>
  <c r="L74" i="20"/>
  <c r="L73" i="20"/>
  <c r="K105" i="20"/>
  <c r="K106" i="20" s="1"/>
  <c r="L101" i="20"/>
  <c r="L149" i="20"/>
  <c r="K153" i="20"/>
  <c r="K154" i="20" s="1"/>
  <c r="M95" i="20"/>
  <c r="M96" i="20"/>
  <c r="N94" i="20"/>
  <c r="K119" i="20"/>
  <c r="L118" i="20"/>
  <c r="K120" i="20"/>
  <c r="M142" i="20"/>
  <c r="L144" i="20"/>
  <c r="L143" i="20"/>
  <c r="L33" i="20"/>
  <c r="K37" i="20"/>
  <c r="K38" i="20" s="1"/>
  <c r="M28" i="20"/>
  <c r="L30" i="20"/>
  <c r="L29" i="20"/>
  <c r="L708" i="20" l="1"/>
  <c r="L659" i="20"/>
  <c r="L683" i="20"/>
  <c r="N701" i="20"/>
  <c r="M705" i="20"/>
  <c r="M706" i="20" s="1"/>
  <c r="M708" i="20" s="1"/>
  <c r="N695" i="20"/>
  <c r="N696" i="20"/>
  <c r="M657" i="20"/>
  <c r="M658" i="20" s="1"/>
  <c r="M659" i="20" s="1"/>
  <c r="N653" i="20"/>
  <c r="N646" i="20"/>
  <c r="M648" i="20"/>
  <c r="M647" i="20"/>
  <c r="M681" i="20"/>
  <c r="M682" i="20" s="1"/>
  <c r="M684" i="20" s="1"/>
  <c r="B688" i="20" s="1"/>
  <c r="N677" i="20"/>
  <c r="N504" i="20"/>
  <c r="N503" i="20"/>
  <c r="M215" i="20"/>
  <c r="N214" i="20"/>
  <c r="M216" i="20"/>
  <c r="L383" i="20"/>
  <c r="L384" i="20"/>
  <c r="M382" i="20"/>
  <c r="M575" i="20"/>
  <c r="N574" i="20"/>
  <c r="M576" i="20"/>
  <c r="L633" i="20"/>
  <c r="L634" i="20" s="1"/>
  <c r="M629" i="20"/>
  <c r="L609" i="20"/>
  <c r="L610" i="20" s="1"/>
  <c r="M605" i="20"/>
  <c r="L599" i="20"/>
  <c r="L600" i="20"/>
  <c r="M598" i="20"/>
  <c r="L585" i="20"/>
  <c r="L586" i="20" s="1"/>
  <c r="M581" i="20"/>
  <c r="L537" i="20"/>
  <c r="L538" i="20" s="1"/>
  <c r="M533" i="20"/>
  <c r="L527" i="20"/>
  <c r="L528" i="20"/>
  <c r="M526" i="20"/>
  <c r="M624" i="20"/>
  <c r="M623" i="20"/>
  <c r="N622" i="20"/>
  <c r="N550" i="20"/>
  <c r="M552" i="20"/>
  <c r="M551" i="20"/>
  <c r="L561" i="20"/>
  <c r="L562" i="20" s="1"/>
  <c r="M557" i="20"/>
  <c r="N432" i="20"/>
  <c r="N431" i="20"/>
  <c r="L441" i="20"/>
  <c r="L442" i="20" s="1"/>
  <c r="M437" i="20"/>
  <c r="M407" i="20"/>
  <c r="M408" i="20"/>
  <c r="N406" i="20"/>
  <c r="L513" i="20"/>
  <c r="L514" i="20" s="1"/>
  <c r="M509" i="20"/>
  <c r="L465" i="20"/>
  <c r="L466" i="20" s="1"/>
  <c r="M461" i="20"/>
  <c r="N455" i="20"/>
  <c r="N456" i="20"/>
  <c r="M489" i="20"/>
  <c r="M490" i="20" s="1"/>
  <c r="N485" i="20"/>
  <c r="N478" i="20"/>
  <c r="M479" i="20"/>
  <c r="M480" i="20"/>
  <c r="L417" i="20"/>
  <c r="L418" i="20" s="1"/>
  <c r="M413" i="20"/>
  <c r="L297" i="20"/>
  <c r="L298" i="20" s="1"/>
  <c r="M293" i="20"/>
  <c r="L345" i="20"/>
  <c r="L346" i="20" s="1"/>
  <c r="M341" i="20"/>
  <c r="M358" i="20"/>
  <c r="L360" i="20"/>
  <c r="L359" i="20"/>
  <c r="M311" i="20"/>
  <c r="M312" i="20"/>
  <c r="N310" i="20"/>
  <c r="N288" i="20"/>
  <c r="N287" i="20"/>
  <c r="L393" i="20"/>
  <c r="L394" i="20" s="1"/>
  <c r="M389" i="20"/>
  <c r="M321" i="20"/>
  <c r="M322" i="20" s="1"/>
  <c r="N317" i="20"/>
  <c r="L335" i="20"/>
  <c r="M334" i="20"/>
  <c r="L336" i="20"/>
  <c r="M365" i="20"/>
  <c r="L369" i="20"/>
  <c r="L370" i="20" s="1"/>
  <c r="L177" i="20"/>
  <c r="L178" i="20" s="1"/>
  <c r="M173" i="20"/>
  <c r="M197" i="20"/>
  <c r="L201" i="20"/>
  <c r="L202" i="20" s="1"/>
  <c r="M167" i="20"/>
  <c r="M168" i="20"/>
  <c r="N166" i="20"/>
  <c r="M262" i="20"/>
  <c r="L264" i="20"/>
  <c r="L263" i="20"/>
  <c r="N192" i="20"/>
  <c r="N191" i="20"/>
  <c r="L239" i="20"/>
  <c r="L240" i="20"/>
  <c r="M238" i="20"/>
  <c r="N221" i="20"/>
  <c r="M225" i="20"/>
  <c r="M226" i="20" s="1"/>
  <c r="N273" i="20"/>
  <c r="N274" i="20" s="1"/>
  <c r="M246" i="20"/>
  <c r="L249" i="20"/>
  <c r="L250" i="20" s="1"/>
  <c r="M144" i="20"/>
  <c r="M143" i="20"/>
  <c r="N142" i="20"/>
  <c r="M77" i="20"/>
  <c r="L81" i="20"/>
  <c r="L82" i="20" s="1"/>
  <c r="L105" i="20"/>
  <c r="L106" i="20" s="1"/>
  <c r="M101" i="20"/>
  <c r="M59" i="20"/>
  <c r="M60" i="20" s="1"/>
  <c r="N55" i="20"/>
  <c r="L119" i="20"/>
  <c r="L120" i="20"/>
  <c r="M118" i="20"/>
  <c r="L153" i="20"/>
  <c r="L154" i="20" s="1"/>
  <c r="M149" i="20"/>
  <c r="N72" i="20"/>
  <c r="M74" i="20"/>
  <c r="M73" i="20"/>
  <c r="L51" i="20"/>
  <c r="M50" i="20"/>
  <c r="L52" i="20"/>
  <c r="N95" i="20"/>
  <c r="N96" i="20"/>
  <c r="L129" i="20"/>
  <c r="L130" i="20" s="1"/>
  <c r="M125" i="20"/>
  <c r="M30" i="20"/>
  <c r="N28" i="20"/>
  <c r="M29" i="20"/>
  <c r="L37" i="20"/>
  <c r="L38" i="20" s="1"/>
  <c r="M33" i="20"/>
  <c r="B712" i="20" l="1"/>
  <c r="B663" i="20"/>
  <c r="AA114" i="2" s="1"/>
  <c r="M660" i="20"/>
  <c r="B664" i="20" s="1"/>
  <c r="M683" i="20"/>
  <c r="B687" i="20" s="1"/>
  <c r="AA116" i="2" s="1"/>
  <c r="M707" i="20"/>
  <c r="B711" i="20" s="1"/>
  <c r="AA118" i="2" s="1"/>
  <c r="N648" i="20"/>
  <c r="N647" i="20"/>
  <c r="N657" i="20"/>
  <c r="N658" i="20" s="1"/>
  <c r="N660" i="20" s="1"/>
  <c r="N705" i="20"/>
  <c r="N706" i="20" s="1"/>
  <c r="N707" i="20" s="1"/>
  <c r="N681" i="20"/>
  <c r="N682" i="20" s="1"/>
  <c r="N683" i="20" s="1"/>
  <c r="M383" i="20"/>
  <c r="M384" i="20"/>
  <c r="N382" i="20"/>
  <c r="N215" i="20"/>
  <c r="N216" i="20"/>
  <c r="M609" i="20"/>
  <c r="M610" i="20" s="1"/>
  <c r="N605" i="20"/>
  <c r="M527" i="20"/>
  <c r="N526" i="20"/>
  <c r="M528" i="20"/>
  <c r="N575" i="20"/>
  <c r="N576" i="20"/>
  <c r="N623" i="20"/>
  <c r="N624" i="20"/>
  <c r="N552" i="20"/>
  <c r="N551" i="20"/>
  <c r="M633" i="20"/>
  <c r="M634" i="20" s="1"/>
  <c r="N629" i="20"/>
  <c r="M561" i="20"/>
  <c r="M562" i="20" s="1"/>
  <c r="N557" i="20"/>
  <c r="N581" i="20"/>
  <c r="M585" i="20"/>
  <c r="M586" i="20" s="1"/>
  <c r="M537" i="20"/>
  <c r="M538" i="20" s="1"/>
  <c r="N533" i="20"/>
  <c r="N598" i="20"/>
  <c r="M600" i="20"/>
  <c r="M599" i="20"/>
  <c r="N413" i="20"/>
  <c r="M417" i="20"/>
  <c r="M418" i="20" s="1"/>
  <c r="M441" i="20"/>
  <c r="M442" i="20" s="1"/>
  <c r="N437" i="20"/>
  <c r="N461" i="20"/>
  <c r="M465" i="20"/>
  <c r="M466" i="20" s="1"/>
  <c r="N509" i="20"/>
  <c r="M513" i="20"/>
  <c r="M514" i="20" s="1"/>
  <c r="N480" i="20"/>
  <c r="N479" i="20"/>
  <c r="N408" i="20"/>
  <c r="N407" i="20"/>
  <c r="N489" i="20"/>
  <c r="N490" i="20" s="1"/>
  <c r="M345" i="20"/>
  <c r="M346" i="20" s="1"/>
  <c r="N341" i="20"/>
  <c r="M369" i="20"/>
  <c r="M370" i="20" s="1"/>
  <c r="N365" i="20"/>
  <c r="M335" i="20"/>
  <c r="M336" i="20"/>
  <c r="N334" i="20"/>
  <c r="N389" i="20"/>
  <c r="M393" i="20"/>
  <c r="M394" i="20" s="1"/>
  <c r="N293" i="20"/>
  <c r="M297" i="20"/>
  <c r="M298" i="20" s="1"/>
  <c r="N321" i="20"/>
  <c r="N322" i="20" s="1"/>
  <c r="N312" i="20"/>
  <c r="N311" i="20"/>
  <c r="N358" i="20"/>
  <c r="M360" i="20"/>
  <c r="M359" i="20"/>
  <c r="N225" i="20"/>
  <c r="N226" i="20" s="1"/>
  <c r="N246" i="20"/>
  <c r="N249" i="20" s="1"/>
  <c r="N250" i="20" s="1"/>
  <c r="M249" i="20"/>
  <c r="M250" i="20" s="1"/>
  <c r="N167" i="20"/>
  <c r="N168" i="20"/>
  <c r="M177" i="20"/>
  <c r="M178" i="20" s="1"/>
  <c r="N173" i="20"/>
  <c r="M264" i="20"/>
  <c r="M263" i="20"/>
  <c r="N262" i="20"/>
  <c r="N238" i="20"/>
  <c r="M240" i="20"/>
  <c r="M239" i="20"/>
  <c r="M201" i="20"/>
  <c r="M202" i="20" s="1"/>
  <c r="N197" i="20"/>
  <c r="N143" i="20"/>
  <c r="N144" i="20"/>
  <c r="N101" i="20"/>
  <c r="M105" i="20"/>
  <c r="M106" i="20" s="1"/>
  <c r="M129" i="20"/>
  <c r="M130" i="20" s="1"/>
  <c r="N125" i="20"/>
  <c r="N74" i="20"/>
  <c r="N73" i="20"/>
  <c r="M52" i="20"/>
  <c r="M51" i="20"/>
  <c r="N50" i="20"/>
  <c r="N59" i="20"/>
  <c r="N60" i="20" s="1"/>
  <c r="N118" i="20"/>
  <c r="M120" i="20"/>
  <c r="M119" i="20"/>
  <c r="M81" i="20"/>
  <c r="M82" i="20" s="1"/>
  <c r="N77" i="20"/>
  <c r="M153" i="20"/>
  <c r="M154" i="20" s="1"/>
  <c r="N149" i="20"/>
  <c r="M37" i="20"/>
  <c r="M38" i="20" s="1"/>
  <c r="N33" i="20"/>
  <c r="N30" i="20"/>
  <c r="N29" i="20"/>
  <c r="N708" i="20" l="1"/>
  <c r="N659" i="20"/>
  <c r="N684" i="20"/>
  <c r="N383" i="20"/>
  <c r="N384" i="20"/>
  <c r="N537" i="20"/>
  <c r="N538" i="20" s="1"/>
  <c r="N527" i="20"/>
  <c r="N528" i="20"/>
  <c r="N561" i="20"/>
  <c r="N562" i="20" s="1"/>
  <c r="N609" i="20"/>
  <c r="N610" i="20" s="1"/>
  <c r="N600" i="20"/>
  <c r="N599" i="20"/>
  <c r="N585" i="20"/>
  <c r="N586" i="20" s="1"/>
  <c r="N633" i="20"/>
  <c r="N634" i="20" s="1"/>
  <c r="N441" i="20"/>
  <c r="N442" i="20" s="1"/>
  <c r="N513" i="20"/>
  <c r="N514" i="20" s="1"/>
  <c r="N465" i="20"/>
  <c r="N466" i="20" s="1"/>
  <c r="N417" i="20"/>
  <c r="N418" i="20" s="1"/>
  <c r="N393" i="20"/>
  <c r="N394" i="20" s="1"/>
  <c r="N345" i="20"/>
  <c r="N346" i="20" s="1"/>
  <c r="N335" i="20"/>
  <c r="N336" i="20"/>
  <c r="N360" i="20"/>
  <c r="N359" i="20"/>
  <c r="N297" i="20"/>
  <c r="N298" i="20" s="1"/>
  <c r="N369" i="20"/>
  <c r="N370" i="20" s="1"/>
  <c r="N263" i="20"/>
  <c r="N264" i="20"/>
  <c r="N201" i="20"/>
  <c r="N202" i="20" s="1"/>
  <c r="N177" i="20"/>
  <c r="N178" i="20" s="1"/>
  <c r="N240" i="20"/>
  <c r="N239" i="20"/>
  <c r="N129" i="20"/>
  <c r="N130" i="20" s="1"/>
  <c r="N51" i="20"/>
  <c r="N52" i="20"/>
  <c r="N81" i="20"/>
  <c r="N82" i="20" s="1"/>
  <c r="N105" i="20"/>
  <c r="N106" i="20" s="1"/>
  <c r="N153" i="20"/>
  <c r="N154" i="20" s="1"/>
  <c r="N120" i="20"/>
  <c r="N119" i="20"/>
  <c r="N37" i="20"/>
  <c r="N38" i="20" s="1"/>
  <c r="C139" i="17" l="1"/>
  <c r="AH61" i="2"/>
  <c r="AH62" i="2" s="1"/>
  <c r="AH63" i="2" s="1"/>
  <c r="AH64" i="2" s="1"/>
  <c r="AH65" i="2" s="1"/>
  <c r="AH66" i="2" s="1"/>
  <c r="AH67" i="2" s="1"/>
  <c r="AH68" i="2" s="1"/>
  <c r="AH69" i="2" s="1"/>
  <c r="AH70" i="2" s="1"/>
  <c r="AH71" i="2" s="1"/>
  <c r="AH72" i="2" s="1"/>
  <c r="AH73" i="2" s="1"/>
  <c r="AH74" i="2" s="1"/>
  <c r="AH75" i="2" s="1"/>
  <c r="AH76" i="2" s="1"/>
  <c r="AH77" i="2" s="1"/>
  <c r="AH78" i="2" s="1"/>
  <c r="AH79" i="2" s="1"/>
  <c r="AH80" i="2" s="1"/>
  <c r="AH81" i="2" s="1"/>
  <c r="AH82" i="2" s="1"/>
  <c r="AH83" i="2" s="1"/>
  <c r="AH84" i="2" s="1"/>
  <c r="AH85" i="2" s="1"/>
  <c r="AH86" i="2" s="1"/>
  <c r="AH87" i="2" s="1"/>
  <c r="AH88" i="2" s="1"/>
  <c r="AH89" i="2" s="1"/>
  <c r="AH90" i="2" s="1"/>
  <c r="AH91" i="2" s="1"/>
  <c r="AH92" i="2" s="1"/>
  <c r="E139" i="17" l="1"/>
  <c r="C27" i="6"/>
  <c r="D22" i="24"/>
  <c r="H373" i="17" l="1"/>
  <c r="C216" i="17"/>
  <c r="G375" i="17" l="1"/>
  <c r="G391" i="17"/>
  <c r="B387" i="17"/>
  <c r="B386" i="17"/>
  <c r="F210" i="2"/>
  <c r="G365" i="17"/>
  <c r="G358" i="17"/>
  <c r="G357" i="17"/>
  <c r="G356" i="17"/>
  <c r="G198" i="17"/>
  <c r="G351" i="17"/>
  <c r="E13" i="17"/>
  <c r="O7" i="2"/>
  <c r="O6" i="2"/>
  <c r="E377" i="2"/>
  <c r="G176" i="17"/>
  <c r="G161" i="17"/>
  <c r="E175" i="17" s="1"/>
  <c r="M356" i="2"/>
  <c r="N356" i="2" s="1"/>
  <c r="M355" i="2"/>
  <c r="N355" i="2" s="1"/>
  <c r="M354" i="2"/>
  <c r="N354" i="2" s="1"/>
  <c r="M353" i="2"/>
  <c r="N353" i="2" s="1"/>
  <c r="M352" i="2"/>
  <c r="N352" i="2" s="1"/>
  <c r="G31" i="17"/>
  <c r="C365" i="17" l="1"/>
  <c r="G371" i="17"/>
  <c r="E161" i="17"/>
  <c r="E162" i="17"/>
  <c r="G370" i="17"/>
  <c r="N357" i="2"/>
  <c r="C125" i="17" s="1"/>
  <c r="C120" i="17" l="1"/>
  <c r="C174" i="17"/>
  <c r="B721" i="17"/>
  <c r="B718" i="17"/>
  <c r="B715" i="17"/>
  <c r="B712" i="17"/>
  <c r="B709" i="17"/>
  <c r="B706" i="17"/>
  <c r="B713" i="17"/>
  <c r="B725" i="17"/>
  <c r="B724" i="17"/>
  <c r="B723" i="17"/>
  <c r="B722" i="17"/>
  <c r="B720" i="17"/>
  <c r="B719" i="17"/>
  <c r="B717" i="17"/>
  <c r="B711" i="17"/>
  <c r="B710" i="17"/>
  <c r="B708" i="17"/>
  <c r="B707" i="17"/>
  <c r="B705" i="17"/>
  <c r="B704" i="17"/>
  <c r="C246" i="17" l="1"/>
  <c r="C241" i="17"/>
  <c r="C238" i="17"/>
  <c r="C235" i="17"/>
  <c r="C260" i="17" s="1"/>
  <c r="C269" i="17"/>
  <c r="C270" i="17"/>
  <c r="C153" i="17"/>
  <c r="E153" i="17" s="1"/>
  <c r="C154" i="17"/>
  <c r="E154" i="17" s="1"/>
  <c r="C155" i="17"/>
  <c r="E155" i="17" s="1"/>
  <c r="B93" i="17"/>
  <c r="B92" i="17"/>
  <c r="B91" i="17"/>
  <c r="B90" i="17"/>
  <c r="B89" i="17"/>
  <c r="B88" i="17"/>
  <c r="B86" i="17"/>
  <c r="B85" i="17"/>
  <c r="B84" i="17"/>
  <c r="B83" i="17"/>
  <c r="C256" i="17" l="1"/>
  <c r="N335" i="2" l="1"/>
  <c r="X145" i="2"/>
  <c r="X144" i="2"/>
  <c r="X142" i="2"/>
  <c r="X130" i="2"/>
  <c r="X136" i="2"/>
  <c r="C355" i="17"/>
  <c r="AH55" i="2"/>
  <c r="N344" i="2"/>
  <c r="N343" i="2"/>
  <c r="N342" i="2"/>
  <c r="N341" i="2"/>
  <c r="N340" i="2"/>
  <c r="N339" i="2"/>
  <c r="N338" i="2"/>
  <c r="N337" i="2"/>
  <c r="N336" i="2"/>
  <c r="N345" i="2" l="1"/>
  <c r="H373" i="2"/>
  <c r="H372" i="2"/>
  <c r="I372" i="2" s="1"/>
  <c r="H371" i="2"/>
  <c r="I371" i="2" s="1"/>
  <c r="H370" i="2"/>
  <c r="I370" i="2" s="1"/>
  <c r="H369" i="2"/>
  <c r="I369" i="2" s="1"/>
  <c r="H368" i="2"/>
  <c r="I368" i="2" s="1"/>
  <c r="H367" i="2"/>
  <c r="I367" i="2" s="1"/>
  <c r="H366" i="2"/>
  <c r="I366" i="2" s="1"/>
  <c r="H365" i="2"/>
  <c r="I365" i="2" s="1"/>
  <c r="H364" i="2"/>
  <c r="I364" i="2" s="1"/>
  <c r="H363" i="2"/>
  <c r="I363" i="2" s="1"/>
  <c r="H362" i="2"/>
  <c r="I362" i="2" s="1"/>
  <c r="H361" i="2"/>
  <c r="I361" i="2" s="1"/>
  <c r="H360" i="2"/>
  <c r="I360" i="2" s="1"/>
  <c r="B374" i="17" l="1"/>
  <c r="I374" i="2"/>
  <c r="C84" i="20" l="1"/>
  <c r="C299" i="20"/>
  <c r="C83" i="20"/>
  <c r="C61" i="20"/>
  <c r="C372" i="20"/>
  <c r="C419" i="20"/>
  <c r="C204" i="20"/>
  <c r="C131" i="20"/>
  <c r="C564" i="20"/>
  <c r="C539" i="20"/>
  <c r="C444" i="20"/>
  <c r="C180" i="20"/>
  <c r="C323" i="20"/>
  <c r="C251" i="20"/>
  <c r="C179" i="20"/>
  <c r="C540" i="20"/>
  <c r="D636" i="20"/>
  <c r="D300" i="20"/>
  <c r="C396" i="20"/>
  <c r="D491" i="20"/>
  <c r="D347" i="20"/>
  <c r="D420" i="20"/>
  <c r="C420" i="20"/>
  <c r="C443" i="20"/>
  <c r="D324" i="20"/>
  <c r="C563" i="20"/>
  <c r="D492" i="20"/>
  <c r="C467" i="20"/>
  <c r="D227" i="20"/>
  <c r="C516" i="20"/>
  <c r="C348" i="20"/>
  <c r="C39" i="20"/>
  <c r="D156" i="20"/>
  <c r="C203" i="20"/>
  <c r="C636" i="20"/>
  <c r="C300" i="20"/>
  <c r="D323" i="20"/>
  <c r="C324" i="20"/>
  <c r="C588" i="20"/>
  <c r="C156" i="20"/>
  <c r="C468" i="20"/>
  <c r="C371" i="20"/>
  <c r="C491" i="20"/>
  <c r="C62" i="20"/>
  <c r="C587" i="20"/>
  <c r="D587" i="20"/>
  <c r="C155" i="20"/>
  <c r="C492" i="20"/>
  <c r="C40" i="20"/>
  <c r="C228" i="20"/>
  <c r="C276" i="20"/>
  <c r="C611" i="20"/>
  <c r="C107" i="20"/>
  <c r="C635" i="20"/>
  <c r="D228" i="20"/>
  <c r="C275" i="20"/>
  <c r="C252" i="20"/>
  <c r="C515" i="20"/>
  <c r="C227" i="20"/>
  <c r="C395" i="20"/>
  <c r="C108" i="20"/>
  <c r="C347" i="20"/>
  <c r="C132" i="20"/>
  <c r="C612" i="20"/>
  <c r="D515" i="20"/>
  <c r="D107" i="20"/>
  <c r="D611" i="20"/>
  <c r="D108" i="20"/>
  <c r="D252" i="20"/>
  <c r="D299" i="20"/>
  <c r="E204" i="20"/>
  <c r="D443" i="20"/>
  <c r="D155" i="20"/>
  <c r="D276" i="20"/>
  <c r="D61" i="20"/>
  <c r="E227" i="20"/>
  <c r="D516" i="20"/>
  <c r="D396" i="20"/>
  <c r="D62" i="20"/>
  <c r="D275" i="20"/>
  <c r="D348" i="20"/>
  <c r="E324" i="20"/>
  <c r="D40" i="20"/>
  <c r="D563" i="20"/>
  <c r="E612" i="20"/>
  <c r="D588" i="20"/>
  <c r="D251" i="20"/>
  <c r="D395" i="20"/>
  <c r="D203" i="20"/>
  <c r="E491" i="20"/>
  <c r="E323" i="20"/>
  <c r="E564" i="20"/>
  <c r="D444" i="20"/>
  <c r="D180" i="20"/>
  <c r="D39" i="20"/>
  <c r="D372" i="20"/>
  <c r="D419" i="20"/>
  <c r="D179" i="20"/>
  <c r="D468" i="20"/>
  <c r="D540" i="20"/>
  <c r="D131" i="20"/>
  <c r="D539" i="20"/>
  <c r="D132" i="20"/>
  <c r="D204" i="20"/>
  <c r="D84" i="20"/>
  <c r="D635" i="20"/>
  <c r="E228" i="20"/>
  <c r="E492" i="20"/>
  <c r="E108" i="20"/>
  <c r="D83" i="20"/>
  <c r="D564" i="20"/>
  <c r="D612" i="20"/>
  <c r="D467" i="20"/>
  <c r="D371" i="20"/>
  <c r="F324" i="20"/>
  <c r="E107" i="20"/>
  <c r="E348" i="20"/>
  <c r="F323" i="20"/>
  <c r="E443" i="20"/>
  <c r="E299" i="20"/>
  <c r="E252" i="20"/>
  <c r="F132" i="20"/>
  <c r="E636" i="20"/>
  <c r="E395" i="20"/>
  <c r="F491" i="20"/>
  <c r="E39" i="20"/>
  <c r="E467" i="20"/>
  <c r="E444" i="20"/>
  <c r="F492" i="20"/>
  <c r="E203" i="20"/>
  <c r="F228" i="20"/>
  <c r="E347" i="20"/>
  <c r="F635" i="20"/>
  <c r="E419" i="20"/>
  <c r="E396" i="20"/>
  <c r="E420" i="20"/>
  <c r="E62" i="20"/>
  <c r="E468" i="20"/>
  <c r="E516" i="20"/>
  <c r="E156" i="20"/>
  <c r="E515" i="20"/>
  <c r="F467" i="20"/>
  <c r="E132" i="20"/>
  <c r="E275" i="20"/>
  <c r="E587" i="20"/>
  <c r="E61" i="20"/>
  <c r="E84" i="20"/>
  <c r="E611" i="20"/>
  <c r="E588" i="20"/>
  <c r="F516" i="20"/>
  <c r="E179" i="20"/>
  <c r="F227" i="20"/>
  <c r="E180" i="20"/>
  <c r="E276" i="20"/>
  <c r="E539" i="20"/>
  <c r="E300" i="20"/>
  <c r="E251" i="20"/>
  <c r="E155" i="20"/>
  <c r="E372" i="20"/>
  <c r="E635" i="20"/>
  <c r="E540" i="20"/>
  <c r="E83" i="20"/>
  <c r="E40" i="20"/>
  <c r="E371" i="20"/>
  <c r="E131" i="20"/>
  <c r="E563" i="20"/>
  <c r="F564" i="20"/>
  <c r="F612" i="20"/>
  <c r="F62" i="20"/>
  <c r="F540" i="20"/>
  <c r="F419" i="20"/>
  <c r="F636" i="20"/>
  <c r="F587" i="20"/>
  <c r="F539" i="20"/>
  <c r="F443" i="20"/>
  <c r="F203" i="20"/>
  <c r="F588" i="20"/>
  <c r="F395" i="20"/>
  <c r="F179" i="20"/>
  <c r="G540" i="20"/>
  <c r="F40" i="20"/>
  <c r="F300" i="20"/>
  <c r="F276" i="20"/>
  <c r="F563" i="20"/>
  <c r="F155" i="20"/>
  <c r="F299" i="20"/>
  <c r="G227" i="20"/>
  <c r="F468" i="20"/>
  <c r="G323" i="20"/>
  <c r="H228" i="20"/>
  <c r="G40" i="20"/>
  <c r="F83" i="20"/>
  <c r="G492" i="20"/>
  <c r="G563" i="20"/>
  <c r="F611" i="20"/>
  <c r="F61" i="20"/>
  <c r="F348" i="20"/>
  <c r="F108" i="20"/>
  <c r="F252" i="20"/>
  <c r="F107" i="20"/>
  <c r="G203" i="20"/>
  <c r="F396" i="20"/>
  <c r="G587" i="20"/>
  <c r="H227" i="20"/>
  <c r="F156" i="20"/>
  <c r="F131" i="20"/>
  <c r="F347" i="20"/>
  <c r="F251" i="20"/>
  <c r="F420" i="20"/>
  <c r="F371" i="20"/>
  <c r="G228" i="20"/>
  <c r="F204" i="20"/>
  <c r="G491" i="20"/>
  <c r="F84" i="20"/>
  <c r="F39" i="20"/>
  <c r="F180" i="20"/>
  <c r="G324" i="20"/>
  <c r="F275" i="20"/>
  <c r="G612" i="20"/>
  <c r="F444" i="20"/>
  <c r="G204" i="20"/>
  <c r="G132" i="20"/>
  <c r="F372" i="20"/>
  <c r="G588" i="20"/>
  <c r="F515" i="20"/>
  <c r="G443" i="20"/>
  <c r="G84" i="20"/>
  <c r="G444" i="20"/>
  <c r="G611" i="20"/>
  <c r="G347" i="20"/>
  <c r="G179" i="20"/>
  <c r="G635" i="20"/>
  <c r="G39" i="20"/>
  <c r="G155" i="20"/>
  <c r="G371" i="20"/>
  <c r="G395" i="20"/>
  <c r="G515" i="20"/>
  <c r="G467" i="20"/>
  <c r="G396" i="20"/>
  <c r="G252" i="20"/>
  <c r="G62" i="20"/>
  <c r="H107" i="20"/>
  <c r="G300" i="20"/>
  <c r="G108" i="20"/>
  <c r="G516" i="20"/>
  <c r="G275" i="20"/>
  <c r="H323" i="20"/>
  <c r="G131" i="20"/>
  <c r="G276" i="20"/>
  <c r="G61" i="20"/>
  <c r="G299" i="20"/>
  <c r="G156" i="20"/>
  <c r="G636" i="20"/>
  <c r="H324" i="20"/>
  <c r="G419" i="20"/>
  <c r="G180" i="20"/>
  <c r="G468" i="20"/>
  <c r="G83" i="20"/>
  <c r="H468" i="20"/>
  <c r="G107" i="20"/>
  <c r="H491" i="20"/>
  <c r="G372" i="20"/>
  <c r="G539" i="20"/>
  <c r="G348" i="20"/>
  <c r="H612" i="20"/>
  <c r="G251" i="20"/>
  <c r="H588" i="20"/>
  <c r="G564" i="20"/>
  <c r="G420" i="20"/>
  <c r="H492" i="20"/>
  <c r="I324" i="20"/>
  <c r="I491" i="20"/>
  <c r="H155" i="20"/>
  <c r="H395" i="20"/>
  <c r="H62" i="20"/>
  <c r="H276" i="20"/>
  <c r="H540" i="20"/>
  <c r="H443" i="20"/>
  <c r="H39" i="20"/>
  <c r="I180" i="20"/>
  <c r="H515" i="20"/>
  <c r="H299" i="20"/>
  <c r="H84" i="20"/>
  <c r="H516" i="20"/>
  <c r="H371" i="20"/>
  <c r="H300" i="20"/>
  <c r="H635" i="20"/>
  <c r="H180" i="20"/>
  <c r="H251" i="20"/>
  <c r="H419" i="20"/>
  <c r="H204" i="20"/>
  <c r="H467" i="20"/>
  <c r="H348" i="20"/>
  <c r="H347" i="20"/>
  <c r="H372" i="20"/>
  <c r="I323" i="20"/>
  <c r="H587" i="20"/>
  <c r="H132" i="20"/>
  <c r="I443" i="20"/>
  <c r="I228" i="20"/>
  <c r="H108" i="20"/>
  <c r="H539" i="20"/>
  <c r="H131" i="20"/>
  <c r="H444" i="20"/>
  <c r="I299" i="20"/>
  <c r="H83" i="20"/>
  <c r="H40" i="20"/>
  <c r="H156" i="20"/>
  <c r="I227" i="20"/>
  <c r="H179" i="20"/>
  <c r="H611" i="20"/>
  <c r="H61" i="20"/>
  <c r="H636" i="20"/>
  <c r="I540" i="20"/>
  <c r="H203" i="20"/>
  <c r="I492" i="20"/>
  <c r="H252" i="20"/>
  <c r="H564" i="20"/>
  <c r="H563" i="20"/>
  <c r="H275" i="20"/>
  <c r="H396" i="20"/>
  <c r="H420" i="20"/>
  <c r="I587" i="20"/>
  <c r="I635" i="20"/>
  <c r="J323" i="20"/>
  <c r="I204" i="20"/>
  <c r="I251" i="20"/>
  <c r="I107" i="20"/>
  <c r="J491" i="20"/>
  <c r="I611" i="20"/>
  <c r="I420" i="20"/>
  <c r="J492" i="20"/>
  <c r="I156" i="20"/>
  <c r="I276" i="20"/>
  <c r="I61" i="20"/>
  <c r="I395" i="20"/>
  <c r="I131" i="20"/>
  <c r="J156" i="20"/>
  <c r="I84" i="20"/>
  <c r="I40" i="20"/>
  <c r="I372" i="20"/>
  <c r="I636" i="20"/>
  <c r="J227" i="20"/>
  <c r="I515" i="20"/>
  <c r="I108" i="20"/>
  <c r="J228" i="20"/>
  <c r="K227" i="20"/>
  <c r="I39" i="20"/>
  <c r="I83" i="20"/>
  <c r="J444" i="20"/>
  <c r="K228" i="20"/>
  <c r="I468" i="20"/>
  <c r="I252" i="20"/>
  <c r="J636" i="20"/>
  <c r="I155" i="20"/>
  <c r="I516" i="20"/>
  <c r="I179" i="20"/>
  <c r="I275" i="20"/>
  <c r="I563" i="20"/>
  <c r="I371" i="20"/>
  <c r="I203" i="20"/>
  <c r="I419" i="20"/>
  <c r="I62" i="20"/>
  <c r="J324" i="20"/>
  <c r="I396" i="20"/>
  <c r="I588" i="20"/>
  <c r="I348" i="20"/>
  <c r="I300" i="20"/>
  <c r="I467" i="20"/>
  <c r="I444" i="20"/>
  <c r="I132" i="20"/>
  <c r="I612" i="20"/>
  <c r="I564" i="20"/>
  <c r="I539" i="20"/>
  <c r="I347" i="20"/>
  <c r="J180" i="20"/>
  <c r="K324" i="20"/>
  <c r="J204" i="20"/>
  <c r="J276" i="20"/>
  <c r="J275" i="20"/>
  <c r="J515" i="20"/>
  <c r="J299" i="20"/>
  <c r="K347" i="20"/>
  <c r="J155" i="20"/>
  <c r="J107" i="20"/>
  <c r="J371" i="20"/>
  <c r="K323" i="20"/>
  <c r="J443" i="20"/>
  <c r="K492" i="20"/>
  <c r="J40" i="20"/>
  <c r="J251" i="20"/>
  <c r="J300" i="20"/>
  <c r="J39" i="20"/>
  <c r="J347" i="20"/>
  <c r="J587" i="20"/>
  <c r="J563" i="20"/>
  <c r="K156" i="20"/>
  <c r="J588" i="20"/>
  <c r="J396" i="20"/>
  <c r="J468" i="20"/>
  <c r="J348" i="20"/>
  <c r="K491" i="20"/>
  <c r="J61" i="20"/>
  <c r="J108" i="20"/>
  <c r="L323" i="20"/>
  <c r="J467" i="20"/>
  <c r="J611" i="20"/>
  <c r="J540" i="20"/>
  <c r="J539" i="20"/>
  <c r="J252" i="20"/>
  <c r="K419" i="20"/>
  <c r="J395" i="20"/>
  <c r="J132" i="20"/>
  <c r="J83" i="20"/>
  <c r="J62" i="20"/>
  <c r="J564" i="20"/>
  <c r="J635" i="20"/>
  <c r="K588" i="20"/>
  <c r="J516" i="20"/>
  <c r="J372" i="20"/>
  <c r="J84" i="20"/>
  <c r="J131" i="20"/>
  <c r="J420" i="20"/>
  <c r="J612" i="20"/>
  <c r="J419" i="20"/>
  <c r="J203" i="20"/>
  <c r="K108" i="20"/>
  <c r="J179" i="20"/>
  <c r="K348" i="20"/>
  <c r="K132" i="20"/>
  <c r="K84" i="20"/>
  <c r="K420" i="20"/>
  <c r="K251" i="20"/>
  <c r="K276" i="20"/>
  <c r="K540" i="20"/>
  <c r="K611" i="20"/>
  <c r="L227" i="20"/>
  <c r="K300" i="20"/>
  <c r="L491" i="20"/>
  <c r="K635" i="20"/>
  <c r="K39" i="20"/>
  <c r="K252" i="20"/>
  <c r="K203" i="20"/>
  <c r="K83" i="20"/>
  <c r="L324" i="20"/>
  <c r="K516" i="20"/>
  <c r="L107" i="20"/>
  <c r="M228" i="20"/>
  <c r="K564" i="20"/>
  <c r="K468" i="20"/>
  <c r="K179" i="20"/>
  <c r="K131" i="20"/>
  <c r="K539" i="20"/>
  <c r="K636" i="20"/>
  <c r="K299" i="20"/>
  <c r="L108" i="20"/>
  <c r="K467" i="20"/>
  <c r="L228" i="20"/>
  <c r="K443" i="20"/>
  <c r="K61" i="20"/>
  <c r="K612" i="20"/>
  <c r="L467" i="20"/>
  <c r="K204" i="20"/>
  <c r="K396" i="20"/>
  <c r="K40" i="20"/>
  <c r="K372" i="20"/>
  <c r="K62" i="20"/>
  <c r="K180" i="20"/>
  <c r="K444" i="20"/>
  <c r="M323" i="20"/>
  <c r="K587" i="20"/>
  <c r="K563" i="20"/>
  <c r="L420" i="20"/>
  <c r="K395" i="20"/>
  <c r="K107" i="20"/>
  <c r="L492" i="20"/>
  <c r="K155" i="20"/>
  <c r="K275" i="20"/>
  <c r="K515" i="20"/>
  <c r="K371" i="20"/>
  <c r="L588" i="20"/>
  <c r="L84" i="20"/>
  <c r="L516" i="20"/>
  <c r="L275" i="20"/>
  <c r="L61" i="20"/>
  <c r="L563" i="20"/>
  <c r="L40" i="20"/>
  <c r="M492" i="20"/>
  <c r="L251" i="20"/>
  <c r="M156" i="20"/>
  <c r="L39" i="20"/>
  <c r="L636" i="20"/>
  <c r="M324" i="20"/>
  <c r="L180" i="20"/>
  <c r="L612" i="20"/>
  <c r="L443" i="20"/>
  <c r="L395" i="20"/>
  <c r="M444" i="20"/>
  <c r="M107" i="20"/>
  <c r="L371" i="20"/>
  <c r="L299" i="20"/>
  <c r="L347" i="20"/>
  <c r="L156" i="20"/>
  <c r="L62" i="20"/>
  <c r="L539" i="20"/>
  <c r="M443" i="20"/>
  <c r="M516" i="20"/>
  <c r="L155" i="20"/>
  <c r="M227" i="20"/>
  <c r="L252" i="20"/>
  <c r="L515" i="20"/>
  <c r="L348" i="20"/>
  <c r="L203" i="20"/>
  <c r="M155" i="20"/>
  <c r="L83" i="20"/>
  <c r="L276" i="20"/>
  <c r="L131" i="20"/>
  <c r="L611" i="20"/>
  <c r="L396" i="20"/>
  <c r="M204" i="20"/>
  <c r="L179" i="20"/>
  <c r="L419" i="20"/>
  <c r="L300" i="20"/>
  <c r="L132" i="20"/>
  <c r="L564" i="20"/>
  <c r="L540" i="20"/>
  <c r="L444" i="20"/>
  <c r="L468" i="20"/>
  <c r="L372" i="20"/>
  <c r="L587" i="20"/>
  <c r="M491" i="20"/>
  <c r="L204" i="20"/>
  <c r="L635" i="20"/>
  <c r="M132" i="20"/>
  <c r="M62" i="20"/>
  <c r="N228" i="20"/>
  <c r="M371" i="20"/>
  <c r="N227" i="20"/>
  <c r="M83" i="20"/>
  <c r="M39" i="20"/>
  <c r="N179" i="20"/>
  <c r="M275" i="20"/>
  <c r="M131" i="20"/>
  <c r="M299" i="20"/>
  <c r="M276" i="20"/>
  <c r="M539" i="20"/>
  <c r="M348" i="20"/>
  <c r="N492" i="20"/>
  <c r="N40" i="20"/>
  <c r="M611" i="20"/>
  <c r="M252" i="20"/>
  <c r="M347" i="20"/>
  <c r="M612" i="20"/>
  <c r="M203" i="20"/>
  <c r="M61" i="20"/>
  <c r="N491" i="20"/>
  <c r="N636" i="20"/>
  <c r="M419" i="20"/>
  <c r="M251" i="20"/>
  <c r="M515" i="20"/>
  <c r="M636" i="20"/>
  <c r="M180" i="20"/>
  <c r="M84" i="20"/>
  <c r="M420" i="20"/>
  <c r="N635" i="20"/>
  <c r="M300" i="20"/>
  <c r="M108" i="20"/>
  <c r="M395" i="20"/>
  <c r="M587" i="20"/>
  <c r="N587" i="20"/>
  <c r="M563" i="20"/>
  <c r="M40" i="20"/>
  <c r="M564" i="20"/>
  <c r="M588" i="20"/>
  <c r="M540" i="20"/>
  <c r="N107" i="20"/>
  <c r="M396" i="20"/>
  <c r="N323" i="20"/>
  <c r="N324" i="20"/>
  <c r="M468" i="20"/>
  <c r="M635" i="20"/>
  <c r="N588" i="20"/>
  <c r="M467" i="20"/>
  <c r="M372" i="20"/>
  <c r="M179" i="20"/>
  <c r="N419" i="20"/>
  <c r="N155" i="20"/>
  <c r="N275" i="20"/>
  <c r="N204" i="20"/>
  <c r="N299" i="20"/>
  <c r="N83" i="20"/>
  <c r="N468" i="20"/>
  <c r="N539" i="20"/>
  <c r="N39" i="20"/>
  <c r="N347" i="20"/>
  <c r="N563" i="20"/>
  <c r="N540" i="20"/>
  <c r="N420" i="20"/>
  <c r="N180" i="20"/>
  <c r="N612" i="20"/>
  <c r="N251" i="20"/>
  <c r="N395" i="20"/>
  <c r="N443" i="20"/>
  <c r="N515" i="20"/>
  <c r="N611" i="20"/>
  <c r="N467" i="20"/>
  <c r="N132" i="20"/>
  <c r="N108" i="20"/>
  <c r="N62" i="20"/>
  <c r="N371" i="20"/>
  <c r="N372" i="20"/>
  <c r="N276" i="20"/>
  <c r="N396" i="20"/>
  <c r="N203" i="20"/>
  <c r="N131" i="20"/>
  <c r="N516" i="20"/>
  <c r="N564" i="20"/>
  <c r="N252" i="20"/>
  <c r="N444" i="20"/>
  <c r="N348" i="20"/>
  <c r="N300" i="20"/>
  <c r="N61" i="20"/>
  <c r="N84" i="20"/>
  <c r="N156" i="20"/>
  <c r="E55" i="2"/>
  <c r="AA160" i="2"/>
  <c r="AA159" i="2"/>
  <c r="X139" i="2"/>
  <c r="X138" i="2"/>
  <c r="X137" i="2"/>
  <c r="X133" i="2"/>
  <c r="X132" i="2"/>
  <c r="X131" i="2"/>
  <c r="X127" i="2"/>
  <c r="X126" i="2"/>
  <c r="X125" i="2"/>
  <c r="X124" i="2"/>
  <c r="AA155" i="2" s="1"/>
  <c r="C158" i="17"/>
  <c r="E158" i="17" s="1"/>
  <c r="C157" i="17"/>
  <c r="E157" i="17" s="1"/>
  <c r="C156" i="17"/>
  <c r="E156" i="17" s="1"/>
  <c r="C149" i="17"/>
  <c r="E149" i="17" s="1"/>
  <c r="C148" i="17"/>
  <c r="E148" i="17" s="1"/>
  <c r="C147" i="17"/>
  <c r="E147" i="17" s="1"/>
  <c r="C146" i="17"/>
  <c r="C145" i="17"/>
  <c r="C144" i="17"/>
  <c r="E144" i="17" s="1"/>
  <c r="C143" i="17"/>
  <c r="C152" i="17"/>
  <c r="E152" i="17" s="1"/>
  <c r="H352" i="2"/>
  <c r="I352" i="2" s="1"/>
  <c r="H351" i="2"/>
  <c r="I351" i="2" s="1"/>
  <c r="H350" i="2"/>
  <c r="I350" i="2" s="1"/>
  <c r="H349" i="2"/>
  <c r="H348" i="2"/>
  <c r="I348" i="2" s="1"/>
  <c r="H347" i="2"/>
  <c r="I347" i="2" s="1"/>
  <c r="H346" i="2"/>
  <c r="I346" i="2" s="1"/>
  <c r="E339" i="2"/>
  <c r="F339" i="2" s="1"/>
  <c r="E338" i="2"/>
  <c r="F338" i="2" s="1"/>
  <c r="E337" i="2"/>
  <c r="F337" i="2" s="1"/>
  <c r="E336" i="2"/>
  <c r="F336" i="2" s="1"/>
  <c r="E146" i="17" l="1"/>
  <c r="C210" i="17"/>
  <c r="E145" i="17"/>
  <c r="C209" i="17"/>
  <c r="E143" i="17"/>
  <c r="C208" i="17"/>
  <c r="G109" i="17"/>
  <c r="F340" i="2"/>
  <c r="C277" i="17"/>
  <c r="C234" i="17"/>
  <c r="C244" i="17"/>
  <c r="C63" i="17"/>
  <c r="B544" i="20"/>
  <c r="B640" i="20"/>
  <c r="B639" i="20"/>
  <c r="AA112" i="2" s="1"/>
  <c r="B616" i="20"/>
  <c r="B615" i="20"/>
  <c r="AA110" i="2" s="1"/>
  <c r="B591" i="20"/>
  <c r="AA108" i="2" s="1"/>
  <c r="B592" i="20"/>
  <c r="B567" i="20"/>
  <c r="AA106" i="2" s="1"/>
  <c r="B568" i="20"/>
  <c r="B519" i="20"/>
  <c r="AA102" i="2" s="1"/>
  <c r="B520" i="20"/>
  <c r="B496" i="20"/>
  <c r="B495" i="20"/>
  <c r="AA100" i="2" s="1"/>
  <c r="B471" i="20"/>
  <c r="AA98" i="2" s="1"/>
  <c r="B472" i="20"/>
  <c r="B423" i="20"/>
  <c r="AA94" i="2" s="1"/>
  <c r="B352" i="20"/>
  <c r="B351" i="20"/>
  <c r="AA88" i="2" s="1"/>
  <c r="B328" i="20"/>
  <c r="B279" i="20"/>
  <c r="AA82" i="2" s="1"/>
  <c r="B160" i="20"/>
  <c r="B255" i="20"/>
  <c r="AA80" i="2" s="1"/>
  <c r="B543" i="20"/>
  <c r="AA104" i="2" s="1"/>
  <c r="B447" i="20"/>
  <c r="AA96" i="2" s="1"/>
  <c r="B448" i="20"/>
  <c r="B424" i="20"/>
  <c r="B399" i="20"/>
  <c r="AA92" i="2" s="1"/>
  <c r="B400" i="20"/>
  <c r="B376" i="20"/>
  <c r="B375" i="20"/>
  <c r="AA90" i="2" s="1"/>
  <c r="B327" i="20"/>
  <c r="AA86" i="2" s="1"/>
  <c r="B304" i="20"/>
  <c r="B303" i="20"/>
  <c r="AA84" i="2" s="1"/>
  <c r="B280" i="20"/>
  <c r="B256" i="20"/>
  <c r="B231" i="20"/>
  <c r="AA78" i="2" s="1"/>
  <c r="B232" i="20"/>
  <c r="B208" i="20"/>
  <c r="B207" i="20"/>
  <c r="AA76" i="2" s="1"/>
  <c r="B183" i="20"/>
  <c r="AA74" i="2" s="1"/>
  <c r="B184" i="20"/>
  <c r="B159" i="20"/>
  <c r="AA72" i="2" s="1"/>
  <c r="B135" i="20"/>
  <c r="AA70" i="2" s="1"/>
  <c r="B136" i="20"/>
  <c r="B112" i="20"/>
  <c r="B111" i="20"/>
  <c r="AA68" i="2" s="1"/>
  <c r="B44" i="20"/>
  <c r="B88" i="20"/>
  <c r="B43" i="20"/>
  <c r="AA62" i="2" s="1"/>
  <c r="B65" i="20"/>
  <c r="B87" i="20"/>
  <c r="AA66" i="2" s="1"/>
  <c r="B66" i="20"/>
  <c r="I354" i="2"/>
  <c r="AA158" i="2"/>
  <c r="C131" i="17" s="1"/>
  <c r="AA156" i="2"/>
  <c r="C129" i="17" s="1"/>
  <c r="AA157" i="2"/>
  <c r="C130" i="17" s="1"/>
  <c r="Y163" i="2"/>
  <c r="Y160" i="2"/>
  <c r="Y162" i="2"/>
  <c r="C128" i="17"/>
  <c r="Y156" i="2"/>
  <c r="Y157" i="2"/>
  <c r="Y158" i="2"/>
  <c r="Y159" i="2"/>
  <c r="Y161" i="2"/>
  <c r="C207" i="17" l="1"/>
  <c r="C205" i="17"/>
  <c r="AA64" i="2"/>
  <c r="B118" i="2" l="1"/>
  <c r="B116" i="2"/>
  <c r="B114" i="2"/>
  <c r="B112" i="2"/>
  <c r="B110" i="2"/>
  <c r="B108" i="2"/>
  <c r="B106" i="2"/>
  <c r="B104" i="2"/>
  <c r="B102" i="2"/>
  <c r="B100" i="2"/>
  <c r="B98" i="2"/>
  <c r="B96" i="2"/>
  <c r="B94" i="2"/>
  <c r="L172" i="2"/>
  <c r="L173" i="2"/>
  <c r="L174" i="2"/>
  <c r="L175" i="2"/>
  <c r="L176" i="2"/>
  <c r="L177" i="2"/>
  <c r="L178" i="2"/>
  <c r="L179" i="2"/>
  <c r="L180" i="2"/>
  <c r="L181" i="2"/>
  <c r="J172" i="2"/>
  <c r="J173" i="2"/>
  <c r="J174" i="2"/>
  <c r="J175" i="2"/>
  <c r="J176" i="2"/>
  <c r="J177" i="2"/>
  <c r="J178" i="2"/>
  <c r="J179" i="2"/>
  <c r="J180" i="2"/>
  <c r="J181" i="2"/>
  <c r="H172" i="2"/>
  <c r="H173" i="2"/>
  <c r="H174" i="2"/>
  <c r="H175" i="2"/>
  <c r="H176" i="2"/>
  <c r="H177" i="2"/>
  <c r="H178" i="2"/>
  <c r="H179" i="2"/>
  <c r="H180" i="2"/>
  <c r="H181" i="2"/>
  <c r="F172" i="2"/>
  <c r="F173" i="2"/>
  <c r="F174" i="2"/>
  <c r="F175" i="2"/>
  <c r="F176" i="2"/>
  <c r="F177" i="2"/>
  <c r="F178" i="2"/>
  <c r="F179" i="2"/>
  <c r="F180" i="2"/>
  <c r="F181" i="2"/>
  <c r="L184" i="2"/>
  <c r="L185" i="2"/>
  <c r="L186" i="2"/>
  <c r="L187" i="2"/>
  <c r="L188" i="2"/>
  <c r="L189" i="2"/>
  <c r="L190" i="2"/>
  <c r="L191" i="2"/>
  <c r="L192" i="2"/>
  <c r="L193" i="2"/>
  <c r="J184" i="2"/>
  <c r="J185" i="2"/>
  <c r="J186" i="2"/>
  <c r="J187" i="2"/>
  <c r="J188" i="2"/>
  <c r="J189" i="2"/>
  <c r="J190" i="2"/>
  <c r="J191" i="2"/>
  <c r="J192" i="2"/>
  <c r="J193" i="2"/>
  <c r="H184" i="2"/>
  <c r="H185" i="2"/>
  <c r="H186" i="2"/>
  <c r="H187" i="2"/>
  <c r="H188" i="2"/>
  <c r="H189" i="2"/>
  <c r="H190" i="2"/>
  <c r="H191" i="2"/>
  <c r="H192" i="2"/>
  <c r="H193" i="2"/>
  <c r="F184" i="2"/>
  <c r="F185" i="2"/>
  <c r="F186" i="2"/>
  <c r="F187" i="2"/>
  <c r="F188" i="2"/>
  <c r="F189" i="2"/>
  <c r="F190" i="2"/>
  <c r="F191" i="2"/>
  <c r="F192" i="2"/>
  <c r="F193" i="2"/>
  <c r="D184" i="2"/>
  <c r="D185" i="2"/>
  <c r="D186" i="2"/>
  <c r="D187" i="2"/>
  <c r="D188" i="2"/>
  <c r="D189" i="2"/>
  <c r="D190" i="2"/>
  <c r="D191" i="2"/>
  <c r="D192" i="2"/>
  <c r="D193" i="2"/>
  <c r="D172" i="2"/>
  <c r="D173" i="2"/>
  <c r="D174" i="2"/>
  <c r="D175" i="2"/>
  <c r="D176" i="2"/>
  <c r="D177" i="2"/>
  <c r="D178" i="2"/>
  <c r="D179" i="2"/>
  <c r="D180" i="2"/>
  <c r="D181" i="2"/>
  <c r="L160" i="2"/>
  <c r="L161" i="2"/>
  <c r="L162" i="2"/>
  <c r="L163" i="2"/>
  <c r="L164" i="2"/>
  <c r="L165" i="2"/>
  <c r="L166" i="2"/>
  <c r="L167" i="2"/>
  <c r="L168" i="2"/>
  <c r="L169" i="2"/>
  <c r="J160" i="2"/>
  <c r="J161" i="2"/>
  <c r="J162" i="2"/>
  <c r="J163" i="2"/>
  <c r="J164" i="2"/>
  <c r="J165" i="2"/>
  <c r="J166" i="2"/>
  <c r="J167" i="2"/>
  <c r="J168" i="2"/>
  <c r="J169" i="2"/>
  <c r="H160" i="2"/>
  <c r="H161" i="2"/>
  <c r="H162" i="2"/>
  <c r="H163" i="2"/>
  <c r="H164" i="2"/>
  <c r="H165" i="2"/>
  <c r="H166" i="2"/>
  <c r="H167" i="2"/>
  <c r="H168" i="2"/>
  <c r="H169" i="2"/>
  <c r="F160" i="2"/>
  <c r="F161" i="2"/>
  <c r="F162" i="2"/>
  <c r="F163" i="2"/>
  <c r="F164" i="2"/>
  <c r="F165" i="2"/>
  <c r="F166" i="2"/>
  <c r="F167" i="2"/>
  <c r="F168" i="2"/>
  <c r="F169" i="2"/>
  <c r="D160" i="2"/>
  <c r="D161" i="2"/>
  <c r="D162" i="2"/>
  <c r="D163" i="2"/>
  <c r="D164" i="2"/>
  <c r="D165" i="2"/>
  <c r="D166" i="2"/>
  <c r="D167" i="2"/>
  <c r="D168" i="2"/>
  <c r="D169" i="2"/>
  <c r="L183" i="2"/>
  <c r="J183" i="2"/>
  <c r="H183" i="2"/>
  <c r="F183" i="2"/>
  <c r="D183" i="2"/>
  <c r="L171" i="2"/>
  <c r="J171" i="2"/>
  <c r="H171" i="2"/>
  <c r="F171" i="2"/>
  <c r="D171" i="2"/>
  <c r="L159" i="2"/>
  <c r="J159" i="2"/>
  <c r="H159" i="2"/>
  <c r="F159" i="2"/>
  <c r="D159" i="2"/>
  <c r="L148" i="2"/>
  <c r="L149" i="2"/>
  <c r="L150" i="2"/>
  <c r="L151" i="2"/>
  <c r="L152" i="2"/>
  <c r="L153" i="2"/>
  <c r="L154" i="2"/>
  <c r="L155" i="2"/>
  <c r="L156" i="2"/>
  <c r="L157" i="2"/>
  <c r="J148" i="2"/>
  <c r="J149" i="2"/>
  <c r="J150" i="2"/>
  <c r="J151" i="2"/>
  <c r="J152" i="2"/>
  <c r="J153" i="2"/>
  <c r="J154" i="2"/>
  <c r="J155" i="2"/>
  <c r="J156" i="2"/>
  <c r="J157" i="2"/>
  <c r="L147" i="2"/>
  <c r="J147" i="2"/>
  <c r="H148" i="2"/>
  <c r="H149" i="2"/>
  <c r="H150" i="2"/>
  <c r="H151" i="2"/>
  <c r="H152" i="2"/>
  <c r="H153" i="2"/>
  <c r="H154" i="2"/>
  <c r="H155" i="2"/>
  <c r="H156" i="2"/>
  <c r="H157" i="2"/>
  <c r="H147" i="2"/>
  <c r="F148" i="2"/>
  <c r="F149" i="2"/>
  <c r="F150" i="2"/>
  <c r="F151" i="2"/>
  <c r="F152" i="2"/>
  <c r="F153" i="2"/>
  <c r="F154" i="2"/>
  <c r="F155" i="2"/>
  <c r="F156" i="2"/>
  <c r="F157" i="2"/>
  <c r="F147" i="2"/>
  <c r="D148" i="2"/>
  <c r="D149" i="2"/>
  <c r="D150" i="2"/>
  <c r="D151" i="2"/>
  <c r="D152" i="2"/>
  <c r="D153" i="2"/>
  <c r="D154" i="2"/>
  <c r="D155" i="2"/>
  <c r="D156" i="2"/>
  <c r="D157" i="2"/>
  <c r="D147" i="2"/>
  <c r="L136" i="2"/>
  <c r="L137" i="2"/>
  <c r="L138" i="2"/>
  <c r="L139" i="2"/>
  <c r="L140" i="2"/>
  <c r="L141" i="2"/>
  <c r="L142" i="2"/>
  <c r="L143" i="2"/>
  <c r="L144" i="2"/>
  <c r="L145" i="2"/>
  <c r="L135" i="2"/>
  <c r="J136" i="2"/>
  <c r="J137" i="2"/>
  <c r="J138" i="2"/>
  <c r="J139" i="2"/>
  <c r="J140" i="2"/>
  <c r="J141" i="2"/>
  <c r="J142" i="2"/>
  <c r="J143" i="2"/>
  <c r="J144" i="2"/>
  <c r="J145" i="2"/>
  <c r="J135" i="2"/>
  <c r="H136" i="2"/>
  <c r="H137" i="2"/>
  <c r="H138" i="2"/>
  <c r="H139" i="2"/>
  <c r="H140" i="2"/>
  <c r="H141" i="2"/>
  <c r="H142" i="2"/>
  <c r="H143" i="2"/>
  <c r="H144" i="2"/>
  <c r="H145" i="2"/>
  <c r="H135" i="2"/>
  <c r="F136" i="2"/>
  <c r="F137" i="2"/>
  <c r="F138" i="2"/>
  <c r="F139" i="2"/>
  <c r="F140" i="2"/>
  <c r="F141" i="2"/>
  <c r="F142" i="2"/>
  <c r="F143" i="2"/>
  <c r="F144" i="2"/>
  <c r="F145" i="2"/>
  <c r="F135" i="2"/>
  <c r="D136" i="2"/>
  <c r="D137" i="2"/>
  <c r="D138" i="2"/>
  <c r="D139" i="2"/>
  <c r="D140" i="2"/>
  <c r="D141" i="2"/>
  <c r="D142" i="2"/>
  <c r="D143" i="2"/>
  <c r="D144" i="2"/>
  <c r="D145" i="2"/>
  <c r="D135" i="2"/>
  <c r="L124" i="2"/>
  <c r="L125" i="2"/>
  <c r="L126" i="2"/>
  <c r="L127" i="2"/>
  <c r="L128" i="2"/>
  <c r="L129" i="2"/>
  <c r="L130" i="2"/>
  <c r="L131" i="2"/>
  <c r="L132" i="2"/>
  <c r="L133" i="2"/>
  <c r="L123" i="2"/>
  <c r="J124" i="2"/>
  <c r="J125" i="2"/>
  <c r="J126" i="2"/>
  <c r="J127" i="2"/>
  <c r="J128" i="2"/>
  <c r="J129" i="2"/>
  <c r="J130" i="2"/>
  <c r="J131" i="2"/>
  <c r="J132" i="2"/>
  <c r="J133" i="2"/>
  <c r="J123" i="2"/>
  <c r="H124" i="2"/>
  <c r="H125" i="2"/>
  <c r="H126" i="2"/>
  <c r="H127" i="2"/>
  <c r="H128" i="2"/>
  <c r="H129" i="2"/>
  <c r="H130" i="2"/>
  <c r="H131" i="2"/>
  <c r="H132" i="2"/>
  <c r="H133" i="2"/>
  <c r="H123" i="2"/>
  <c r="F124" i="2"/>
  <c r="F125" i="2"/>
  <c r="F126" i="2"/>
  <c r="F127" i="2"/>
  <c r="F128" i="2"/>
  <c r="F129" i="2"/>
  <c r="F130" i="2"/>
  <c r="F131" i="2"/>
  <c r="F132" i="2"/>
  <c r="F133" i="2"/>
  <c r="F123" i="2"/>
  <c r="D124" i="2"/>
  <c r="D125" i="2"/>
  <c r="D126" i="2"/>
  <c r="D127" i="2"/>
  <c r="D128" i="2"/>
  <c r="D129" i="2"/>
  <c r="D130" i="2"/>
  <c r="D131" i="2"/>
  <c r="D132" i="2"/>
  <c r="D133" i="2"/>
  <c r="B92" i="2"/>
  <c r="B90" i="2"/>
  <c r="B88" i="2"/>
  <c r="B86" i="2"/>
  <c r="B84" i="2"/>
  <c r="B82" i="2"/>
  <c r="B80" i="2"/>
  <c r="B78" i="2"/>
  <c r="B76" i="2"/>
  <c r="B74" i="2"/>
  <c r="B72" i="2"/>
  <c r="B70" i="2"/>
  <c r="B68" i="2"/>
  <c r="B66" i="2"/>
  <c r="B64" i="2"/>
  <c r="B62" i="2"/>
  <c r="B60" i="2"/>
  <c r="G29" i="2"/>
  <c r="Q170" i="2" l="1"/>
  <c r="E158" i="2"/>
  <c r="Z92" i="2"/>
  <c r="K170" i="2"/>
  <c r="Z108" i="2"/>
  <c r="G122" i="2"/>
  <c r="Z64" i="2"/>
  <c r="C146" i="2"/>
  <c r="Z80" i="2"/>
  <c r="G158" i="2"/>
  <c r="Z94" i="2"/>
  <c r="C182" i="2"/>
  <c r="Z110" i="2"/>
  <c r="I170" i="2"/>
  <c r="Z106" i="2"/>
  <c r="E122" i="2"/>
  <c r="Z62" i="2"/>
  <c r="K134" i="2"/>
  <c r="Z78" i="2"/>
  <c r="E146" i="2"/>
  <c r="Z82" i="2"/>
  <c r="I158" i="2"/>
  <c r="Z96" i="2"/>
  <c r="E182" i="2"/>
  <c r="Z112" i="2"/>
  <c r="G134" i="2"/>
  <c r="Z74" i="2"/>
  <c r="I134" i="2"/>
  <c r="Z76" i="2"/>
  <c r="I122" i="2"/>
  <c r="Z66" i="2"/>
  <c r="K122" i="2"/>
  <c r="Z68" i="2"/>
  <c r="G146" i="2"/>
  <c r="Z84" i="2"/>
  <c r="K158" i="2"/>
  <c r="Z98" i="2"/>
  <c r="G182" i="2"/>
  <c r="Z114" i="2"/>
  <c r="G170" i="2"/>
  <c r="Z104" i="2"/>
  <c r="C134" i="2"/>
  <c r="Z70" i="2"/>
  <c r="I146" i="2"/>
  <c r="Z86" i="2"/>
  <c r="C170" i="2"/>
  <c r="Z100" i="2"/>
  <c r="I182" i="2"/>
  <c r="Z116" i="2"/>
  <c r="C158" i="2"/>
  <c r="Z90" i="2"/>
  <c r="E134" i="2"/>
  <c r="Z72" i="2"/>
  <c r="K146" i="2"/>
  <c r="Z88" i="2"/>
  <c r="E170" i="2"/>
  <c r="Z102" i="2"/>
  <c r="K182" i="2"/>
  <c r="Z118" i="2"/>
  <c r="C122" i="2"/>
  <c r="Z60" i="2"/>
  <c r="Q179" i="2"/>
  <c r="C92" i="17" s="1"/>
  <c r="Q171" i="2"/>
  <c r="C84" i="17" s="1"/>
  <c r="Q178" i="2"/>
  <c r="C91" i="17" s="1"/>
  <c r="Q176" i="2"/>
  <c r="C89" i="17" s="1"/>
  <c r="Q175" i="2"/>
  <c r="C88" i="17" s="1"/>
  <c r="Q174" i="2"/>
  <c r="C87" i="17" s="1"/>
  <c r="Q177" i="2"/>
  <c r="C90" i="17" s="1"/>
  <c r="Q173" i="2"/>
  <c r="C86" i="17" s="1"/>
  <c r="Q180" i="2"/>
  <c r="C93" i="17" s="1"/>
  <c r="Q172" i="2"/>
  <c r="C85" i="17" s="1"/>
  <c r="G45" i="2"/>
  <c r="G46" i="2"/>
  <c r="G47" i="2"/>
  <c r="G48" i="2"/>
  <c r="G49" i="2"/>
  <c r="G50" i="2"/>
  <c r="G51" i="2"/>
  <c r="G52" i="2"/>
  <c r="G53" i="2"/>
  <c r="G54" i="2"/>
  <c r="Q181" i="2" l="1"/>
  <c r="O185" i="2" s="1"/>
  <c r="G118" i="17" s="1"/>
  <c r="C83" i="17"/>
  <c r="G6" i="17"/>
  <c r="C321" i="17" l="1"/>
  <c r="B59" i="2"/>
  <c r="E529" i="17" l="1"/>
  <c r="B126" i="17"/>
  <c r="E539" i="17" l="1"/>
  <c r="H575" i="17"/>
  <c r="B532" i="17"/>
  <c r="B531" i="17"/>
  <c r="H574" i="17"/>
  <c r="H573" i="17"/>
  <c r="E537" i="17"/>
  <c r="D538" i="17" l="1"/>
  <c r="D537" i="17"/>
  <c r="E538" i="17"/>
  <c r="B214" i="17" l="1"/>
  <c r="B211" i="17"/>
  <c r="G30" i="2" l="1"/>
  <c r="A106" i="1" l="1"/>
  <c r="B106" i="1"/>
  <c r="C106" i="1"/>
  <c r="D106" i="1"/>
  <c r="E106" i="1"/>
  <c r="F106" i="1"/>
  <c r="G106" i="1"/>
  <c r="H106" i="1"/>
  <c r="I106" i="1"/>
  <c r="J106" i="1"/>
  <c r="K106" i="1"/>
  <c r="L106" i="1"/>
  <c r="M106" i="1"/>
  <c r="N106" i="1"/>
  <c r="O106" i="1"/>
  <c r="P106" i="1"/>
  <c r="A105" i="1"/>
  <c r="B105" i="1"/>
  <c r="C105" i="1"/>
  <c r="D105" i="1"/>
  <c r="E105" i="1"/>
  <c r="F105" i="1"/>
  <c r="G105" i="1"/>
  <c r="H105" i="1"/>
  <c r="I105" i="1"/>
  <c r="J105" i="1"/>
  <c r="K105" i="1"/>
  <c r="L105" i="1"/>
  <c r="M105" i="1"/>
  <c r="N105" i="1"/>
  <c r="O105" i="1"/>
  <c r="P105" i="1"/>
  <c r="A104" i="1"/>
  <c r="B104" i="1"/>
  <c r="C104" i="1"/>
  <c r="D104" i="1"/>
  <c r="E104" i="1"/>
  <c r="F104" i="1"/>
  <c r="G104" i="1"/>
  <c r="H104" i="1"/>
  <c r="I104" i="1"/>
  <c r="J104" i="1"/>
  <c r="K104" i="1"/>
  <c r="L104" i="1"/>
  <c r="M104" i="1"/>
  <c r="N104" i="1"/>
  <c r="O104" i="1"/>
  <c r="P104" i="1"/>
  <c r="A38" i="1"/>
  <c r="B38" i="1"/>
  <c r="C38" i="1"/>
  <c r="D38" i="1"/>
  <c r="E38" i="1"/>
  <c r="F38" i="1"/>
  <c r="G38" i="1"/>
  <c r="H38" i="1"/>
  <c r="I38" i="1"/>
  <c r="J38" i="1"/>
  <c r="K38" i="1"/>
  <c r="L38" i="1"/>
  <c r="M38" i="1"/>
  <c r="N38" i="1"/>
  <c r="O38" i="1"/>
  <c r="P38" i="1"/>
  <c r="A59" i="1"/>
  <c r="B59" i="1"/>
  <c r="C59" i="1"/>
  <c r="D59" i="1"/>
  <c r="E59" i="1"/>
  <c r="F59" i="1"/>
  <c r="G59" i="1"/>
  <c r="H59" i="1"/>
  <c r="I59" i="1"/>
  <c r="J59" i="1"/>
  <c r="K59" i="1"/>
  <c r="L59" i="1"/>
  <c r="M59" i="1"/>
  <c r="N59" i="1"/>
  <c r="O59" i="1"/>
  <c r="P59" i="1"/>
  <c r="A119" i="1"/>
  <c r="B119" i="1"/>
  <c r="C119" i="1"/>
  <c r="D119" i="1"/>
  <c r="E119" i="1"/>
  <c r="F119" i="1"/>
  <c r="G119" i="1"/>
  <c r="H119" i="1"/>
  <c r="I119" i="1"/>
  <c r="J119" i="1"/>
  <c r="K119" i="1"/>
  <c r="L119" i="1"/>
  <c r="M119" i="1"/>
  <c r="N119" i="1"/>
  <c r="O119" i="1"/>
  <c r="P119" i="1"/>
  <c r="A118" i="1"/>
  <c r="B118" i="1"/>
  <c r="C118" i="1"/>
  <c r="D118" i="1"/>
  <c r="E118" i="1"/>
  <c r="F118" i="1"/>
  <c r="G118" i="1"/>
  <c r="H118" i="1"/>
  <c r="I118" i="1"/>
  <c r="J118" i="1"/>
  <c r="K118" i="1"/>
  <c r="L118" i="1"/>
  <c r="M118" i="1"/>
  <c r="N118" i="1"/>
  <c r="O118" i="1"/>
  <c r="P118" i="1"/>
  <c r="A117" i="1"/>
  <c r="B117" i="1"/>
  <c r="C117" i="1"/>
  <c r="D117" i="1"/>
  <c r="E117" i="1"/>
  <c r="F117" i="1"/>
  <c r="G117" i="1"/>
  <c r="H117" i="1"/>
  <c r="I117" i="1"/>
  <c r="J117" i="1"/>
  <c r="K117" i="1"/>
  <c r="L117" i="1"/>
  <c r="M117" i="1"/>
  <c r="N117" i="1"/>
  <c r="O117" i="1"/>
  <c r="P117" i="1"/>
  <c r="A116" i="1"/>
  <c r="B116" i="1"/>
  <c r="C116" i="1"/>
  <c r="D116" i="1"/>
  <c r="E116" i="1"/>
  <c r="F116" i="1"/>
  <c r="G116" i="1"/>
  <c r="H116" i="1"/>
  <c r="I116" i="1"/>
  <c r="J116" i="1"/>
  <c r="K116" i="1"/>
  <c r="L116" i="1"/>
  <c r="M116" i="1"/>
  <c r="N116" i="1"/>
  <c r="O116" i="1"/>
  <c r="P116" i="1"/>
  <c r="A115" i="1"/>
  <c r="B115" i="1"/>
  <c r="C115" i="1"/>
  <c r="D115" i="1"/>
  <c r="E115" i="1"/>
  <c r="F115" i="1"/>
  <c r="G115" i="1"/>
  <c r="H115" i="1"/>
  <c r="I115" i="1"/>
  <c r="J115" i="1"/>
  <c r="K115" i="1"/>
  <c r="L115" i="1"/>
  <c r="M115" i="1"/>
  <c r="N115" i="1"/>
  <c r="O115" i="1"/>
  <c r="P115" i="1"/>
  <c r="A114" i="1"/>
  <c r="B114" i="1"/>
  <c r="C114" i="1"/>
  <c r="D114" i="1"/>
  <c r="E114" i="1"/>
  <c r="F114" i="1"/>
  <c r="G114" i="1"/>
  <c r="H114" i="1"/>
  <c r="I114" i="1"/>
  <c r="J114" i="1"/>
  <c r="K114" i="1"/>
  <c r="L114" i="1"/>
  <c r="M114" i="1"/>
  <c r="N114" i="1"/>
  <c r="O114" i="1"/>
  <c r="P114" i="1"/>
  <c r="A113" i="1"/>
  <c r="B113" i="1"/>
  <c r="C113" i="1"/>
  <c r="D113" i="1"/>
  <c r="E113" i="1"/>
  <c r="F113" i="1"/>
  <c r="G113" i="1"/>
  <c r="H113" i="1"/>
  <c r="I113" i="1"/>
  <c r="J113" i="1"/>
  <c r="K113" i="1"/>
  <c r="L113" i="1"/>
  <c r="M113" i="1"/>
  <c r="N113" i="1"/>
  <c r="O113" i="1"/>
  <c r="P113" i="1"/>
  <c r="A112" i="1"/>
  <c r="A92" i="1"/>
  <c r="A91" i="1"/>
  <c r="A89" i="1"/>
  <c r="A77" i="1"/>
  <c r="A46" i="1"/>
  <c r="B46" i="1"/>
  <c r="C46" i="1"/>
  <c r="D46" i="1"/>
  <c r="E46" i="1"/>
  <c r="F46" i="1"/>
  <c r="G46" i="1"/>
  <c r="H46" i="1"/>
  <c r="I46" i="1"/>
  <c r="J46" i="1"/>
  <c r="K46" i="1"/>
  <c r="L46" i="1"/>
  <c r="M46" i="1"/>
  <c r="N46" i="1"/>
  <c r="O46" i="1"/>
  <c r="P46" i="1"/>
  <c r="A103" i="1"/>
  <c r="B103" i="1"/>
  <c r="C103" i="1"/>
  <c r="D103" i="1"/>
  <c r="E103" i="1"/>
  <c r="F103" i="1"/>
  <c r="G103" i="1"/>
  <c r="H103" i="1"/>
  <c r="I103" i="1"/>
  <c r="J103" i="1"/>
  <c r="K103" i="1"/>
  <c r="L103" i="1"/>
  <c r="M103" i="1"/>
  <c r="N103" i="1"/>
  <c r="O103" i="1"/>
  <c r="P103" i="1"/>
  <c r="A102" i="1"/>
  <c r="B102" i="1"/>
  <c r="C102" i="1"/>
  <c r="D102" i="1"/>
  <c r="E102" i="1"/>
  <c r="F102" i="1"/>
  <c r="G102" i="1"/>
  <c r="H102" i="1"/>
  <c r="I102" i="1"/>
  <c r="J102" i="1"/>
  <c r="K102" i="1"/>
  <c r="L102" i="1"/>
  <c r="M102" i="1"/>
  <c r="N102" i="1"/>
  <c r="O102" i="1"/>
  <c r="P102" i="1"/>
  <c r="A101" i="1"/>
  <c r="B101" i="1"/>
  <c r="C101" i="1"/>
  <c r="D101" i="1"/>
  <c r="E101" i="1"/>
  <c r="F101" i="1"/>
  <c r="G101" i="1"/>
  <c r="H101" i="1"/>
  <c r="I101" i="1"/>
  <c r="J101" i="1"/>
  <c r="K101" i="1"/>
  <c r="L101" i="1"/>
  <c r="M101" i="1"/>
  <c r="N101" i="1"/>
  <c r="O101" i="1"/>
  <c r="P101" i="1"/>
  <c r="A100" i="1"/>
  <c r="B100" i="1"/>
  <c r="C100" i="1"/>
  <c r="D100" i="1"/>
  <c r="E100" i="1"/>
  <c r="F100" i="1"/>
  <c r="G100" i="1"/>
  <c r="H100" i="1"/>
  <c r="I100" i="1"/>
  <c r="J100" i="1"/>
  <c r="K100" i="1"/>
  <c r="L100" i="1"/>
  <c r="M100" i="1"/>
  <c r="N100" i="1"/>
  <c r="O100" i="1"/>
  <c r="P100" i="1"/>
  <c r="A98" i="1"/>
  <c r="B98" i="1"/>
  <c r="C98" i="1"/>
  <c r="D98" i="1"/>
  <c r="E98" i="1"/>
  <c r="F98" i="1"/>
  <c r="G98" i="1"/>
  <c r="H98" i="1"/>
  <c r="I98" i="1"/>
  <c r="J98" i="1"/>
  <c r="K98" i="1"/>
  <c r="L98" i="1"/>
  <c r="M98" i="1"/>
  <c r="N98" i="1"/>
  <c r="O98" i="1"/>
  <c r="P98" i="1"/>
  <c r="B66" i="1"/>
  <c r="B65" i="1"/>
  <c r="B64" i="1"/>
  <c r="B63" i="1"/>
  <c r="B62" i="1"/>
  <c r="B61" i="1"/>
  <c r="B60" i="1"/>
  <c r="C60" i="1"/>
  <c r="D60" i="1"/>
  <c r="E60" i="1"/>
  <c r="F60" i="1"/>
  <c r="G60" i="1"/>
  <c r="H60" i="1"/>
  <c r="I60" i="1"/>
  <c r="J60" i="1"/>
  <c r="K60" i="1"/>
  <c r="L60" i="1"/>
  <c r="M60" i="1"/>
  <c r="N60" i="1"/>
  <c r="O60" i="1"/>
  <c r="P60" i="1"/>
  <c r="C61" i="1"/>
  <c r="D61" i="1"/>
  <c r="E61" i="1"/>
  <c r="F61" i="1"/>
  <c r="G61" i="1"/>
  <c r="H61" i="1"/>
  <c r="I61" i="1"/>
  <c r="J61" i="1"/>
  <c r="K61" i="1"/>
  <c r="L61" i="1"/>
  <c r="M61" i="1"/>
  <c r="N61" i="1"/>
  <c r="O61" i="1"/>
  <c r="P61" i="1"/>
  <c r="C62" i="1"/>
  <c r="D62" i="1"/>
  <c r="E62" i="1"/>
  <c r="F62" i="1"/>
  <c r="G62" i="1"/>
  <c r="H62" i="1"/>
  <c r="I62" i="1"/>
  <c r="J62" i="1"/>
  <c r="K62" i="1"/>
  <c r="L62" i="1"/>
  <c r="M62" i="1"/>
  <c r="N62" i="1"/>
  <c r="O62" i="1"/>
  <c r="P62" i="1"/>
  <c r="C63" i="1"/>
  <c r="D63" i="1"/>
  <c r="E63" i="1"/>
  <c r="F63" i="1"/>
  <c r="G63" i="1"/>
  <c r="H63" i="1"/>
  <c r="I63" i="1"/>
  <c r="J63" i="1"/>
  <c r="K63" i="1"/>
  <c r="L63" i="1"/>
  <c r="M63" i="1"/>
  <c r="N63" i="1"/>
  <c r="O63" i="1"/>
  <c r="P63" i="1"/>
  <c r="C64" i="1"/>
  <c r="D64" i="1"/>
  <c r="E64" i="1"/>
  <c r="F64" i="1"/>
  <c r="G64" i="1"/>
  <c r="H64" i="1"/>
  <c r="I64" i="1"/>
  <c r="J64" i="1"/>
  <c r="K64" i="1"/>
  <c r="L64" i="1"/>
  <c r="M64" i="1"/>
  <c r="N64" i="1"/>
  <c r="O64" i="1"/>
  <c r="P64" i="1"/>
  <c r="C65" i="1"/>
  <c r="D65" i="1"/>
  <c r="E65" i="1"/>
  <c r="F65" i="1"/>
  <c r="G65" i="1"/>
  <c r="H65" i="1"/>
  <c r="I65" i="1"/>
  <c r="J65" i="1"/>
  <c r="K65" i="1"/>
  <c r="L65" i="1"/>
  <c r="M65" i="1"/>
  <c r="N65" i="1"/>
  <c r="O65" i="1"/>
  <c r="P65" i="1"/>
  <c r="C66" i="1"/>
  <c r="D66" i="1"/>
  <c r="E66" i="1"/>
  <c r="F66" i="1"/>
  <c r="G66" i="1"/>
  <c r="H66" i="1"/>
  <c r="I66" i="1"/>
  <c r="J66" i="1"/>
  <c r="K66" i="1"/>
  <c r="L66" i="1"/>
  <c r="M66" i="1"/>
  <c r="N66" i="1"/>
  <c r="O66" i="1"/>
  <c r="P66" i="1"/>
  <c r="D58" i="1"/>
  <c r="E58" i="1"/>
  <c r="F58" i="1"/>
  <c r="G58" i="1"/>
  <c r="H58" i="1"/>
  <c r="I58" i="1"/>
  <c r="J58" i="1"/>
  <c r="K58" i="1"/>
  <c r="L58" i="1"/>
  <c r="M58" i="1"/>
  <c r="N58" i="1"/>
  <c r="O58" i="1"/>
  <c r="P58" i="1"/>
  <c r="C58" i="1"/>
  <c r="B58" i="1"/>
  <c r="A65" i="1"/>
  <c r="A64" i="1"/>
  <c r="A63" i="1"/>
  <c r="A62" i="1"/>
  <c r="A61" i="1"/>
  <c r="A60" i="1"/>
  <c r="A58" i="1"/>
  <c r="A84" i="1"/>
  <c r="B84" i="1"/>
  <c r="C84" i="1"/>
  <c r="D84" i="1"/>
  <c r="E84" i="1"/>
  <c r="F84" i="1"/>
  <c r="G84" i="1"/>
  <c r="H84" i="1"/>
  <c r="I84" i="1"/>
  <c r="J84" i="1"/>
  <c r="K84" i="1"/>
  <c r="L84" i="1"/>
  <c r="M84" i="1"/>
  <c r="N84" i="1"/>
  <c r="O84" i="1"/>
  <c r="P84" i="1"/>
  <c r="A83" i="1"/>
  <c r="B83" i="1"/>
  <c r="C83" i="1"/>
  <c r="D83" i="1"/>
  <c r="E83" i="1"/>
  <c r="F83" i="1"/>
  <c r="G83" i="1"/>
  <c r="H83" i="1"/>
  <c r="I83" i="1"/>
  <c r="J83" i="1"/>
  <c r="K83" i="1"/>
  <c r="L83" i="1"/>
  <c r="M83" i="1"/>
  <c r="N83" i="1"/>
  <c r="O83" i="1"/>
  <c r="P83" i="1"/>
  <c r="A82" i="1"/>
  <c r="B82" i="1"/>
  <c r="C82" i="1"/>
  <c r="D82" i="1"/>
  <c r="E82" i="1"/>
  <c r="F82" i="1"/>
  <c r="G82" i="1"/>
  <c r="H82" i="1"/>
  <c r="I82" i="1"/>
  <c r="J82" i="1"/>
  <c r="K82" i="1"/>
  <c r="L82" i="1"/>
  <c r="M82" i="1"/>
  <c r="N82" i="1"/>
  <c r="O82" i="1"/>
  <c r="P82" i="1"/>
  <c r="A81" i="1"/>
  <c r="B81" i="1"/>
  <c r="C81" i="1"/>
  <c r="D81" i="1"/>
  <c r="E81" i="1"/>
  <c r="F81" i="1"/>
  <c r="G81" i="1"/>
  <c r="H81" i="1"/>
  <c r="I81" i="1"/>
  <c r="J81" i="1"/>
  <c r="K81" i="1"/>
  <c r="L81" i="1"/>
  <c r="M81" i="1"/>
  <c r="N81" i="1"/>
  <c r="O81" i="1"/>
  <c r="P81" i="1"/>
  <c r="F680" i="17" l="1"/>
  <c r="F682" i="17"/>
  <c r="F681" i="17"/>
  <c r="F685" i="17"/>
  <c r="F688" i="17" s="1"/>
  <c r="B686" i="17"/>
  <c r="G687" i="17"/>
  <c r="H694" i="17"/>
  <c r="H693" i="17"/>
  <c r="H519" i="17"/>
  <c r="I523" i="17"/>
  <c r="I528" i="17" s="1"/>
  <c r="H526" i="17"/>
  <c r="K526" i="17"/>
  <c r="I524" i="17"/>
  <c r="C134" i="17" l="1"/>
  <c r="C212" i="17" s="1"/>
  <c r="I527" i="17"/>
  <c r="I526" i="17"/>
  <c r="I525" i="17"/>
  <c r="C213" i="17" l="1"/>
  <c r="E213" i="17" s="1"/>
  <c r="E134" i="17"/>
  <c r="C214" i="17"/>
  <c r="I529" i="17"/>
  <c r="E212" i="17" l="1"/>
  <c r="I532" i="17" l="1"/>
  <c r="I534" i="17" s="1"/>
  <c r="I533" i="17" l="1"/>
  <c r="I535" i="17"/>
  <c r="I536" i="17" l="1"/>
  <c r="I537" i="17" s="1"/>
  <c r="C28" i="1" l="1"/>
  <c r="D28" i="1"/>
  <c r="E28" i="1"/>
  <c r="F28" i="1"/>
  <c r="G28" i="1"/>
  <c r="H28" i="1"/>
  <c r="I28" i="1"/>
  <c r="J28" i="1"/>
  <c r="K28" i="1"/>
  <c r="L28" i="1"/>
  <c r="M28" i="1"/>
  <c r="N28" i="1"/>
  <c r="O28" i="1"/>
  <c r="P28" i="1"/>
  <c r="B28" i="1"/>
  <c r="D27" i="1"/>
  <c r="E27" i="1"/>
  <c r="F27" i="1"/>
  <c r="G27" i="1"/>
  <c r="H27" i="1"/>
  <c r="I27" i="1"/>
  <c r="J27" i="1"/>
  <c r="K27" i="1"/>
  <c r="L27" i="1"/>
  <c r="M27" i="1"/>
  <c r="N27" i="1"/>
  <c r="O27" i="1"/>
  <c r="P27" i="1"/>
  <c r="C27" i="1"/>
  <c r="B27" i="1"/>
  <c r="A27" i="1"/>
  <c r="B132" i="1"/>
  <c r="C132" i="1"/>
  <c r="D132" i="1"/>
  <c r="E132" i="1"/>
  <c r="F132" i="1"/>
  <c r="G132" i="1"/>
  <c r="H132" i="1"/>
  <c r="I132" i="1"/>
  <c r="B133" i="1"/>
  <c r="C133" i="1"/>
  <c r="D133" i="1"/>
  <c r="E133" i="1"/>
  <c r="F133" i="1"/>
  <c r="G133" i="1"/>
  <c r="H133" i="1"/>
  <c r="I133" i="1"/>
  <c r="B134" i="1"/>
  <c r="C134" i="1"/>
  <c r="D134" i="1"/>
  <c r="E134" i="1"/>
  <c r="F134" i="1"/>
  <c r="G134" i="1"/>
  <c r="H134" i="1"/>
  <c r="I134" i="1"/>
  <c r="H131" i="1"/>
  <c r="I131" i="1"/>
  <c r="C131" i="1"/>
  <c r="D131" i="1"/>
  <c r="E131" i="1"/>
  <c r="F131" i="1"/>
  <c r="G131" i="1"/>
  <c r="B131" i="1"/>
  <c r="L128" i="1"/>
  <c r="M128" i="1"/>
  <c r="N128" i="1"/>
  <c r="O128" i="1"/>
  <c r="P128" i="1"/>
  <c r="L129" i="1"/>
  <c r="M129" i="1"/>
  <c r="N129" i="1"/>
  <c r="O129" i="1"/>
  <c r="P129" i="1"/>
  <c r="B95" i="1"/>
  <c r="C95" i="1"/>
  <c r="D95" i="1"/>
  <c r="E95" i="1"/>
  <c r="F95" i="1"/>
  <c r="G95" i="1"/>
  <c r="H95" i="1"/>
  <c r="I95" i="1"/>
  <c r="J95" i="1"/>
  <c r="K95" i="1"/>
  <c r="L95" i="1"/>
  <c r="M95" i="1"/>
  <c r="N95" i="1"/>
  <c r="O95" i="1"/>
  <c r="P95" i="1"/>
  <c r="B96" i="1"/>
  <c r="C96" i="1"/>
  <c r="D96" i="1"/>
  <c r="E96" i="1"/>
  <c r="F96" i="1"/>
  <c r="G96" i="1"/>
  <c r="H96" i="1"/>
  <c r="I96" i="1"/>
  <c r="J96" i="1"/>
  <c r="K96" i="1"/>
  <c r="L96" i="1"/>
  <c r="M96" i="1"/>
  <c r="N96" i="1"/>
  <c r="O96" i="1"/>
  <c r="P96" i="1"/>
  <c r="B97" i="1"/>
  <c r="C97" i="1"/>
  <c r="D97" i="1"/>
  <c r="E97" i="1"/>
  <c r="F97" i="1"/>
  <c r="G97" i="1"/>
  <c r="H97" i="1"/>
  <c r="I97" i="1"/>
  <c r="J97" i="1"/>
  <c r="K97" i="1"/>
  <c r="L97" i="1"/>
  <c r="M97" i="1"/>
  <c r="N97" i="1"/>
  <c r="O97" i="1"/>
  <c r="P97" i="1"/>
  <c r="B99" i="1"/>
  <c r="C99" i="1"/>
  <c r="D99" i="1"/>
  <c r="E99" i="1"/>
  <c r="F99" i="1"/>
  <c r="G99" i="1"/>
  <c r="H99" i="1"/>
  <c r="I99" i="1"/>
  <c r="J99" i="1"/>
  <c r="K99" i="1"/>
  <c r="L99" i="1"/>
  <c r="M99" i="1"/>
  <c r="N99" i="1"/>
  <c r="O99" i="1"/>
  <c r="P99" i="1"/>
  <c r="B107" i="1"/>
  <c r="C107" i="1"/>
  <c r="D107" i="1"/>
  <c r="E107" i="1"/>
  <c r="F107" i="1"/>
  <c r="G107" i="1"/>
  <c r="H107" i="1"/>
  <c r="I107" i="1"/>
  <c r="J107" i="1"/>
  <c r="K107" i="1"/>
  <c r="L107" i="1"/>
  <c r="M107" i="1"/>
  <c r="N107" i="1"/>
  <c r="O107" i="1"/>
  <c r="P107" i="1"/>
  <c r="B108" i="1"/>
  <c r="C108" i="1"/>
  <c r="D108" i="1"/>
  <c r="E108" i="1"/>
  <c r="F108" i="1"/>
  <c r="G108" i="1"/>
  <c r="H108" i="1"/>
  <c r="I108" i="1"/>
  <c r="J108" i="1"/>
  <c r="K108" i="1"/>
  <c r="L108" i="1"/>
  <c r="M108" i="1"/>
  <c r="N108" i="1"/>
  <c r="O108" i="1"/>
  <c r="P108" i="1"/>
  <c r="B109" i="1"/>
  <c r="C109" i="1"/>
  <c r="D109" i="1"/>
  <c r="E109" i="1"/>
  <c r="F109" i="1"/>
  <c r="G109" i="1"/>
  <c r="H109" i="1"/>
  <c r="I109" i="1"/>
  <c r="J109" i="1"/>
  <c r="K109" i="1"/>
  <c r="L109" i="1"/>
  <c r="M109" i="1"/>
  <c r="N109" i="1"/>
  <c r="O109" i="1"/>
  <c r="P109" i="1"/>
  <c r="B110" i="1"/>
  <c r="C110" i="1"/>
  <c r="D110" i="1"/>
  <c r="E110" i="1"/>
  <c r="F110" i="1"/>
  <c r="G110" i="1"/>
  <c r="H110" i="1"/>
  <c r="I110" i="1"/>
  <c r="J110" i="1"/>
  <c r="K110" i="1"/>
  <c r="L110" i="1"/>
  <c r="M110" i="1"/>
  <c r="N110" i="1"/>
  <c r="O110" i="1"/>
  <c r="P110" i="1"/>
  <c r="B111" i="1"/>
  <c r="C111" i="1"/>
  <c r="D111" i="1"/>
  <c r="E111" i="1"/>
  <c r="F111" i="1"/>
  <c r="G111" i="1"/>
  <c r="H111" i="1"/>
  <c r="I111" i="1"/>
  <c r="J111" i="1"/>
  <c r="K111" i="1"/>
  <c r="L111" i="1"/>
  <c r="M111" i="1"/>
  <c r="N111" i="1"/>
  <c r="O111" i="1"/>
  <c r="P111" i="1"/>
  <c r="A94" i="1"/>
  <c r="C94" i="1"/>
  <c r="D94" i="1"/>
  <c r="E94" i="1"/>
  <c r="F94" i="1"/>
  <c r="G94" i="1"/>
  <c r="H94" i="1"/>
  <c r="I94" i="1"/>
  <c r="J94" i="1"/>
  <c r="K94" i="1"/>
  <c r="L94" i="1"/>
  <c r="M94" i="1"/>
  <c r="N94" i="1"/>
  <c r="O94" i="1"/>
  <c r="P94" i="1"/>
  <c r="B94" i="1"/>
  <c r="A93" i="1"/>
  <c r="C50" i="1"/>
  <c r="B50" i="1"/>
  <c r="B51" i="1"/>
  <c r="C51" i="1"/>
  <c r="D51" i="1"/>
  <c r="B52" i="1"/>
  <c r="B92" i="1"/>
  <c r="C92" i="1"/>
  <c r="D92" i="1"/>
  <c r="E92" i="1"/>
  <c r="F92" i="1"/>
  <c r="G92" i="1"/>
  <c r="H92" i="1"/>
  <c r="I92" i="1"/>
  <c r="J92" i="1"/>
  <c r="K92" i="1"/>
  <c r="L92" i="1"/>
  <c r="M92" i="1"/>
  <c r="N92" i="1"/>
  <c r="O92" i="1"/>
  <c r="P92" i="1"/>
  <c r="C91" i="1"/>
  <c r="D91" i="1"/>
  <c r="E91" i="1"/>
  <c r="F91" i="1"/>
  <c r="G91" i="1"/>
  <c r="H91" i="1"/>
  <c r="I91" i="1"/>
  <c r="J91" i="1"/>
  <c r="K91" i="1"/>
  <c r="L91" i="1"/>
  <c r="M91" i="1"/>
  <c r="N91" i="1"/>
  <c r="O91" i="1"/>
  <c r="P91" i="1"/>
  <c r="B91" i="1"/>
  <c r="C89" i="1"/>
  <c r="D89" i="1"/>
  <c r="E89" i="1"/>
  <c r="F89" i="1"/>
  <c r="G89" i="1"/>
  <c r="H89" i="1"/>
  <c r="I89" i="1"/>
  <c r="J89" i="1"/>
  <c r="K89" i="1"/>
  <c r="L89" i="1"/>
  <c r="M89" i="1"/>
  <c r="N89" i="1"/>
  <c r="O89" i="1"/>
  <c r="P89" i="1"/>
  <c r="B89" i="1"/>
  <c r="B68" i="1"/>
  <c r="C68" i="1"/>
  <c r="D68" i="1"/>
  <c r="E68" i="1"/>
  <c r="F68" i="1"/>
  <c r="G68" i="1"/>
  <c r="H68" i="1"/>
  <c r="I68" i="1"/>
  <c r="J68" i="1"/>
  <c r="K68" i="1"/>
  <c r="L68" i="1"/>
  <c r="M68" i="1"/>
  <c r="N68" i="1"/>
  <c r="O68" i="1"/>
  <c r="P68" i="1"/>
  <c r="B69" i="1"/>
  <c r="C69" i="1"/>
  <c r="D69" i="1"/>
  <c r="E69" i="1"/>
  <c r="F69" i="1"/>
  <c r="G69" i="1"/>
  <c r="H69" i="1"/>
  <c r="I69" i="1"/>
  <c r="J69" i="1"/>
  <c r="K69" i="1"/>
  <c r="L69" i="1"/>
  <c r="M69" i="1"/>
  <c r="N69" i="1"/>
  <c r="O69" i="1"/>
  <c r="P69" i="1"/>
  <c r="B70" i="1"/>
  <c r="C70" i="1"/>
  <c r="D70" i="1"/>
  <c r="E70" i="1"/>
  <c r="F70" i="1"/>
  <c r="G70" i="1"/>
  <c r="H70" i="1"/>
  <c r="I70" i="1"/>
  <c r="J70" i="1"/>
  <c r="K70" i="1"/>
  <c r="L70" i="1"/>
  <c r="M70" i="1"/>
  <c r="N70" i="1"/>
  <c r="O70" i="1"/>
  <c r="P70" i="1"/>
  <c r="B71" i="1"/>
  <c r="C71" i="1"/>
  <c r="D71" i="1"/>
  <c r="E71" i="1"/>
  <c r="F71" i="1"/>
  <c r="G71" i="1"/>
  <c r="H71" i="1"/>
  <c r="I71" i="1"/>
  <c r="J71" i="1"/>
  <c r="K71" i="1"/>
  <c r="L71" i="1"/>
  <c r="M71" i="1"/>
  <c r="N71" i="1"/>
  <c r="O71" i="1"/>
  <c r="P71" i="1"/>
  <c r="B72" i="1"/>
  <c r="C72" i="1"/>
  <c r="D72" i="1"/>
  <c r="E72" i="1"/>
  <c r="F72" i="1"/>
  <c r="G72" i="1"/>
  <c r="H72" i="1"/>
  <c r="I72" i="1"/>
  <c r="J72" i="1"/>
  <c r="K72" i="1"/>
  <c r="L72" i="1"/>
  <c r="M72" i="1"/>
  <c r="N72" i="1"/>
  <c r="O72" i="1"/>
  <c r="P72" i="1"/>
  <c r="B73" i="1"/>
  <c r="C73" i="1"/>
  <c r="D73" i="1"/>
  <c r="E73" i="1"/>
  <c r="F73" i="1"/>
  <c r="G73" i="1"/>
  <c r="H73" i="1"/>
  <c r="I73" i="1"/>
  <c r="J73" i="1"/>
  <c r="K73" i="1"/>
  <c r="L73" i="1"/>
  <c r="M73" i="1"/>
  <c r="N73" i="1"/>
  <c r="O73" i="1"/>
  <c r="P73" i="1"/>
  <c r="B74" i="1"/>
  <c r="C74" i="1"/>
  <c r="D74" i="1"/>
  <c r="E74" i="1"/>
  <c r="F74" i="1"/>
  <c r="G74" i="1"/>
  <c r="H74" i="1"/>
  <c r="I74" i="1"/>
  <c r="J74" i="1"/>
  <c r="K74" i="1"/>
  <c r="L74" i="1"/>
  <c r="M74" i="1"/>
  <c r="N74" i="1"/>
  <c r="O74" i="1"/>
  <c r="P74" i="1"/>
  <c r="B75" i="1"/>
  <c r="C75" i="1"/>
  <c r="D75" i="1"/>
  <c r="E75" i="1"/>
  <c r="F75" i="1"/>
  <c r="G75" i="1"/>
  <c r="H75" i="1"/>
  <c r="I75" i="1"/>
  <c r="J75" i="1"/>
  <c r="K75" i="1"/>
  <c r="L75" i="1"/>
  <c r="M75" i="1"/>
  <c r="N75" i="1"/>
  <c r="O75" i="1"/>
  <c r="P75" i="1"/>
  <c r="B76" i="1"/>
  <c r="C76" i="1"/>
  <c r="D76" i="1"/>
  <c r="E76" i="1"/>
  <c r="F76" i="1"/>
  <c r="G76" i="1"/>
  <c r="H76" i="1"/>
  <c r="I76" i="1"/>
  <c r="J76" i="1"/>
  <c r="K76" i="1"/>
  <c r="L76" i="1"/>
  <c r="M76" i="1"/>
  <c r="N76" i="1"/>
  <c r="O76" i="1"/>
  <c r="P76" i="1"/>
  <c r="B77" i="1"/>
  <c r="C77" i="1"/>
  <c r="D77" i="1"/>
  <c r="E77" i="1"/>
  <c r="F77" i="1"/>
  <c r="G77" i="1"/>
  <c r="H77" i="1"/>
  <c r="I77" i="1"/>
  <c r="J77" i="1"/>
  <c r="K77" i="1"/>
  <c r="L77" i="1"/>
  <c r="M77" i="1"/>
  <c r="N77" i="1"/>
  <c r="O77" i="1"/>
  <c r="P77" i="1"/>
  <c r="B78" i="1"/>
  <c r="C78" i="1"/>
  <c r="D78" i="1"/>
  <c r="E78" i="1"/>
  <c r="F78" i="1"/>
  <c r="G78" i="1"/>
  <c r="H78" i="1"/>
  <c r="I78" i="1"/>
  <c r="J78" i="1"/>
  <c r="K78" i="1"/>
  <c r="L78" i="1"/>
  <c r="M78" i="1"/>
  <c r="N78" i="1"/>
  <c r="O78" i="1"/>
  <c r="P78" i="1"/>
  <c r="B79" i="1"/>
  <c r="C79" i="1"/>
  <c r="D79" i="1"/>
  <c r="E79" i="1"/>
  <c r="F79" i="1"/>
  <c r="G79" i="1"/>
  <c r="H79" i="1"/>
  <c r="I79" i="1"/>
  <c r="J79" i="1"/>
  <c r="K79" i="1"/>
  <c r="L79" i="1"/>
  <c r="M79" i="1"/>
  <c r="N79" i="1"/>
  <c r="O79" i="1"/>
  <c r="P79" i="1"/>
  <c r="B80" i="1"/>
  <c r="C80" i="1"/>
  <c r="D80" i="1"/>
  <c r="E80" i="1"/>
  <c r="F80" i="1"/>
  <c r="G80" i="1"/>
  <c r="H80" i="1"/>
  <c r="I80" i="1"/>
  <c r="J80" i="1"/>
  <c r="K80" i="1"/>
  <c r="L80" i="1"/>
  <c r="M80" i="1"/>
  <c r="N80" i="1"/>
  <c r="O80" i="1"/>
  <c r="P80" i="1"/>
  <c r="B85" i="1"/>
  <c r="C85" i="1"/>
  <c r="D85" i="1"/>
  <c r="E85" i="1"/>
  <c r="F85" i="1"/>
  <c r="G85" i="1"/>
  <c r="H85" i="1"/>
  <c r="I85" i="1"/>
  <c r="J85" i="1"/>
  <c r="K85" i="1"/>
  <c r="L85" i="1"/>
  <c r="M85" i="1"/>
  <c r="N85" i="1"/>
  <c r="O85" i="1"/>
  <c r="P85" i="1"/>
  <c r="B86" i="1"/>
  <c r="C86" i="1"/>
  <c r="D86" i="1"/>
  <c r="E86" i="1"/>
  <c r="F86" i="1"/>
  <c r="G86" i="1"/>
  <c r="H86" i="1"/>
  <c r="I86" i="1"/>
  <c r="J86" i="1"/>
  <c r="K86" i="1"/>
  <c r="L86" i="1"/>
  <c r="M86" i="1"/>
  <c r="N86" i="1"/>
  <c r="O86" i="1"/>
  <c r="P86" i="1"/>
  <c r="B87" i="1"/>
  <c r="C87" i="1"/>
  <c r="D87" i="1"/>
  <c r="E87" i="1"/>
  <c r="F87" i="1"/>
  <c r="G87" i="1"/>
  <c r="H87" i="1"/>
  <c r="I87" i="1"/>
  <c r="J87" i="1"/>
  <c r="K87" i="1"/>
  <c r="L87" i="1"/>
  <c r="M87" i="1"/>
  <c r="N87" i="1"/>
  <c r="O87" i="1"/>
  <c r="P87" i="1"/>
  <c r="A85" i="1"/>
  <c r="A86" i="1"/>
  <c r="A87" i="1"/>
  <c r="A78" i="1"/>
  <c r="A79" i="1"/>
  <c r="A80" i="1"/>
  <c r="A68" i="1"/>
  <c r="A69" i="1"/>
  <c r="A70" i="1"/>
  <c r="A71" i="1"/>
  <c r="A72" i="1"/>
  <c r="A73" i="1"/>
  <c r="A74" i="1"/>
  <c r="A75" i="1"/>
  <c r="A76" i="1"/>
  <c r="A67" i="1"/>
  <c r="A66" i="1"/>
  <c r="A57" i="1"/>
  <c r="A48" i="1"/>
  <c r="B48" i="1"/>
  <c r="C48" i="1"/>
  <c r="D48" i="1"/>
  <c r="E48" i="1"/>
  <c r="F48" i="1"/>
  <c r="G48" i="1"/>
  <c r="H48" i="1"/>
  <c r="I48" i="1"/>
  <c r="J48" i="1"/>
  <c r="K48" i="1"/>
  <c r="L48" i="1"/>
  <c r="M48" i="1"/>
  <c r="N48" i="1"/>
  <c r="O48" i="1"/>
  <c r="P48" i="1"/>
  <c r="A47" i="1"/>
  <c r="B47" i="1"/>
  <c r="C47" i="1"/>
  <c r="D47" i="1"/>
  <c r="E47" i="1"/>
  <c r="F47" i="1"/>
  <c r="G47" i="1"/>
  <c r="H47" i="1"/>
  <c r="I47" i="1"/>
  <c r="J47" i="1"/>
  <c r="K47" i="1"/>
  <c r="L47" i="1"/>
  <c r="M47" i="1"/>
  <c r="N47" i="1"/>
  <c r="O47" i="1"/>
  <c r="P47" i="1"/>
  <c r="A37" i="1"/>
  <c r="A36" i="1"/>
  <c r="P45" i="1"/>
  <c r="O45" i="1"/>
  <c r="N45" i="1"/>
  <c r="M45" i="1"/>
  <c r="L45" i="1"/>
  <c r="K45" i="1"/>
  <c r="J45" i="1"/>
  <c r="I45" i="1"/>
  <c r="H45" i="1"/>
  <c r="G45" i="1"/>
  <c r="F45" i="1"/>
  <c r="E45" i="1"/>
  <c r="D45" i="1"/>
  <c r="C45" i="1"/>
  <c r="B45" i="1"/>
  <c r="A45" i="1"/>
  <c r="P44" i="1"/>
  <c r="O44" i="1"/>
  <c r="N44" i="1"/>
  <c r="M44" i="1"/>
  <c r="L44" i="1"/>
  <c r="K44" i="1"/>
  <c r="J44" i="1"/>
  <c r="I44" i="1"/>
  <c r="H44" i="1"/>
  <c r="G44" i="1"/>
  <c r="F44" i="1"/>
  <c r="E44" i="1"/>
  <c r="D44" i="1"/>
  <c r="C44" i="1"/>
  <c r="B44" i="1"/>
  <c r="A44" i="1"/>
  <c r="P43" i="1"/>
  <c r="O43" i="1"/>
  <c r="N43" i="1"/>
  <c r="M43" i="1"/>
  <c r="L43" i="1"/>
  <c r="K43" i="1"/>
  <c r="J43" i="1"/>
  <c r="I43" i="1"/>
  <c r="H43" i="1"/>
  <c r="G43" i="1"/>
  <c r="F43" i="1"/>
  <c r="E43" i="1"/>
  <c r="D43" i="1"/>
  <c r="C43" i="1"/>
  <c r="B43" i="1"/>
  <c r="A43" i="1"/>
  <c r="P42" i="1"/>
  <c r="O42" i="1"/>
  <c r="N42" i="1"/>
  <c r="M42" i="1"/>
  <c r="L42" i="1"/>
  <c r="K42" i="1"/>
  <c r="J42" i="1"/>
  <c r="I42" i="1"/>
  <c r="H42" i="1"/>
  <c r="G42" i="1"/>
  <c r="F42" i="1"/>
  <c r="E42" i="1"/>
  <c r="D42" i="1"/>
  <c r="C42" i="1"/>
  <c r="B42" i="1"/>
  <c r="A42" i="1"/>
  <c r="P41" i="1"/>
  <c r="O41" i="1"/>
  <c r="N41" i="1"/>
  <c r="M41" i="1"/>
  <c r="L41" i="1"/>
  <c r="K41" i="1"/>
  <c r="J41" i="1"/>
  <c r="I41" i="1"/>
  <c r="H41" i="1"/>
  <c r="G41" i="1"/>
  <c r="F41" i="1"/>
  <c r="E41" i="1"/>
  <c r="D41" i="1"/>
  <c r="C41" i="1"/>
  <c r="B41" i="1"/>
  <c r="A41" i="1"/>
  <c r="P40" i="1"/>
  <c r="O40" i="1"/>
  <c r="N40" i="1"/>
  <c r="M40" i="1"/>
  <c r="L40" i="1"/>
  <c r="K40" i="1"/>
  <c r="J40" i="1"/>
  <c r="I40" i="1"/>
  <c r="H40" i="1"/>
  <c r="G40" i="1"/>
  <c r="F40" i="1"/>
  <c r="E40" i="1"/>
  <c r="D40" i="1"/>
  <c r="C40" i="1"/>
  <c r="B40" i="1"/>
  <c r="A40" i="1"/>
  <c r="P39" i="1"/>
  <c r="O39" i="1"/>
  <c r="N39" i="1"/>
  <c r="M39" i="1"/>
  <c r="L39" i="1"/>
  <c r="K39" i="1"/>
  <c r="J39" i="1"/>
  <c r="I39" i="1"/>
  <c r="H39" i="1"/>
  <c r="G39" i="1"/>
  <c r="F39" i="1"/>
  <c r="E39" i="1"/>
  <c r="D39" i="1"/>
  <c r="C39" i="1"/>
  <c r="B39" i="1"/>
  <c r="A39" i="1"/>
  <c r="P37" i="1"/>
  <c r="O37" i="1"/>
  <c r="N37" i="1"/>
  <c r="M37" i="1"/>
  <c r="L37" i="1"/>
  <c r="K37" i="1"/>
  <c r="J37" i="1"/>
  <c r="I37" i="1"/>
  <c r="H37" i="1"/>
  <c r="G37" i="1"/>
  <c r="F37" i="1"/>
  <c r="E37" i="1"/>
  <c r="D37" i="1"/>
  <c r="C37" i="1"/>
  <c r="B37" i="1"/>
  <c r="C29" i="1"/>
  <c r="D29" i="1"/>
  <c r="E29" i="1"/>
  <c r="F29" i="1"/>
  <c r="G29" i="1"/>
  <c r="H29" i="1"/>
  <c r="I29" i="1"/>
  <c r="J29" i="1"/>
  <c r="K29" i="1"/>
  <c r="L29" i="1"/>
  <c r="M29" i="1"/>
  <c r="N29" i="1"/>
  <c r="O29" i="1"/>
  <c r="P29" i="1"/>
  <c r="C30" i="1"/>
  <c r="D30" i="1"/>
  <c r="E30" i="1"/>
  <c r="F30" i="1"/>
  <c r="G30" i="1"/>
  <c r="H30" i="1"/>
  <c r="I30" i="1"/>
  <c r="J30" i="1"/>
  <c r="K30" i="1"/>
  <c r="L30" i="1"/>
  <c r="M30" i="1"/>
  <c r="N30" i="1"/>
  <c r="O30" i="1"/>
  <c r="P30" i="1"/>
  <c r="C31" i="1"/>
  <c r="D31" i="1"/>
  <c r="E31" i="1"/>
  <c r="F31" i="1"/>
  <c r="G31" i="1"/>
  <c r="H31" i="1"/>
  <c r="I31" i="1"/>
  <c r="J31" i="1"/>
  <c r="K31" i="1"/>
  <c r="L31" i="1"/>
  <c r="M31" i="1"/>
  <c r="N31" i="1"/>
  <c r="O31" i="1"/>
  <c r="P31" i="1"/>
  <c r="C32" i="1"/>
  <c r="D32" i="1"/>
  <c r="E32" i="1"/>
  <c r="F32" i="1"/>
  <c r="G32" i="1"/>
  <c r="H32" i="1"/>
  <c r="I32" i="1"/>
  <c r="J32" i="1"/>
  <c r="K32" i="1"/>
  <c r="L32" i="1"/>
  <c r="M32" i="1"/>
  <c r="N32" i="1"/>
  <c r="O32" i="1"/>
  <c r="P32" i="1"/>
  <c r="C33" i="1"/>
  <c r="D33" i="1"/>
  <c r="E33" i="1"/>
  <c r="F33" i="1"/>
  <c r="G33" i="1"/>
  <c r="H33" i="1"/>
  <c r="I33" i="1"/>
  <c r="J33" i="1"/>
  <c r="K33" i="1"/>
  <c r="L33" i="1"/>
  <c r="M33" i="1"/>
  <c r="N33" i="1"/>
  <c r="O33" i="1"/>
  <c r="P33" i="1"/>
  <c r="C34" i="1"/>
  <c r="D34" i="1"/>
  <c r="E34" i="1"/>
  <c r="F34" i="1"/>
  <c r="G34" i="1"/>
  <c r="H34" i="1"/>
  <c r="I34" i="1"/>
  <c r="J34" i="1"/>
  <c r="K34" i="1"/>
  <c r="L34" i="1"/>
  <c r="M34" i="1"/>
  <c r="N34" i="1"/>
  <c r="O34" i="1"/>
  <c r="P34" i="1"/>
  <c r="C35" i="1"/>
  <c r="D35" i="1"/>
  <c r="E35" i="1"/>
  <c r="F35" i="1"/>
  <c r="G35" i="1"/>
  <c r="H35" i="1"/>
  <c r="I35" i="1"/>
  <c r="J35" i="1"/>
  <c r="K35" i="1"/>
  <c r="L35" i="1"/>
  <c r="M35" i="1"/>
  <c r="N35" i="1"/>
  <c r="O35" i="1"/>
  <c r="P35" i="1"/>
  <c r="B29" i="1"/>
  <c r="B30" i="1"/>
  <c r="B31" i="1"/>
  <c r="B32" i="1"/>
  <c r="B33" i="1"/>
  <c r="B34" i="1"/>
  <c r="B35" i="1"/>
  <c r="A35" i="1"/>
  <c r="A29" i="1"/>
  <c r="A30" i="1"/>
  <c r="A31" i="1"/>
  <c r="A32" i="1"/>
  <c r="A33" i="1"/>
  <c r="A34" i="1"/>
  <c r="A28" i="1"/>
  <c r="A26" i="1"/>
  <c r="B18" i="1"/>
  <c r="A18" i="1"/>
  <c r="B20" i="1"/>
  <c r="E143" i="1" l="1"/>
  <c r="B143" i="1"/>
  <c r="B142" i="1"/>
  <c r="B140" i="1"/>
  <c r="G139" i="1"/>
  <c r="B139" i="1"/>
  <c r="G138" i="1"/>
  <c r="B138" i="1"/>
  <c r="G137" i="1"/>
  <c r="G136" i="1"/>
  <c r="B137" i="1"/>
  <c r="B136" i="1"/>
  <c r="C56" i="1" l="1"/>
  <c r="B56" i="1"/>
  <c r="A56" i="1"/>
  <c r="B55" i="1"/>
  <c r="A55" i="1"/>
  <c r="B54" i="1"/>
  <c r="A54" i="1"/>
  <c r="E53" i="1"/>
  <c r="D53" i="1"/>
  <c r="C53" i="1"/>
  <c r="B53" i="1"/>
  <c r="A53" i="1"/>
  <c r="A52" i="1"/>
  <c r="A51" i="1"/>
  <c r="A50" i="1"/>
  <c r="A49" i="1"/>
  <c r="C129" i="1"/>
  <c r="D129" i="1"/>
  <c r="E129" i="1"/>
  <c r="F129" i="1"/>
  <c r="G129" i="1"/>
  <c r="I129" i="1"/>
  <c r="J129" i="1"/>
  <c r="K129" i="1"/>
  <c r="B129" i="1"/>
  <c r="A129" i="1"/>
  <c r="C128" i="1"/>
  <c r="D128" i="1"/>
  <c r="E128" i="1"/>
  <c r="G128" i="1"/>
  <c r="H128" i="1"/>
  <c r="I128" i="1"/>
  <c r="J128" i="1"/>
  <c r="K128" i="1"/>
  <c r="B128" i="1"/>
  <c r="A128" i="1"/>
  <c r="B127" i="1"/>
  <c r="A127" i="1"/>
  <c r="C126" i="1"/>
  <c r="B126" i="1"/>
  <c r="A126" i="1"/>
  <c r="B125" i="1"/>
  <c r="A125" i="1"/>
  <c r="B124" i="1"/>
  <c r="A124" i="1"/>
  <c r="C123" i="1"/>
  <c r="B123" i="1"/>
  <c r="A123" i="1"/>
  <c r="B122" i="1"/>
  <c r="A122" i="1"/>
  <c r="B121" i="1"/>
  <c r="A121" i="1"/>
  <c r="A111" i="1"/>
  <c r="A110" i="1"/>
  <c r="A109" i="1"/>
  <c r="A108" i="1"/>
  <c r="A107" i="1"/>
  <c r="A99" i="1"/>
  <c r="A97" i="1"/>
  <c r="A96" i="1"/>
  <c r="A95" i="1"/>
  <c r="H10" i="1" l="1"/>
  <c r="F10" i="1"/>
  <c r="H22" i="1"/>
  <c r="F22" i="1"/>
  <c r="F21" i="1"/>
  <c r="F20" i="1"/>
  <c r="F19" i="1"/>
  <c r="F11" i="1"/>
  <c r="F9" i="1"/>
  <c r="H9" i="1" s="1"/>
  <c r="F8" i="1"/>
  <c r="F7" i="1"/>
  <c r="D22" i="1"/>
  <c r="B21" i="1"/>
  <c r="B19" i="1"/>
  <c r="B13" i="1"/>
  <c r="B12" i="1"/>
  <c r="B11" i="1"/>
  <c r="B10" i="1"/>
  <c r="B9" i="1"/>
  <c r="B8" i="1"/>
  <c r="B6" i="1"/>
  <c r="C7" i="2" l="1"/>
  <c r="G581" i="17" l="1"/>
  <c r="G580" i="17"/>
  <c r="G579" i="17"/>
  <c r="G578" i="17"/>
  <c r="G577" i="17"/>
  <c r="G576" i="17"/>
  <c r="C173" i="17" l="1"/>
  <c r="E174" i="17" s="1"/>
  <c r="B64" i="17" l="1"/>
  <c r="B526" i="17"/>
  <c r="AE571" i="17" l="1"/>
  <c r="AF571" i="17" s="1"/>
  <c r="AG571" i="17" s="1"/>
  <c r="AH571" i="17" s="1"/>
  <c r="AE564" i="17"/>
  <c r="AF564" i="17" s="1"/>
  <c r="AG564" i="17" s="1"/>
  <c r="AH564" i="17" s="1"/>
  <c r="D700" i="17" l="1"/>
  <c r="C700" i="17"/>
  <c r="B700" i="17"/>
  <c r="D699" i="17"/>
  <c r="C699" i="17"/>
  <c r="B699" i="17"/>
  <c r="D698" i="17"/>
  <c r="C698" i="17"/>
  <c r="B698" i="17"/>
  <c r="D697" i="17"/>
  <c r="C697" i="17"/>
  <c r="B697" i="17"/>
  <c r="D690" i="17"/>
  <c r="C690" i="17"/>
  <c r="B690" i="17"/>
  <c r="D689" i="17"/>
  <c r="C689" i="17"/>
  <c r="B689" i="17"/>
  <c r="D688" i="17"/>
  <c r="C688" i="17"/>
  <c r="B688" i="17"/>
  <c r="D687" i="17"/>
  <c r="C687" i="17"/>
  <c r="B687" i="17"/>
  <c r="D686" i="17"/>
  <c r="C686" i="17"/>
  <c r="D682" i="17"/>
  <c r="B682" i="17"/>
  <c r="D681" i="17"/>
  <c r="B681" i="17"/>
  <c r="D680" i="17"/>
  <c r="B680" i="17"/>
  <c r="D679" i="17"/>
  <c r="B679" i="17"/>
  <c r="D678" i="17"/>
  <c r="B678" i="17"/>
  <c r="D675" i="17"/>
  <c r="B675" i="17"/>
  <c r="D674" i="17"/>
  <c r="B674" i="17"/>
  <c r="D673" i="17"/>
  <c r="B673" i="17"/>
  <c r="D672" i="17"/>
  <c r="B672" i="17"/>
  <c r="D671" i="17"/>
  <c r="B671" i="17"/>
  <c r="D667" i="17"/>
  <c r="B667" i="17"/>
  <c r="D666" i="17"/>
  <c r="B666" i="17"/>
  <c r="D665" i="17"/>
  <c r="B665" i="17"/>
  <c r="D664" i="17"/>
  <c r="B664" i="17"/>
  <c r="G645" i="17"/>
  <c r="G644" i="17"/>
  <c r="G637" i="17"/>
  <c r="H637" i="17" s="1"/>
  <c r="B587" i="17"/>
  <c r="B586" i="17"/>
  <c r="D546" i="17"/>
  <c r="M537" i="17"/>
  <c r="M550" i="17" s="1"/>
  <c r="M551" i="17" s="1"/>
  <c r="D534" i="17"/>
  <c r="B529" i="17"/>
  <c r="B528" i="17"/>
  <c r="B691" i="17" l="1"/>
  <c r="B692" i="17" s="1"/>
  <c r="B701" i="17"/>
  <c r="C701" i="17"/>
  <c r="D701" i="17"/>
  <c r="D691" i="17"/>
  <c r="D692" i="17" s="1"/>
  <c r="C691" i="17"/>
  <c r="C692" i="17" s="1"/>
  <c r="F515" i="2" l="1"/>
  <c r="C164" i="17" l="1"/>
  <c r="G164" i="17" s="1"/>
  <c r="G61" i="17" l="1"/>
  <c r="C135" i="17" l="1"/>
  <c r="E135" i="17" s="1"/>
  <c r="C136" i="17"/>
  <c r="E136" i="17" s="1"/>
  <c r="C215" i="17" l="1"/>
  <c r="C204" i="17" s="1"/>
  <c r="C211" i="17"/>
  <c r="O14" i="2"/>
  <c r="O13" i="2"/>
  <c r="O11" i="2"/>
  <c r="C245" i="17" l="1"/>
  <c r="C357" i="17"/>
  <c r="F6" i="1" l="1"/>
  <c r="B7" i="1"/>
  <c r="C8" i="2" s="1"/>
  <c r="F12" i="1"/>
  <c r="F13" i="1"/>
  <c r="B14" i="1"/>
  <c r="F14" i="1"/>
  <c r="F16" i="1"/>
  <c r="A203" i="1"/>
  <c r="A204" i="1"/>
  <c r="G44" i="2" l="1"/>
  <c r="G43" i="2"/>
  <c r="G42" i="2"/>
  <c r="G41" i="2"/>
  <c r="G40" i="2"/>
  <c r="G39" i="2"/>
  <c r="G38" i="2"/>
  <c r="G37" i="2"/>
  <c r="G36" i="2"/>
  <c r="G35" i="2"/>
  <c r="G34" i="2"/>
  <c r="G33" i="2"/>
  <c r="G32" i="2"/>
  <c r="G31" i="2"/>
  <c r="G28" i="2"/>
  <c r="G27" i="2"/>
  <c r="G26" i="2"/>
  <c r="S14" i="2" l="1"/>
  <c r="G16" i="17" s="1"/>
  <c r="S7" i="2"/>
  <c r="F379" i="2" s="1" a="1"/>
  <c r="C47" i="17" s="1"/>
  <c r="S10" i="2"/>
  <c r="S15" i="2"/>
  <c r="S13" i="2"/>
  <c r="S11" i="2"/>
  <c r="G13" i="17" s="1"/>
  <c r="S9" i="2"/>
  <c r="S8" i="2"/>
  <c r="S12" i="2"/>
  <c r="G55" i="2"/>
  <c r="B370" i="17" s="1"/>
  <c r="G8" i="17"/>
  <c r="C376" i="17" l="1"/>
  <c r="C347" i="17"/>
  <c r="C371" i="17"/>
  <c r="C372" i="17"/>
  <c r="H368" i="17"/>
  <c r="H366" i="17"/>
  <c r="C606" i="17"/>
  <c r="F211" i="2"/>
  <c r="B342" i="17"/>
  <c r="C56" i="17"/>
  <c r="E56" i="17" s="1"/>
  <c r="C342" i="17"/>
  <c r="B373" i="17"/>
  <c r="G166" i="17"/>
  <c r="C370" i="17"/>
  <c r="E370" i="17" s="1"/>
  <c r="C71" i="17"/>
  <c r="B304" i="17"/>
  <c r="AN55" i="2"/>
  <c r="AO55" i="2"/>
  <c r="C203" i="17" a="1"/>
  <c r="AE159" i="2"/>
  <c r="B69" i="17" s="1"/>
  <c r="J293" i="2"/>
  <c r="G304" i="17"/>
  <c r="C53" i="17"/>
  <c r="E53" i="17" s="1"/>
  <c r="C70" i="17"/>
  <c r="AE160" i="2"/>
  <c r="B339" i="17"/>
  <c r="J291" i="2"/>
  <c r="J294" i="2"/>
  <c r="E294" i="2"/>
  <c r="J292" i="2"/>
  <c r="E293" i="2"/>
  <c r="E292" i="2"/>
  <c r="E291" i="2"/>
  <c r="AN93" i="2"/>
  <c r="C374" i="17" s="1"/>
  <c r="E374" i="17" s="1"/>
  <c r="C339" i="17"/>
  <c r="S16" i="2"/>
  <c r="D383" i="2"/>
  <c r="B76" i="17"/>
  <c r="G71" i="17" l="1"/>
  <c r="C315" i="17"/>
  <c r="C379" i="17"/>
  <c r="C378" i="17"/>
  <c r="C373" i="17"/>
  <c r="E373" i="17" s="1"/>
  <c r="E339" i="17"/>
  <c r="D566" i="17"/>
  <c r="G345" i="17"/>
  <c r="E342" i="17"/>
  <c r="E47" i="17"/>
  <c r="G119" i="17"/>
  <c r="G70" i="17"/>
  <c r="G374" i="17"/>
  <c r="C48" i="17"/>
  <c r="E48" i="17" s="1"/>
  <c r="V184" i="2"/>
  <c r="V185" i="2"/>
  <c r="C75" i="17"/>
  <c r="E75" i="17" s="1"/>
  <c r="C76" i="17"/>
  <c r="V186" i="2"/>
  <c r="V187" i="2"/>
  <c r="C254" i="17"/>
  <c r="G69" i="17"/>
  <c r="C257" i="17"/>
  <c r="C119" i="17"/>
  <c r="G373" i="17"/>
  <c r="L291" i="2"/>
  <c r="K291" i="2"/>
  <c r="K292" i="2"/>
  <c r="L292" i="2"/>
  <c r="K293" i="2"/>
  <c r="L293" i="2"/>
  <c r="L294" i="2"/>
  <c r="K294" i="2"/>
  <c r="C380" i="17"/>
  <c r="E380" i="17" s="1"/>
  <c r="G68" i="17"/>
  <c r="C180" i="17"/>
  <c r="E378" i="17" l="1"/>
  <c r="G378" i="17"/>
  <c r="E379" i="17"/>
  <c r="G379" i="17"/>
  <c r="C49" i="17"/>
  <c r="G75" i="17"/>
  <c r="G76" i="17"/>
  <c r="M294" i="2"/>
  <c r="Q294" i="2"/>
  <c r="M293" i="2"/>
  <c r="Q293" i="2"/>
  <c r="M292" i="2"/>
  <c r="Q292" i="2"/>
  <c r="M291" i="2"/>
  <c r="Q291" i="2"/>
  <c r="E10" i="17"/>
  <c r="E11" i="17"/>
  <c r="E12" i="17"/>
  <c r="E14" i="17"/>
  <c r="E15" i="17"/>
  <c r="E17" i="17"/>
  <c r="E9" i="17"/>
  <c r="C16" i="24" l="1"/>
  <c r="C17" i="24" s="1"/>
  <c r="D51" i="24"/>
  <c r="E71" i="24"/>
  <c r="F71" i="24" s="1"/>
  <c r="E66" i="24"/>
  <c r="E65" i="24"/>
  <c r="C61" i="24"/>
  <c r="D61" i="24" s="1"/>
  <c r="C58" i="24"/>
  <c r="C63" i="24" s="1"/>
  <c r="D63" i="24" s="1"/>
  <c r="C57" i="24"/>
  <c r="D57" i="24" s="1"/>
  <c r="C56" i="24"/>
  <c r="D56" i="24" s="1"/>
  <c r="E53" i="24"/>
  <c r="C53" i="24"/>
  <c r="D52" i="24"/>
  <c r="F14" i="24"/>
  <c r="C71" i="24"/>
  <c r="H11" i="24"/>
  <c r="H10" i="24"/>
  <c r="H9" i="24"/>
  <c r="I7" i="24"/>
  <c r="C62" i="24" l="1"/>
  <c r="D62" i="24" s="1"/>
  <c r="D53" i="24"/>
  <c r="D71" i="24" s="1"/>
  <c r="I9" i="24"/>
  <c r="K9" i="24" s="1"/>
  <c r="L9" i="24" s="1"/>
  <c r="M9" i="24" s="1"/>
  <c r="I11" i="24"/>
  <c r="I10" i="24"/>
  <c r="K10" i="24" s="1"/>
  <c r="L10" i="24" s="1"/>
  <c r="M10" i="24" s="1"/>
  <c r="D23" i="24"/>
  <c r="C19" i="24"/>
  <c r="P71" i="24"/>
  <c r="J9" i="24"/>
  <c r="K11" i="24"/>
  <c r="L11" i="24" s="1"/>
  <c r="M11" i="24" s="1"/>
  <c r="J11" i="24"/>
  <c r="J12" i="24" s="1"/>
  <c r="Q71" i="24"/>
  <c r="O71" i="24"/>
  <c r="D58" i="24"/>
  <c r="C59" i="24"/>
  <c r="F16" i="24"/>
  <c r="F17" i="24" s="1"/>
  <c r="F19" i="24" s="1"/>
  <c r="J10" i="24" l="1"/>
  <c r="J13" i="24" s="1"/>
  <c r="C64" i="24"/>
  <c r="D64" i="24" s="1"/>
  <c r="C60" i="24"/>
  <c r="D60" i="24" s="1"/>
  <c r="D59" i="24"/>
  <c r="B10" i="20" l="1"/>
  <c r="C11" i="20" l="1"/>
  <c r="D11" i="20" s="1"/>
  <c r="C12" i="20"/>
  <c r="D12" i="20" s="1"/>
  <c r="E12" i="20" s="1"/>
  <c r="F12" i="20" s="1"/>
  <c r="G12" i="20" s="1"/>
  <c r="H12" i="20" s="1"/>
  <c r="I12" i="20" s="1"/>
  <c r="J12" i="20" s="1"/>
  <c r="K12" i="20" s="1"/>
  <c r="L12" i="20" s="1"/>
  <c r="M12" i="20" s="1"/>
  <c r="N12" i="20" s="1"/>
  <c r="C13" i="20"/>
  <c r="D13" i="20" s="1"/>
  <c r="E13" i="20" s="1"/>
  <c r="F13" i="20" s="1"/>
  <c r="G13" i="20" s="1"/>
  <c r="H13" i="20" s="1"/>
  <c r="I13" i="20" s="1"/>
  <c r="J13" i="20" s="1"/>
  <c r="K13" i="20" s="1"/>
  <c r="L13" i="20" s="1"/>
  <c r="M13" i="20" s="1"/>
  <c r="N13" i="20" s="1"/>
  <c r="C5" i="20"/>
  <c r="D5" i="20" s="1"/>
  <c r="E11" i="20" l="1"/>
  <c r="D7" i="20"/>
  <c r="E5" i="20"/>
  <c r="D6" i="20"/>
  <c r="C6" i="20"/>
  <c r="C10" i="20"/>
  <c r="C7" i="20"/>
  <c r="F5" i="20" l="1"/>
  <c r="E7" i="20"/>
  <c r="E6" i="20"/>
  <c r="D10" i="20"/>
  <c r="C14" i="20"/>
  <c r="C15" i="20" s="1"/>
  <c r="C16" i="20" s="1"/>
  <c r="F11" i="20"/>
  <c r="C17" i="20" l="1"/>
  <c r="G11" i="20"/>
  <c r="E10" i="20"/>
  <c r="D14" i="20"/>
  <c r="D15" i="20" s="1"/>
  <c r="D16" i="20" s="1"/>
  <c r="F7" i="20"/>
  <c r="F6" i="20"/>
  <c r="G5" i="20"/>
  <c r="D17" i="20" l="1"/>
  <c r="H11" i="20"/>
  <c r="E14" i="20"/>
  <c r="E15" i="20" s="1"/>
  <c r="E17" i="20" s="1"/>
  <c r="F10" i="20"/>
  <c r="G6" i="20"/>
  <c r="H5" i="20"/>
  <c r="G7" i="20"/>
  <c r="E16" i="20" l="1"/>
  <c r="H6" i="20"/>
  <c r="I5" i="20"/>
  <c r="H7" i="20"/>
  <c r="G10" i="20"/>
  <c r="F14" i="20"/>
  <c r="F15" i="20" s="1"/>
  <c r="F17" i="20" s="1"/>
  <c r="I11" i="20"/>
  <c r="J5" i="20" l="1"/>
  <c r="I7" i="20"/>
  <c r="I6" i="20"/>
  <c r="J11" i="20"/>
  <c r="G14" i="20"/>
  <c r="G15" i="20" s="1"/>
  <c r="G17" i="20" s="1"/>
  <c r="H10" i="20"/>
  <c r="F16" i="20"/>
  <c r="I10" i="20" l="1"/>
  <c r="H14" i="20"/>
  <c r="H15" i="20" s="1"/>
  <c r="H17" i="20" s="1"/>
  <c r="K11" i="20"/>
  <c r="G16" i="20"/>
  <c r="J7" i="20"/>
  <c r="J6" i="20"/>
  <c r="K5" i="20"/>
  <c r="H16" i="20" l="1"/>
  <c r="L5" i="20"/>
  <c r="K7" i="20"/>
  <c r="K6" i="20"/>
  <c r="L11" i="20"/>
  <c r="I14" i="20"/>
  <c r="I15" i="20" s="1"/>
  <c r="I16" i="20" s="1"/>
  <c r="J10" i="20"/>
  <c r="I17" i="20" l="1"/>
  <c r="K10" i="20"/>
  <c r="J14" i="20"/>
  <c r="J15" i="20" s="1"/>
  <c r="J16" i="20" s="1"/>
  <c r="M11" i="20"/>
  <c r="L7" i="20"/>
  <c r="M5" i="20"/>
  <c r="L6" i="20"/>
  <c r="J17" i="20" l="1"/>
  <c r="N11" i="20"/>
  <c r="L10" i="20"/>
  <c r="K14" i="20"/>
  <c r="K15" i="20" s="1"/>
  <c r="K17" i="20" s="1"/>
  <c r="N5" i="20"/>
  <c r="M7" i="20"/>
  <c r="M6" i="20"/>
  <c r="K16" i="20" l="1"/>
  <c r="M10" i="20"/>
  <c r="L14" i="20"/>
  <c r="L15" i="20" s="1"/>
  <c r="L16" i="20" s="1"/>
  <c r="N7" i="20"/>
  <c r="N6" i="20"/>
  <c r="L17" i="20" l="1"/>
  <c r="M14" i="20"/>
  <c r="M15" i="20" s="1"/>
  <c r="M17" i="20" s="1"/>
  <c r="N10" i="20"/>
  <c r="M16" i="20" l="1"/>
  <c r="B20" i="20" s="1"/>
  <c r="AA60" i="2" s="1"/>
  <c r="W175" i="2" s="1"/>
  <c r="B21" i="20"/>
  <c r="N14" i="20"/>
  <c r="N15" i="20" s="1"/>
  <c r="N17" i="20" s="1"/>
  <c r="W173" i="2" l="1"/>
  <c r="G99" i="17" s="1"/>
  <c r="W170" i="2"/>
  <c r="G96" i="17" s="1"/>
  <c r="W174" i="2"/>
  <c r="G100" i="17" s="1"/>
  <c r="G101" i="17"/>
  <c r="W176" i="2"/>
  <c r="G102" i="17" s="1"/>
  <c r="W177" i="2"/>
  <c r="G103" i="17" s="1"/>
  <c r="W178" i="2"/>
  <c r="G104" i="17" s="1"/>
  <c r="W171" i="2"/>
  <c r="G97" i="17" s="1"/>
  <c r="W179" i="2"/>
  <c r="W172" i="2"/>
  <c r="G98" i="17" s="1"/>
  <c r="W180" i="2"/>
  <c r="G106" i="17" s="1"/>
  <c r="V170" i="2"/>
  <c r="V176" i="2"/>
  <c r="V177" i="2"/>
  <c r="V178" i="2"/>
  <c r="V171" i="2"/>
  <c r="V172" i="2"/>
  <c r="V173" i="2"/>
  <c r="V179" i="2"/>
  <c r="V180" i="2"/>
  <c r="V174" i="2"/>
  <c r="V175" i="2"/>
  <c r="D197" i="2" a="1"/>
  <c r="D202" i="2" a="1"/>
  <c r="D204" i="2" a="1"/>
  <c r="D200" i="2" a="1"/>
  <c r="D196" i="2" a="1"/>
  <c r="D205" i="2" a="1"/>
  <c r="D203" i="2" a="1"/>
  <c r="D201" i="2" a="1"/>
  <c r="D199" i="2" a="1"/>
  <c r="D198" i="2" a="1"/>
  <c r="D195" i="2" a="1"/>
  <c r="N16" i="20"/>
  <c r="G105" i="17" l="1"/>
  <c r="C302" i="17"/>
  <c r="C300" i="17"/>
  <c r="C299" i="17"/>
  <c r="C303" i="17"/>
  <c r="C100" i="17"/>
  <c r="C102" i="17"/>
  <c r="C104" i="17"/>
  <c r="C96" i="17"/>
  <c r="C98" i="17"/>
  <c r="C106" i="17"/>
  <c r="C23" i="19"/>
  <c r="C21" i="19"/>
  <c r="C22" i="19" s="1"/>
  <c r="C103" i="17" l="1"/>
  <c r="C105" i="17"/>
  <c r="C101" i="17"/>
  <c r="C97" i="17"/>
  <c r="C99" i="17"/>
  <c r="O15" i="2" l="1"/>
  <c r="H540" i="2" l="1"/>
  <c r="B36" i="17" s="1"/>
  <c r="F540" i="2"/>
  <c r="B34" i="17" s="1"/>
  <c r="K540" i="2"/>
  <c r="B39" i="17" s="1"/>
  <c r="G540" i="2"/>
  <c r="B35" i="17" s="1"/>
  <c r="O540" i="2"/>
  <c r="B43" i="17" s="1"/>
  <c r="N24" i="2"/>
  <c r="N55" i="2" s="1" a="1"/>
  <c r="J24" i="2"/>
  <c r="J55" i="2" s="1" a="1"/>
  <c r="L540" i="2"/>
  <c r="B40" i="17" s="1"/>
  <c r="Q24" i="2"/>
  <c r="Q55" i="2" s="1" a="1"/>
  <c r="M24" i="2"/>
  <c r="M55" i="2" s="1" a="1"/>
  <c r="I24" i="2"/>
  <c r="I55" i="2" s="1" a="1"/>
  <c r="I540" i="2"/>
  <c r="B37" i="17" s="1"/>
  <c r="K24" i="2"/>
  <c r="K55" i="2" s="1" a="1"/>
  <c r="P24" i="2"/>
  <c r="P55" i="2" s="1" a="1"/>
  <c r="L24" i="2"/>
  <c r="L55" i="2" s="1" a="1"/>
  <c r="H24" i="2"/>
  <c r="H55" i="2" s="1" a="1"/>
  <c r="O24" i="2"/>
  <c r="O55" i="2" s="1" a="1"/>
  <c r="J540" i="2"/>
  <c r="B38" i="17" s="1"/>
  <c r="M540" i="2"/>
  <c r="B41" i="17" s="1"/>
  <c r="N540" i="2"/>
  <c r="B42" i="17" s="1"/>
  <c r="F541" i="2" l="1"/>
  <c r="F542" i="2" s="1"/>
  <c r="Q56" i="2" s="1"/>
  <c r="R25" i="2"/>
  <c r="S25" i="2" s="1"/>
  <c r="R26" i="2"/>
  <c r="R49" i="2"/>
  <c r="R39" i="2"/>
  <c r="R54" i="2"/>
  <c r="R46" i="2"/>
  <c r="R38" i="2"/>
  <c r="R30" i="2"/>
  <c r="R53" i="2"/>
  <c r="R45" i="2"/>
  <c r="R37" i="2"/>
  <c r="R29" i="2"/>
  <c r="R52" i="2"/>
  <c r="R44" i="2"/>
  <c r="R36" i="2"/>
  <c r="R28" i="2"/>
  <c r="R51" i="2"/>
  <c r="R43" i="2"/>
  <c r="R35" i="2"/>
  <c r="R27" i="2"/>
  <c r="R50" i="2"/>
  <c r="R34" i="2"/>
  <c r="R41" i="2"/>
  <c r="R33" i="2"/>
  <c r="R48" i="2"/>
  <c r="R40" i="2"/>
  <c r="R32" i="2"/>
  <c r="R47" i="2"/>
  <c r="R31" i="2"/>
  <c r="R42" i="2"/>
  <c r="R55" i="2" l="1"/>
  <c r="S46" i="2"/>
  <c r="S53" i="2"/>
  <c r="S52" i="2"/>
  <c r="S54" i="2"/>
  <c r="S51" i="2"/>
  <c r="S47" i="2"/>
  <c r="S49" i="2"/>
  <c r="S50" i="2"/>
  <c r="S48" i="2"/>
  <c r="S29" i="2"/>
  <c r="S45" i="2"/>
  <c r="S30" i="2"/>
  <c r="B372" i="17" l="1"/>
  <c r="E372" i="17" s="1"/>
  <c r="B371" i="17"/>
  <c r="E371" i="17" s="1"/>
  <c r="G211" i="2"/>
  <c r="D606" i="17"/>
  <c r="S55" i="2"/>
  <c r="J270" i="2"/>
  <c r="H34" i="17"/>
  <c r="F215" i="2" l="1"/>
  <c r="B365" i="17" s="1"/>
  <c r="E365" i="17" s="1"/>
  <c r="E63" i="17"/>
  <c r="F219" i="2"/>
  <c r="F218" i="2"/>
  <c r="F216" i="2"/>
  <c r="B366" i="17" s="1"/>
  <c r="F220" i="2"/>
  <c r="G220" i="2" s="1"/>
  <c r="F217" i="2"/>
  <c r="K270" i="2"/>
  <c r="L270" i="2"/>
  <c r="G380" i="17"/>
  <c r="B375" i="17" l="1"/>
  <c r="G215" i="2"/>
  <c r="B368" i="17"/>
  <c r="G219" i="2"/>
  <c r="G217" i="2"/>
  <c r="B367" i="17"/>
  <c r="G218" i="2"/>
  <c r="B369" i="17"/>
  <c r="G216" i="2"/>
  <c r="Q270" i="2"/>
  <c r="M270" i="2"/>
  <c r="C231" i="17" l="1"/>
  <c r="C230" i="17"/>
  <c r="A26" i="2" l="1"/>
  <c r="A27" i="2" s="1"/>
  <c r="A28" i="2" s="1"/>
  <c r="A29" i="2" s="1"/>
  <c r="A30" i="2" s="1"/>
  <c r="S26" i="2" l="1"/>
  <c r="H31" i="17"/>
  <c r="S31" i="2" l="1"/>
  <c r="S33" i="2"/>
  <c r="S35" i="2"/>
  <c r="S37" i="2"/>
  <c r="S39" i="2"/>
  <c r="S41" i="2"/>
  <c r="S43" i="2"/>
  <c r="S34" i="2"/>
  <c r="S40" i="2"/>
  <c r="S44" i="2"/>
  <c r="S32" i="2"/>
  <c r="S36" i="2"/>
  <c r="S38" i="2"/>
  <c r="S42" i="2"/>
  <c r="S27" i="2"/>
  <c r="S28" i="2"/>
  <c r="G9" i="17" l="1"/>
  <c r="G15" i="17"/>
  <c r="C55" i="17" s="1"/>
  <c r="B341" i="17" l="1"/>
  <c r="B335" i="17"/>
  <c r="C187" i="17" a="1"/>
  <c r="C188" i="17" a="1"/>
  <c r="E55" i="17"/>
  <c r="C356" i="17"/>
  <c r="C166" i="17"/>
  <c r="C176" i="17"/>
  <c r="E176" i="17" s="1"/>
  <c r="C172" i="17"/>
  <c r="C358" i="17"/>
  <c r="G14" i="17"/>
  <c r="G10" i="17"/>
  <c r="G12" i="17"/>
  <c r="G17" i="17"/>
  <c r="G11" i="17"/>
  <c r="C341" i="17"/>
  <c r="C335" i="17"/>
  <c r="C163" i="17" l="1"/>
  <c r="C52" i="17"/>
  <c r="E52" i="17" s="1"/>
  <c r="E210" i="17"/>
  <c r="E209" i="17"/>
  <c r="E351" i="17"/>
  <c r="E341" i="17"/>
  <c r="C58" i="17"/>
  <c r="E196" i="17"/>
  <c r="C197" i="17" s="1"/>
  <c r="E197" i="17" s="1"/>
  <c r="E335" i="17"/>
  <c r="E358" i="17"/>
  <c r="E357" i="17"/>
  <c r="E356" i="17"/>
  <c r="E355" i="17"/>
  <c r="E352" i="17"/>
  <c r="E359" i="17"/>
  <c r="E199" i="17"/>
  <c r="E198" i="17"/>
  <c r="E354" i="17"/>
  <c r="E353" i="17"/>
  <c r="C320" i="17"/>
  <c r="B343" i="17"/>
  <c r="C319" i="17"/>
  <c r="C54" i="17"/>
  <c r="E54" i="17" s="1"/>
  <c r="C51" i="17"/>
  <c r="E51" i="17" s="1"/>
  <c r="C334" i="17"/>
  <c r="E334" i="17" s="1"/>
  <c r="C268" i="17"/>
  <c r="E268" i="17" s="1"/>
  <c r="B336" i="17"/>
  <c r="B338" i="17"/>
  <c r="B340" i="17"/>
  <c r="B337" i="17"/>
  <c r="E120" i="17"/>
  <c r="C57" i="17"/>
  <c r="E57" i="17" s="1"/>
  <c r="C50" i="17"/>
  <c r="E50" i="17" s="1"/>
  <c r="G18" i="17"/>
  <c r="C324" i="17" s="1"/>
  <c r="C177" i="17"/>
  <c r="E177" i="17" s="1"/>
  <c r="E76" i="17"/>
  <c r="C343" i="17"/>
  <c r="C337" i="17"/>
  <c r="C336" i="17"/>
  <c r="C340" i="17"/>
  <c r="C338" i="17"/>
  <c r="F210" i="17" l="1"/>
  <c r="E208" i="17"/>
  <c r="F208" i="17" s="1"/>
  <c r="F209" i="17"/>
  <c r="E141" i="17"/>
  <c r="F141" i="17" s="1"/>
  <c r="E137" i="17"/>
  <c r="E347" i="17"/>
  <c r="F347" i="17" s="1"/>
  <c r="B391" i="17"/>
  <c r="E391" i="17" s="1"/>
  <c r="E377" i="17"/>
  <c r="F377" i="17" s="1"/>
  <c r="E376" i="17"/>
  <c r="F376" i="17" s="1"/>
  <c r="F140" i="17"/>
  <c r="E312" i="17"/>
  <c r="C313" i="17"/>
  <c r="E313" i="17" s="1"/>
  <c r="C392" i="17"/>
  <c r="E392" i="17" s="1"/>
  <c r="F392" i="17" s="1"/>
  <c r="F371" i="17"/>
  <c r="F372" i="17"/>
  <c r="F196" i="17"/>
  <c r="C375" i="17"/>
  <c r="E375" i="17" s="1"/>
  <c r="B68" i="17"/>
  <c r="E68" i="17" s="1"/>
  <c r="C31" i="17"/>
  <c r="E31" i="17" s="1"/>
  <c r="E32" i="17" s="1"/>
  <c r="E337" i="17"/>
  <c r="F337" i="17" s="1"/>
  <c r="E338" i="17"/>
  <c r="F338" i="17" s="1"/>
  <c r="E163" i="17"/>
  <c r="F163" i="17" s="1"/>
  <c r="C185" i="17" a="1"/>
  <c r="E185" i="17" s="1"/>
  <c r="F185" i="17" s="1"/>
  <c r="C184" i="17"/>
  <c r="C304" i="17"/>
  <c r="E304" i="17" s="1"/>
  <c r="C183" i="17"/>
  <c r="C182" i="17"/>
  <c r="C193" i="17"/>
  <c r="E336" i="17"/>
  <c r="F336" i="17" s="1"/>
  <c r="E340" i="17"/>
  <c r="E343" i="17"/>
  <c r="F343" i="17" s="1"/>
  <c r="F174" i="17"/>
  <c r="E173" i="17"/>
  <c r="F173" i="17" s="1"/>
  <c r="E58" i="17"/>
  <c r="F58" i="17" s="1"/>
  <c r="E49" i="17"/>
  <c r="C345" i="17"/>
  <c r="E345" i="17" s="1"/>
  <c r="F345" i="17" s="1"/>
  <c r="E265" i="17"/>
  <c r="F265" i="17" s="1"/>
  <c r="E315" i="17"/>
  <c r="F315" i="17" s="1"/>
  <c r="B184" i="17" a="1"/>
  <c r="B183" i="17" a="1"/>
  <c r="F342" i="17"/>
  <c r="F354" i="17"/>
  <c r="F353" i="17"/>
  <c r="F56" i="17"/>
  <c r="E320" i="17"/>
  <c r="E319" i="17"/>
  <c r="E321" i="17"/>
  <c r="F321" i="17" s="1"/>
  <c r="B70" i="17"/>
  <c r="E150" i="17"/>
  <c r="F150" i="17" s="1"/>
  <c r="B124" i="17" a="1"/>
  <c r="E124" i="17" s="1"/>
  <c r="E316" i="17"/>
  <c r="F316" i="17" s="1"/>
  <c r="E314" i="17"/>
  <c r="C109" i="17" s="1"/>
  <c r="E109" i="17" s="1"/>
  <c r="E311" i="17"/>
  <c r="E333" i="17"/>
  <c r="B71" i="17"/>
  <c r="E71" i="17" s="1"/>
  <c r="F71" i="17" s="1"/>
  <c r="F370" i="17"/>
  <c r="F374" i="17"/>
  <c r="E172" i="17"/>
  <c r="F172" i="17" s="1"/>
  <c r="F171" i="17"/>
  <c r="C366" i="17"/>
  <c r="E366" i="17" s="1"/>
  <c r="E123" i="17"/>
  <c r="E289" i="17"/>
  <c r="F289" i="17" s="1"/>
  <c r="E292" i="17"/>
  <c r="F292" i="17" s="1"/>
  <c r="E159" i="17"/>
  <c r="F159" i="17" s="1"/>
  <c r="E77" i="17"/>
  <c r="C189" i="17"/>
  <c r="E189" i="17" s="1"/>
  <c r="F189" i="17" s="1"/>
  <c r="C190" i="17"/>
  <c r="E190" i="17" s="1"/>
  <c r="F190" i="17" s="1"/>
  <c r="C186" i="17" a="1"/>
  <c r="E186" i="17" s="1"/>
  <c r="F186" i="17" s="1"/>
  <c r="C191" i="17" a="1"/>
  <c r="E191" i="17" s="1"/>
  <c r="F191" i="17" s="1"/>
  <c r="E221" i="17"/>
  <c r="F221" i="17" s="1"/>
  <c r="E222" i="17"/>
  <c r="F222" i="17" s="1"/>
  <c r="E233" i="17"/>
  <c r="F233" i="17" s="1"/>
  <c r="F51" i="17"/>
  <c r="F52" i="17"/>
  <c r="F54" i="17"/>
  <c r="F53" i="17"/>
  <c r="F55" i="17"/>
  <c r="E181" i="17"/>
  <c r="F181" i="17" s="1"/>
  <c r="E236" i="17"/>
  <c r="F236" i="17" s="1"/>
  <c r="E200" i="17"/>
  <c r="F355" i="17"/>
  <c r="E303" i="17"/>
  <c r="F303" i="17" s="1"/>
  <c r="C217" i="17"/>
  <c r="E217" i="17" s="1"/>
  <c r="F217" i="17" s="1"/>
  <c r="C266" i="17"/>
  <c r="C239" i="17"/>
  <c r="E239" i="17" s="1"/>
  <c r="F239" i="17" s="1"/>
  <c r="C227" i="17"/>
  <c r="E227" i="17" s="1"/>
  <c r="F227" i="17" s="1"/>
  <c r="C224" i="17"/>
  <c r="E224" i="17" s="1"/>
  <c r="F224" i="17" s="1"/>
  <c r="C225" i="17"/>
  <c r="E225" i="17" s="1"/>
  <c r="F225" i="17" s="1"/>
  <c r="C223" i="17"/>
  <c r="E223" i="17" s="1"/>
  <c r="F223" i="17" s="1"/>
  <c r="C229" i="17"/>
  <c r="E229" i="17" s="1"/>
  <c r="F229" i="17" s="1"/>
  <c r="C228" i="17"/>
  <c r="E228" i="17" s="1"/>
  <c r="C226" i="17"/>
  <c r="E216" i="17"/>
  <c r="F216" i="17" s="1"/>
  <c r="F167" i="17"/>
  <c r="E119" i="17"/>
  <c r="F119" i="17" s="1"/>
  <c r="E204" i="17"/>
  <c r="F204" i="17" s="1"/>
  <c r="E270" i="17"/>
  <c r="F270" i="17" s="1"/>
  <c r="E257" i="17"/>
  <c r="F257" i="17" s="1"/>
  <c r="F268" i="17"/>
  <c r="E254" i="17"/>
  <c r="F254" i="17" s="1"/>
  <c r="E256" i="17"/>
  <c r="F256" i="17" s="1"/>
  <c r="E255" i="17"/>
  <c r="F255" i="17" s="1"/>
  <c r="E250" i="17"/>
  <c r="F250" i="17" s="1"/>
  <c r="F213" i="17"/>
  <c r="C232" i="17"/>
  <c r="E232" i="17" s="1"/>
  <c r="F120" i="17"/>
  <c r="E117" i="17"/>
  <c r="F117" i="17" s="1"/>
  <c r="E116" i="17"/>
  <c r="F116" i="17" s="1"/>
  <c r="F175" i="17"/>
  <c r="E275" i="17"/>
  <c r="F275" i="17" s="1"/>
  <c r="C34" i="17"/>
  <c r="C37" i="17"/>
  <c r="C297" i="17" s="1"/>
  <c r="C35" i="17"/>
  <c r="C301" i="17" s="1"/>
  <c r="C42" i="17"/>
  <c r="C40" i="17"/>
  <c r="C36" i="17"/>
  <c r="C43" i="17"/>
  <c r="C41" i="17"/>
  <c r="C39" i="17"/>
  <c r="G39" i="17" s="1"/>
  <c r="C38" i="17"/>
  <c r="E264" i="17"/>
  <c r="F264" i="17" s="1"/>
  <c r="E165" i="17"/>
  <c r="E219" i="17"/>
  <c r="E220" i="17"/>
  <c r="F220" i="17" s="1"/>
  <c r="F349" i="17"/>
  <c r="F348" i="17"/>
  <c r="F169" i="17"/>
  <c r="F168" i="17"/>
  <c r="F170" i="17"/>
  <c r="F339" i="17"/>
  <c r="E273" i="17"/>
  <c r="F273" i="17" s="1"/>
  <c r="E272" i="17"/>
  <c r="F272" i="17" s="1"/>
  <c r="E271" i="17"/>
  <c r="E269" i="17"/>
  <c r="E262" i="17"/>
  <c r="F262" i="17" s="1"/>
  <c r="E85" i="17"/>
  <c r="F85" i="17" s="1"/>
  <c r="E87" i="17"/>
  <c r="F87" i="17" s="1"/>
  <c r="E86" i="17"/>
  <c r="F86" i="17" s="1"/>
  <c r="F144" i="17"/>
  <c r="F147" i="17"/>
  <c r="F148" i="17"/>
  <c r="F146" i="17"/>
  <c r="F152" i="17"/>
  <c r="F153" i="17"/>
  <c r="F154" i="17"/>
  <c r="F149" i="17"/>
  <c r="F155" i="17"/>
  <c r="F145" i="17"/>
  <c r="E203" i="17"/>
  <c r="E245" i="17"/>
  <c r="F245" i="17" s="1"/>
  <c r="E207" i="17"/>
  <c r="F207" i="17" s="1"/>
  <c r="E214" i="17"/>
  <c r="F214" i="17" s="1"/>
  <c r="E205" i="17"/>
  <c r="F205" i="17" s="1"/>
  <c r="E330" i="17"/>
  <c r="F330" i="17" s="1"/>
  <c r="E324" i="17"/>
  <c r="E327" i="17"/>
  <c r="F327" i="17" s="1"/>
  <c r="E329" i="17"/>
  <c r="F329" i="17" s="1"/>
  <c r="E325" i="17"/>
  <c r="F325" i="17" s="1"/>
  <c r="E326" i="17"/>
  <c r="F326" i="17" s="1"/>
  <c r="E328" i="17"/>
  <c r="F328" i="17" s="1"/>
  <c r="E188" i="17"/>
  <c r="F188" i="17" s="1"/>
  <c r="E234" i="17"/>
  <c r="F234" i="17" s="1"/>
  <c r="E230" i="17"/>
  <c r="F230" i="17" s="1"/>
  <c r="E187" i="17"/>
  <c r="F187" i="17" s="1"/>
  <c r="E231" i="17"/>
  <c r="F231" i="17" s="1"/>
  <c r="F57" i="17"/>
  <c r="E72" i="17"/>
  <c r="F72" i="17" s="1"/>
  <c r="E104" i="17"/>
  <c r="F104" i="17" s="1"/>
  <c r="E96" i="17"/>
  <c r="F212" i="17"/>
  <c r="F346" i="17"/>
  <c r="E103" i="17"/>
  <c r="F103" i="17" s="1"/>
  <c r="E131" i="17"/>
  <c r="F131" i="17" s="1"/>
  <c r="F136" i="17"/>
  <c r="F134" i="17"/>
  <c r="F158" i="17"/>
  <c r="E100" i="17"/>
  <c r="F100" i="17" s="1"/>
  <c r="E128" i="17"/>
  <c r="F128" i="17" s="1"/>
  <c r="E106" i="17"/>
  <c r="F106" i="17" s="1"/>
  <c r="E105" i="17"/>
  <c r="F105" i="17" s="1"/>
  <c r="E97" i="17"/>
  <c r="E211" i="17"/>
  <c r="F211" i="17" s="1"/>
  <c r="E164" i="17"/>
  <c r="E102" i="17"/>
  <c r="F102" i="17" s="1"/>
  <c r="E130" i="17"/>
  <c r="F130" i="17" s="1"/>
  <c r="F157" i="17"/>
  <c r="E101" i="17"/>
  <c r="F101" i="17" s="1"/>
  <c r="E129" i="17"/>
  <c r="F129" i="17" s="1"/>
  <c r="F156" i="17"/>
  <c r="E215" i="17"/>
  <c r="F215" i="17" s="1"/>
  <c r="E99" i="17"/>
  <c r="F99" i="17" s="1"/>
  <c r="F135" i="17"/>
  <c r="F143" i="17"/>
  <c r="E98" i="17"/>
  <c r="F98" i="17" s="1"/>
  <c r="E166" i="17"/>
  <c r="F166" i="17" s="1"/>
  <c r="C69" i="17"/>
  <c r="E69" i="17" s="1"/>
  <c r="F48" i="17"/>
  <c r="F47" i="17"/>
  <c r="F357" i="17"/>
  <c r="F176" i="17"/>
  <c r="F177" i="17"/>
  <c r="F359" i="17"/>
  <c r="F358" i="17"/>
  <c r="F63" i="17"/>
  <c r="F198" i="17"/>
  <c r="F162" i="17"/>
  <c r="F356" i="17"/>
  <c r="F351" i="17"/>
  <c r="F76" i="17"/>
  <c r="F192" i="17"/>
  <c r="F161" i="17"/>
  <c r="F341" i="17"/>
  <c r="F197" i="17"/>
  <c r="F335" i="17"/>
  <c r="F334" i="17"/>
  <c r="E317" i="17" l="1"/>
  <c r="F317" i="17" s="1"/>
  <c r="E331" i="17"/>
  <c r="F331" i="17" s="1"/>
  <c r="F319" i="17"/>
  <c r="E322" i="17"/>
  <c r="F322" i="17" s="1"/>
  <c r="F123" i="17"/>
  <c r="F312" i="17"/>
  <c r="F109" i="17"/>
  <c r="C263" i="17"/>
  <c r="E182" i="17"/>
  <c r="F182" i="17" s="1"/>
  <c r="C258" i="17"/>
  <c r="E258" i="17" s="1"/>
  <c r="F258" i="17" s="1"/>
  <c r="F314" i="17"/>
  <c r="C344" i="17"/>
  <c r="E344" i="17" s="1"/>
  <c r="E360" i="17" s="1"/>
  <c r="C267" i="17"/>
  <c r="E267" i="17" s="1"/>
  <c r="F267" i="17" s="1"/>
  <c r="E266" i="17"/>
  <c r="F266" i="17" s="1"/>
  <c r="F375" i="17"/>
  <c r="E70" i="17"/>
  <c r="F70" i="17" s="1"/>
  <c r="F320" i="17"/>
  <c r="E393" i="17"/>
  <c r="F393" i="17" s="1"/>
  <c r="B16" i="17" s="1"/>
  <c r="F311" i="17"/>
  <c r="F313" i="17"/>
  <c r="C367" i="17"/>
  <c r="E367" i="17" s="1"/>
  <c r="F165" i="17"/>
  <c r="E178" i="17"/>
  <c r="F97" i="17"/>
  <c r="E107" i="17"/>
  <c r="F107" i="17" s="1"/>
  <c r="F49" i="17"/>
  <c r="E59" i="17"/>
  <c r="F340" i="17"/>
  <c r="E184" i="17"/>
  <c r="F184" i="17" s="1"/>
  <c r="F199" i="17"/>
  <c r="B44" i="17" a="1"/>
  <c r="G110" i="17"/>
  <c r="G111" i="17"/>
  <c r="G79" i="17"/>
  <c r="C65" i="17"/>
  <c r="G80" i="17"/>
  <c r="G34" i="17"/>
  <c r="G114" i="17"/>
  <c r="C114" i="17"/>
  <c r="C298" i="17"/>
  <c r="G113" i="17"/>
  <c r="C296" i="17"/>
  <c r="G112" i="17"/>
  <c r="C276" i="17"/>
  <c r="E276" i="17" s="1"/>
  <c r="F276" i="17" s="1"/>
  <c r="C118" i="17"/>
  <c r="C247" i="17" s="1"/>
  <c r="G115" i="17"/>
  <c r="E280" i="17"/>
  <c r="F280" i="17" s="1"/>
  <c r="E302" i="17"/>
  <c r="F302" i="17" s="1"/>
  <c r="C293" i="17"/>
  <c r="E293" i="17" s="1"/>
  <c r="F293" i="17" s="1"/>
  <c r="E279" i="17"/>
  <c r="F279" i="17" s="1"/>
  <c r="C79" i="17"/>
  <c r="E79" i="17" s="1"/>
  <c r="E278" i="17"/>
  <c r="F278" i="17" s="1"/>
  <c r="E287" i="17"/>
  <c r="F287" i="17" s="1"/>
  <c r="E282" i="17"/>
  <c r="F282" i="17" s="1"/>
  <c r="E281" i="17"/>
  <c r="F281" i="17" s="1"/>
  <c r="C115" i="17"/>
  <c r="E115" i="17" s="1"/>
  <c r="F115" i="17" s="1"/>
  <c r="C112" i="17"/>
  <c r="C113" i="17"/>
  <c r="C110" i="17"/>
  <c r="F96" i="17"/>
  <c r="F324" i="17"/>
  <c r="F164" i="17"/>
  <c r="F203" i="17"/>
  <c r="F228" i="17"/>
  <c r="C111" i="17"/>
  <c r="C242" i="17"/>
  <c r="E242" i="17" s="1"/>
  <c r="F242" i="17" s="1"/>
  <c r="C240" i="17"/>
  <c r="E240" i="17" s="1"/>
  <c r="F240" i="17" s="1"/>
  <c r="F50" i="17"/>
  <c r="C80" i="17"/>
  <c r="E80" i="17" s="1"/>
  <c r="F80" i="17" s="1"/>
  <c r="E42" i="17"/>
  <c r="F42" i="17" s="1"/>
  <c r="G42" i="17"/>
  <c r="E39" i="17"/>
  <c r="F39" i="17" s="1"/>
  <c r="E38" i="17"/>
  <c r="F38" i="17" s="1"/>
  <c r="G38" i="17"/>
  <c r="E43" i="17"/>
  <c r="F43" i="17" s="1"/>
  <c r="G43" i="17"/>
  <c r="E41" i="17"/>
  <c r="F41" i="17" s="1"/>
  <c r="G41" i="17"/>
  <c r="E40" i="17"/>
  <c r="F40" i="17" s="1"/>
  <c r="G40" i="17"/>
  <c r="E37" i="17"/>
  <c r="F37" i="17" s="1"/>
  <c r="G37" i="17"/>
  <c r="E36" i="17"/>
  <c r="F36" i="17" s="1"/>
  <c r="G36" i="17"/>
  <c r="E35" i="17"/>
  <c r="F35" i="17" s="1"/>
  <c r="G35" i="17"/>
  <c r="E34" i="17"/>
  <c r="E91" i="17"/>
  <c r="F91" i="17" s="1"/>
  <c r="E90" i="17"/>
  <c r="F90" i="17" s="1"/>
  <c r="E92" i="17"/>
  <c r="F92" i="17" s="1"/>
  <c r="E193" i="17"/>
  <c r="F193" i="17" s="1"/>
  <c r="E226" i="17"/>
  <c r="F226" i="17" s="1"/>
  <c r="F139" i="17"/>
  <c r="C243" i="17"/>
  <c r="E243" i="17" s="1"/>
  <c r="F243" i="17" s="1"/>
  <c r="E88" i="17"/>
  <c r="F88" i="17" s="1"/>
  <c r="E183" i="17"/>
  <c r="F31" i="17"/>
  <c r="B477" i="17" s="1"/>
  <c r="E84" i="17"/>
  <c r="F84" i="17" s="1"/>
  <c r="C64" i="17"/>
  <c r="E64" i="17" s="1"/>
  <c r="C61" i="17"/>
  <c r="E61" i="17" s="1"/>
  <c r="E89" i="17"/>
  <c r="F89" i="17" s="1"/>
  <c r="E93" i="17"/>
  <c r="F93" i="17" s="1"/>
  <c r="E277" i="17"/>
  <c r="F277" i="17" s="1"/>
  <c r="F232" i="17"/>
  <c r="F124" i="17"/>
  <c r="F391" i="17"/>
  <c r="F304" i="17"/>
  <c r="F333" i="17"/>
  <c r="F75" i="17"/>
  <c r="C251" i="17" l="1"/>
  <c r="C206" i="17"/>
  <c r="E65" i="17"/>
  <c r="F65" i="17" s="1"/>
  <c r="C62" i="17"/>
  <c r="C368" i="17"/>
  <c r="E368" i="17" s="1"/>
  <c r="E44" i="17"/>
  <c r="F44" i="17" s="1"/>
  <c r="E81" i="17"/>
  <c r="F81" i="17" s="1"/>
  <c r="E286" i="17"/>
  <c r="F286" i="17" s="1"/>
  <c r="F352" i="17"/>
  <c r="E283" i="17"/>
  <c r="F283" i="17" s="1"/>
  <c r="E284" i="17"/>
  <c r="F284" i="17" s="1"/>
  <c r="C294" i="17"/>
  <c r="E294" i="17" s="1"/>
  <c r="F294" i="17" s="1"/>
  <c r="E285" i="17"/>
  <c r="F285" i="17" s="1"/>
  <c r="C295" i="17"/>
  <c r="E295" i="17" s="1"/>
  <c r="F295" i="17" s="1"/>
  <c r="E296" i="17"/>
  <c r="F296" i="17" s="1"/>
  <c r="E297" i="17"/>
  <c r="F297" i="17" s="1"/>
  <c r="E298" i="17"/>
  <c r="F298" i="17" s="1"/>
  <c r="E300" i="17"/>
  <c r="F300" i="17" s="1"/>
  <c r="E299" i="17"/>
  <c r="F299" i="17" s="1"/>
  <c r="E291" i="17"/>
  <c r="F291" i="17" s="1"/>
  <c r="E288" i="17"/>
  <c r="F288" i="17" s="1"/>
  <c r="F64" i="17"/>
  <c r="F79" i="17"/>
  <c r="C253" i="17"/>
  <c r="C248" i="17"/>
  <c r="C252" i="17"/>
  <c r="E252" i="17" s="1"/>
  <c r="F252" i="17" s="1"/>
  <c r="E118" i="17"/>
  <c r="F118" i="17" s="1"/>
  <c r="F178" i="17"/>
  <c r="F34" i="17"/>
  <c r="E290" i="17" s="1"/>
  <c r="F290" i="17" s="1"/>
  <c r="E83" i="17"/>
  <c r="E94" i="17" s="1"/>
  <c r="F183" i="17"/>
  <c r="F59" i="17"/>
  <c r="F77" i="17"/>
  <c r="E62" i="17" l="1"/>
  <c r="F62" i="17" s="1"/>
  <c r="C369" i="17"/>
  <c r="E45" i="17"/>
  <c r="B9" i="17"/>
  <c r="B480" i="17" s="1"/>
  <c r="C249" i="17"/>
  <c r="E249" i="17" s="1"/>
  <c r="F249" i="17" s="1"/>
  <c r="E248" i="17"/>
  <c r="F248" i="17" s="1"/>
  <c r="F83" i="17"/>
  <c r="F94" i="17"/>
  <c r="E206" i="17"/>
  <c r="E251" i="17"/>
  <c r="F251" i="17" s="1"/>
  <c r="F137" i="17"/>
  <c r="F32" i="17"/>
  <c r="E369" i="17" l="1"/>
  <c r="G369" i="17" s="1"/>
  <c r="F45" i="17"/>
  <c r="B478" i="17" s="1"/>
  <c r="F368" i="17"/>
  <c r="G368" i="17"/>
  <c r="E301" i="17"/>
  <c r="F301" i="17" s="1"/>
  <c r="F206" i="17"/>
  <c r="E253" i="17"/>
  <c r="F253" i="17" s="1"/>
  <c r="E247" i="17"/>
  <c r="F247" i="17" s="1"/>
  <c r="G367" i="17"/>
  <c r="E381" i="17" l="1"/>
  <c r="B7" i="17"/>
  <c r="G366" i="17"/>
  <c r="F365" i="17" l="1"/>
  <c r="E66" i="17" l="1"/>
  <c r="F61" i="17" l="1"/>
  <c r="F66" i="17" l="1"/>
  <c r="F366" i="17" l="1"/>
  <c r="F369" i="17" l="1"/>
  <c r="F367" i="17"/>
  <c r="F378" i="17" l="1"/>
  <c r="F379" i="17" l="1"/>
  <c r="F68" i="17" l="1"/>
  <c r="F269" i="17"/>
  <c r="E246" i="17" l="1"/>
  <c r="F246" i="17" s="1"/>
  <c r="E241" i="17"/>
  <c r="F241" i="17" s="1"/>
  <c r="F360" i="17" l="1"/>
  <c r="F373" i="17"/>
  <c r="E125" i="17"/>
  <c r="E235" i="17"/>
  <c r="E237" i="17"/>
  <c r="F237" i="17" s="1"/>
  <c r="E238" i="17"/>
  <c r="F238" i="17" s="1"/>
  <c r="E263" i="17"/>
  <c r="F263" i="17" s="1"/>
  <c r="E260" i="17"/>
  <c r="F260" i="17" s="1"/>
  <c r="C261" i="17"/>
  <c r="E261" i="17" s="1"/>
  <c r="F261" i="17" s="1"/>
  <c r="E274" i="17"/>
  <c r="F219" i="17"/>
  <c r="F344" i="17"/>
  <c r="F274" i="17" l="1"/>
  <c r="F235" i="17"/>
  <c r="E73" i="17"/>
  <c r="C127" i="17"/>
  <c r="C259" i="17"/>
  <c r="E259" i="17" s="1"/>
  <c r="F259" i="17" s="1"/>
  <c r="E244" i="17"/>
  <c r="C126" i="17"/>
  <c r="F125" i="17"/>
  <c r="F381" i="17"/>
  <c r="B15" i="17" s="1"/>
  <c r="B486" i="17" s="1"/>
  <c r="F380" i="17"/>
  <c r="F271" i="17"/>
  <c r="E180" i="17"/>
  <c r="E194" i="17" s="1"/>
  <c r="G180" i="17"/>
  <c r="F244" i="17" l="1"/>
  <c r="E305" i="17"/>
  <c r="F194" i="17"/>
  <c r="E126" i="17"/>
  <c r="G126" i="17"/>
  <c r="E127" i="17"/>
  <c r="G127" i="17"/>
  <c r="F69" i="17"/>
  <c r="F180" i="17"/>
  <c r="E132" i="17" l="1"/>
  <c r="F126" i="17"/>
  <c r="F127" i="17"/>
  <c r="F305" i="17"/>
  <c r="F73" i="17"/>
  <c r="F132" i="17" l="1"/>
  <c r="B11" i="17" s="1"/>
  <c r="B482" i="17" s="1"/>
  <c r="B8" i="17"/>
  <c r="B479" i="17" s="1"/>
  <c r="A31" i="2" l="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B12" i="17" l="1"/>
  <c r="B483" i="17" s="1"/>
  <c r="F200" i="17"/>
  <c r="B13" i="17" s="1"/>
  <c r="B484" i="17" s="1"/>
  <c r="E110" i="17" l="1"/>
  <c r="F110" i="17" s="1"/>
  <c r="E111" i="17"/>
  <c r="F111" i="17" s="1"/>
  <c r="E112" i="17"/>
  <c r="F112" i="17" s="1"/>
  <c r="E113" i="17"/>
  <c r="F113" i="17" s="1"/>
  <c r="E114" i="17"/>
  <c r="F114" i="17" s="1"/>
  <c r="E121" i="17" l="1"/>
  <c r="F121" i="17" l="1"/>
  <c r="B10" i="17" s="1"/>
  <c r="B481" i="17" s="1"/>
  <c r="B307" i="17"/>
  <c r="E307" i="17" s="1"/>
  <c r="B308" i="17"/>
  <c r="E308" i="17" s="1"/>
  <c r="F308" i="17" s="1"/>
  <c r="E309" i="17" l="1"/>
  <c r="E362" i="17" s="1"/>
  <c r="E383" i="17" s="1"/>
  <c r="F307" i="17"/>
  <c r="F309" i="17" l="1"/>
  <c r="B14" i="17" l="1"/>
  <c r="B485" i="17" s="1"/>
  <c r="E387" i="17"/>
  <c r="F387" i="17" s="1"/>
  <c r="C28" i="6" s="1"/>
  <c r="F362" i="17"/>
  <c r="B18" i="17" s="1"/>
  <c r="B19" i="17" s="1"/>
  <c r="B487" i="17" l="1"/>
  <c r="C485" i="17" s="1"/>
  <c r="F383" i="17"/>
  <c r="B20" i="17" s="1"/>
  <c r="E386" i="17"/>
  <c r="E388" i="17" s="1"/>
  <c r="C481" i="17" l="1"/>
  <c r="C479" i="17"/>
  <c r="C484" i="17"/>
  <c r="C482" i="17"/>
  <c r="C478" i="17"/>
  <c r="C483" i="17"/>
  <c r="C486" i="17"/>
  <c r="C477" i="17"/>
  <c r="C480" i="17"/>
  <c r="F386" i="17"/>
  <c r="C29" i="6" s="1"/>
  <c r="C487" i="17" l="1"/>
  <c r="F388" i="17"/>
  <c r="E395" i="17"/>
  <c r="E383" i="2" l="1"/>
  <c r="G385" i="2" s="1"/>
  <c r="G386" i="2" s="1"/>
  <c r="F395" i="17"/>
  <c r="G391" i="2" l="1"/>
  <c r="G387" i="2"/>
  <c r="G388" i="2" l="1"/>
  <c r="G389" i="2"/>
  <c r="G390" i="2" l="1"/>
  <c r="F390" i="2" s="1"/>
  <c r="G392" i="2" l="1"/>
  <c r="G393" i="2" s="1"/>
  <c r="G394" i="2" s="1"/>
  <c r="E397" i="17" s="1"/>
  <c r="F397" i="17" s="1"/>
  <c r="E399" i="17" l="1"/>
  <c r="F399" i="17" s="1"/>
  <c r="B21" i="17" s="1"/>
  <c r="E401" i="17" l="1"/>
  <c r="F401" i="17" l="1"/>
  <c r="E403" i="17"/>
  <c r="F403" i="17" s="1"/>
  <c r="B22"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tc={D6599258-9C04-4789-8C68-15C041A144BD}</author>
    <author>tc={4000701A-BAFC-40AC-B636-775014ED4623}</author>
    <author>tc={B0ECAF2C-E2F3-4F06-9D74-E36817BA805E}</author>
    <author>tc={5129CE4A-8479-4617-A951-0C4E809D696E}</author>
    <author>tc={EA32CE80-2185-438A-8552-DA5DAE2C3959}</author>
    <author>tc={6C212231-F6EA-4F8A-9B33-C5D2E6DED5F1}</author>
    <author>tc={BEC48568-D78F-4E75-ADF6-50EDCA6FC02E}</author>
    <author>tc={F4204865-DB36-47BE-BDD7-A6EF08D91168}</author>
    <author>tc={A633D35E-C005-43B1-A3AD-76F8005E26DF}</author>
    <author>tc={BE405E7E-A851-4944-A38A-D657C54B82FA}</author>
    <author>tc={10D54846-866A-478E-85CD-8E8A4CE8B9F2}</author>
    <author>tc={E0621A54-9213-431C-871E-334C8B59DED9}</author>
    <author>tc={BC5F6C2E-807F-40BA-B5AA-FAAEED94D572}</author>
    <author>tc={779C4309-44F0-428F-BC47-D7E7306817C4}</author>
    <author>tc={EC086E8B-3EEE-456A-A643-77712B2808B4}</author>
    <author>tc={682B1A74-409A-491D-AC3A-2538BF8F9EB4}</author>
    <author>tc={69DEC130-B71F-401D-B96A-C2C52A5DF93D}</author>
    <author>tc={EB346258-3FDE-4308-920F-042AB1D1933D}</author>
    <author>tc={DE911CAF-3428-47DF-8BB8-EEAEEB230A49}</author>
    <author>tc={2D3E3116-40D0-43BF-8245-E14818FD589D}</author>
    <author>tc={67A5A968-A5CD-4023-A3C8-EE23321B94F9}</author>
    <author>tc={AA960A33-55AB-4D9F-A2B3-8D1D64C5E05C}</author>
    <author>tc={B14D5312-2BD0-478C-B32F-F49AE6B4727B}</author>
    <author>tc={278D637D-C34C-4E26-BDDB-4576410CB64D}</author>
    <author>tc={E90323F0-CF15-46A4-8E96-E8DCCD6EF475}</author>
    <author>tc={23609177-8EB2-4F31-88D4-5D268E20B55C}</author>
    <author>tc={4CEE076D-34CA-4835-998A-CE862FCE68B3}</author>
    <author>tc={C3237F6E-1509-4A5A-B256-38C210AF5A32}</author>
    <author>tc={14B1ED91-1E9D-4BF5-AD46-6E6A065DEB8F}</author>
    <author>tc={EE12517C-237B-4307-BF39-CBB895A4BCC5}</author>
    <author>tc={825074D9-828F-40DC-AF93-7BA0594BEB70}</author>
    <author>tc={BB50668A-9C2D-4A16-BB7D-A6A578A6979A}</author>
    <author>tc={B62BC692-EFB6-4AAA-B46B-44D5827D66D8}</author>
    <author>tc={CA590C99-05CE-4D4A-A79D-F7713201E0CD}</author>
    <author>tc={A63A4326-30B8-494C-B9B0-F588FAD8455A}</author>
    <author>tc={DBF422A7-A02A-40DF-8672-D3133C1871ED}</author>
    <author>tc={B487E3E6-90A6-470E-845F-9A1E74143A9D}</author>
    <author>tc={FF09736F-60C2-419A-8B5F-61EBE7D7B9A9}</author>
    <author>tc={A5301CD1-FA7C-4FDE-B33E-CB854CCF7830}</author>
    <author>tc={8421BBFC-004C-4E51-B756-3525ABF1C483}</author>
    <author>tc={38F0D9ED-0F7F-4A2A-8AB1-A131BF7FD927}</author>
    <author>tc={9CC19521-AA59-42C2-B83D-97AB79426ACA}</author>
    <author>tc={0A31CFB0-D812-42E5-81A4-0E506629778A}</author>
    <author>tc={2EA6752B-9F68-42A8-A423-35A19B8DC371}</author>
    <author>tc={F8EE977A-018B-4825-86EB-F370B64AE1D7}</author>
    <author>tc={C90D5D2F-F9EB-45A1-B277-6DA98F30BF90}</author>
    <author>tc={928F8469-E976-4532-95D3-1499D87AFEA5}</author>
    <author>tc={708C654E-7B76-47AC-B117-D5426D466ACB}</author>
    <author>tc={05296876-F848-422F-9CCD-709D4C305D1C}</author>
    <author>tc={C6E6A9D4-0000-42CB-80D3-7C8EC6962522}</author>
    <author>tc={BEA89CCC-2A0B-4B0A-9F92-D54F05C699C4}</author>
    <author>tc={EBD91E7A-94F2-4A4A-BBEC-42E5CEE494C8}</author>
    <author>tc={BE51476E-7307-44E2-B83E-E2B99CA4ABBC}</author>
    <author>tc={6BB85D2F-E638-4F14-A6F0-F4FC0D552073}</author>
    <author>tc={D3B649C9-C8F0-4E1B-BE43-C8070D51B529}</author>
    <author>tc={D4FE4D06-10C8-4531-B6F9-1A1CBC90CBE8}</author>
    <author>tc={BD5FF8B9-A977-4330-9290-88A92B689317}</author>
    <author>tc={DC10B56A-FA70-478C-9841-84D6F7ECEAE5}</author>
    <author>tc={C4E3DCC9-D21A-4303-A446-F4F52F9838AD}</author>
    <author>tc={22E5C155-BC8F-445A-B306-BFF303454176}</author>
    <author>Author</author>
  </authors>
  <commentList>
    <comment ref="AG25" authorId="0" shapeId="0" xr:uid="{D6599258-9C04-4789-8C68-15C041A144BD}">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25" authorId="1" shapeId="0" xr:uid="{4000701A-BAFC-40AC-B636-775014ED4623}">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26" authorId="2" shapeId="0" xr:uid="{B0ECAF2C-E2F3-4F06-9D74-E36817BA805E}">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26" authorId="3" shapeId="0" xr:uid="{5129CE4A-8479-4617-A951-0C4E809D696E}">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27" authorId="4" shapeId="0" xr:uid="{EA32CE80-2185-438A-8552-DA5DAE2C3959}">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27" authorId="5" shapeId="0" xr:uid="{6C212231-F6EA-4F8A-9B33-C5D2E6DED5F1}">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28" authorId="6" shapeId="0" xr:uid="{BEC48568-D78F-4E75-ADF6-50EDCA6FC02E}">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28" authorId="7" shapeId="0" xr:uid="{F4204865-DB36-47BE-BDD7-A6EF08D91168}">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29" authorId="8" shapeId="0" xr:uid="{A633D35E-C005-43B1-A3AD-76F8005E26DF}">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29" authorId="9" shapeId="0" xr:uid="{BE405E7E-A851-4944-A38A-D657C54B82FA}">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30" authorId="10" shapeId="0" xr:uid="{10D54846-866A-478E-85CD-8E8A4CE8B9F2}">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30" authorId="11" shapeId="0" xr:uid="{E0621A54-9213-431C-871E-334C8B59DED9}">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31" authorId="12" shapeId="0" xr:uid="{BC5F6C2E-807F-40BA-B5AA-FAAEED94D572}">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31" authorId="13" shapeId="0" xr:uid="{779C4309-44F0-428F-BC47-D7E7306817C4}">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32" authorId="14" shapeId="0" xr:uid="{EC086E8B-3EEE-456A-A643-77712B2808B4}">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32" authorId="15" shapeId="0" xr:uid="{682B1A74-409A-491D-AC3A-2538BF8F9EB4}">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33" authorId="16" shapeId="0" xr:uid="{69DEC130-B71F-401D-B96A-C2C52A5DF93D}">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33" authorId="17" shapeId="0" xr:uid="{EB346258-3FDE-4308-920F-042AB1D1933D}">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34" authorId="18" shapeId="0" xr:uid="{DE911CAF-3428-47DF-8BB8-EEAEEB230A49}">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34" authorId="19" shapeId="0" xr:uid="{2D3E3116-40D0-43BF-8245-E14818FD589D}">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35" authorId="20" shapeId="0" xr:uid="{67A5A968-A5CD-4023-A3C8-EE23321B94F9}">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35" authorId="21" shapeId="0" xr:uid="{AA960A33-55AB-4D9F-A2B3-8D1D64C5E05C}">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36" authorId="22" shapeId="0" xr:uid="{B14D5312-2BD0-478C-B32F-F49AE6B4727B}">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36" authorId="23" shapeId="0" xr:uid="{278D637D-C34C-4E26-BDDB-4576410CB64D}">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37" authorId="24" shapeId="0" xr:uid="{E90323F0-CF15-46A4-8E96-E8DCCD6EF475}">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37" authorId="25" shapeId="0" xr:uid="{23609177-8EB2-4F31-88D4-5D268E20B55C}">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38" authorId="26" shapeId="0" xr:uid="{4CEE076D-34CA-4835-998A-CE862FCE68B3}">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38" authorId="27" shapeId="0" xr:uid="{C3237F6E-1509-4A5A-B256-38C210AF5A32}">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39" authorId="28" shapeId="0" xr:uid="{14B1ED91-1E9D-4BF5-AD46-6E6A065DEB8F}">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39" authorId="29" shapeId="0" xr:uid="{EE12517C-237B-4307-BF39-CBB895A4BCC5}">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40" authorId="30" shapeId="0" xr:uid="{825074D9-828F-40DC-AF93-7BA0594BEB70}">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40" authorId="31" shapeId="0" xr:uid="{BB50668A-9C2D-4A16-BB7D-A6A578A6979A}">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41" authorId="32" shapeId="0" xr:uid="{B62BC692-EFB6-4AAA-B46B-44D5827D66D8}">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41" authorId="33" shapeId="0" xr:uid="{CA590C99-05CE-4D4A-A79D-F7713201E0CD}">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42" authorId="34" shapeId="0" xr:uid="{A63A4326-30B8-494C-B9B0-F588FAD8455A}">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42" authorId="35" shapeId="0" xr:uid="{DBF422A7-A02A-40DF-8672-D3133C1871ED}">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43" authorId="36" shapeId="0" xr:uid="{B487E3E6-90A6-470E-845F-9A1E74143A9D}">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43" authorId="37" shapeId="0" xr:uid="{FF09736F-60C2-419A-8B5F-61EBE7D7B9A9}">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44" authorId="38" shapeId="0" xr:uid="{A5301CD1-FA7C-4FDE-B33E-CB854CCF7830}">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44" authorId="39" shapeId="0" xr:uid="{8421BBFC-004C-4E51-B756-3525ABF1C483}">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45" authorId="40" shapeId="0" xr:uid="{38F0D9ED-0F7F-4A2A-8AB1-A131BF7FD927}">
      <text>
        <t xml:space="preserve">[Threaded comment]
Your version of Excel allows you to read this threaded comment; however, any edits to it will get removed if the file is opened in a newer version of Excel. Learn more: https://go.microsoft.com/fwlink/?linkid=870924
Comment:
    For Tamilnadu use Conventional LA
</t>
      </text>
    </comment>
    <comment ref="AK45" authorId="41" shapeId="0" xr:uid="{9CC19521-AA59-42C2-B83D-97AB79426ACA}">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46" authorId="42" shapeId="0" xr:uid="{0A31CFB0-D812-42E5-81A4-0E506629778A}">
      <text>
        <t>[Threaded comment]
Your version of Excel allows you to read this threaded comment; however, any edits to it will get removed if the file is opened in a newer version of Excel. Learn more: https://go.microsoft.com/fwlink/?linkid=870924
Comment:
    For Tamilnadu use Conventional LA</t>
      </text>
    </comment>
    <comment ref="AK46" authorId="43" shapeId="0" xr:uid="{2EA6752B-9F68-42A8-A423-35A19B8DC371}">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47" authorId="44" shapeId="0" xr:uid="{F8EE977A-018B-4825-86EB-F370B64AE1D7}">
      <text>
        <t>[Threaded comment]
Your version of Excel allows you to read this threaded comment; however, any edits to it will get removed if the file is opened in a newer version of Excel. Learn more: https://go.microsoft.com/fwlink/?linkid=870924
Comment:
    For Tamilnadu use Conventional LA</t>
      </text>
    </comment>
    <comment ref="AK47" authorId="45" shapeId="0" xr:uid="{C90D5D2F-F9EB-45A1-B277-6DA98F30BF90}">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48" authorId="46" shapeId="0" xr:uid="{928F8469-E976-4532-95D3-1499D87AFEA5}">
      <text>
        <t>[Threaded comment]
Your version of Excel allows you to read this threaded comment; however, any edits to it will get removed if the file is opened in a newer version of Excel. Learn more: https://go.microsoft.com/fwlink/?linkid=870924
Comment:
    For Tamilnadu use Conventional LA</t>
      </text>
    </comment>
    <comment ref="AK48" authorId="47" shapeId="0" xr:uid="{708C654E-7B76-47AC-B117-D5426D466ACB}">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49" authorId="48" shapeId="0" xr:uid="{05296876-F848-422F-9CCD-709D4C305D1C}">
      <text>
        <t>[Threaded comment]
Your version of Excel allows you to read this threaded comment; however, any edits to it will get removed if the file is opened in a newer version of Excel. Learn more: https://go.microsoft.com/fwlink/?linkid=870924
Comment:
    For Tamilnadu use Conventional LA</t>
      </text>
    </comment>
    <comment ref="AK49" authorId="49" shapeId="0" xr:uid="{C6E6A9D4-0000-42CB-80D3-7C8EC6962522}">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50" authorId="50" shapeId="0" xr:uid="{BEA89CCC-2A0B-4B0A-9F92-D54F05C699C4}">
      <text>
        <t>[Threaded comment]
Your version of Excel allows you to read this threaded comment; however, any edits to it will get removed if the file is opened in a newer version of Excel. Learn more: https://go.microsoft.com/fwlink/?linkid=870924
Comment:
    For Tamilnadu use Conventional LA</t>
      </text>
    </comment>
    <comment ref="AK50" authorId="51" shapeId="0" xr:uid="{EBD91E7A-94F2-4A4A-BBEC-42E5CEE494C8}">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51" authorId="52" shapeId="0" xr:uid="{BE51476E-7307-44E2-B83E-E2B99CA4ABBC}">
      <text>
        <t>[Threaded comment]
Your version of Excel allows you to read this threaded comment; however, any edits to it will get removed if the file is opened in a newer version of Excel. Learn more: https://go.microsoft.com/fwlink/?linkid=870924
Comment:
    For Tamilnadu use Conventional LA</t>
      </text>
    </comment>
    <comment ref="AK51" authorId="53" shapeId="0" xr:uid="{6BB85D2F-E638-4F14-A6F0-F4FC0D552073}">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52" authorId="54" shapeId="0" xr:uid="{D3B649C9-C8F0-4E1B-BE43-C8070D51B529}">
      <text>
        <t>[Threaded comment]
Your version of Excel allows you to read this threaded comment; however, any edits to it will get removed if the file is opened in a newer version of Excel. Learn more: https://go.microsoft.com/fwlink/?linkid=870924
Comment:
    For Tamilnadu use Conventional LA</t>
      </text>
    </comment>
    <comment ref="AK52" authorId="55" shapeId="0" xr:uid="{D4FE4D06-10C8-4531-B6F9-1A1CBC90CBE8}">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53" authorId="56" shapeId="0" xr:uid="{BD5FF8B9-A977-4330-9290-88A92B689317}">
      <text>
        <t>[Threaded comment]
Your version of Excel allows you to read this threaded comment; however, any edits to it will get removed if the file is opened in a newer version of Excel. Learn more: https://go.microsoft.com/fwlink/?linkid=870924
Comment:
    For Tamilnadu use Conventional LA</t>
      </text>
    </comment>
    <comment ref="AK53" authorId="57" shapeId="0" xr:uid="{DC10B56A-FA70-478C-9841-84D6F7ECEAE5}">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AG54" authorId="58" shapeId="0" xr:uid="{C4E3DCC9-D21A-4303-A446-F4F52F9838AD}">
      <text>
        <t>[Threaded comment]
Your version of Excel allows you to read this threaded comment; however, any edits to it will get removed if the file is opened in a newer version of Excel. Learn more: https://go.microsoft.com/fwlink/?linkid=870924
Comment:
    For Tamilnadu use Conventional LA</t>
      </text>
    </comment>
    <comment ref="AK54" authorId="59" shapeId="0" xr:uid="{22E5C155-BC8F-445A-B306-BFF303454176}">
      <text>
        <t xml:space="preserve">[Threaded comment]
Your version of Excel allows you to read this threaded comment; however, any edits to it will get removed if the file is opened in a newer version of Excel. Learn more: https://go.microsoft.com/fwlink/?linkid=870924
Comment:
    Railings are mandatory for tamilnadu and haryana for any module tilt
</t>
      </text>
    </comment>
    <comment ref="F386" authorId="60" shapeId="0" xr:uid="{AA51E34F-BE99-4179-A2AC-A8BCA80DE43B}">
      <text>
        <r>
          <rPr>
            <b/>
            <sz val="9"/>
            <color indexed="81"/>
            <rFont val="Tahoma"/>
            <family val="2"/>
          </rPr>
          <t>Author:</t>
        </r>
        <r>
          <rPr>
            <sz val="9"/>
            <color indexed="81"/>
            <rFont val="Tahoma"/>
            <family val="2"/>
          </rPr>
          <t xml:space="preserve">
PBG Amount (X% of EPC Value)</t>
        </r>
      </text>
    </comment>
    <comment ref="L386" authorId="60" shapeId="0" xr:uid="{F49CFBFE-F151-4E88-B0CA-946EEFF2591C}">
      <text>
        <r>
          <rPr>
            <b/>
            <sz val="9"/>
            <color indexed="81"/>
            <rFont val="Tahoma"/>
            <family val="2"/>
          </rPr>
          <t>Author:</t>
        </r>
        <r>
          <rPr>
            <sz val="9"/>
            <color indexed="81"/>
            <rFont val="Tahoma"/>
            <family val="2"/>
          </rPr>
          <t xml:space="preserve">
PBG Amount (X% of EPC Value)</t>
        </r>
      </text>
    </comment>
    <comment ref="F393" authorId="60" shapeId="0" xr:uid="{519FF523-A227-4832-A16C-45EAE593EA63}">
      <text>
        <r>
          <rPr>
            <b/>
            <sz val="9"/>
            <color indexed="81"/>
            <rFont val="Tahoma"/>
            <family val="2"/>
          </rPr>
          <t>Author:</t>
        </r>
        <r>
          <rPr>
            <sz val="9"/>
            <color indexed="81"/>
            <rFont val="Tahoma"/>
            <family val="2"/>
          </rPr>
          <t xml:space="preserve">
insert the 'No. of years" we are keeping PBG with customer</t>
        </r>
      </text>
    </comment>
    <comment ref="L393" authorId="60" shapeId="0" xr:uid="{AAFE8991-A6CF-4F80-A380-F3E36DBAF453}">
      <text>
        <r>
          <rPr>
            <b/>
            <sz val="9"/>
            <color indexed="81"/>
            <rFont val="Tahoma"/>
            <family val="2"/>
          </rPr>
          <t>Author:</t>
        </r>
        <r>
          <rPr>
            <sz val="9"/>
            <color indexed="81"/>
            <rFont val="Tahoma"/>
            <family val="2"/>
          </rPr>
          <t xml:space="preserve">
insert the 'No. of years" we are keeping PBG with customer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tc={3DEDEAA6-EC40-468E-B903-EE80D571B23B}</author>
    <author>tc={3FDAE8F5-D8FC-45CA-BAD6-C84410B23F46}</author>
    <author>tc={67141248-0FEA-4E95-9479-DA003C3626F6}</author>
    <author>tc={2204DBD1-2AAD-4FE0-93BE-6B8310B0335C}</author>
    <author>tc={1D4AE063-553A-46A0-9CD7-251EFC37DD93}</author>
    <author>tc={56324FED-E9A1-48AF-A521-BBDFB6520DBA}</author>
    <author>tc={58BCF397-6C74-46D6-8347-1AB030ACADC2}</author>
    <author>tc={22E4D226-1CB4-404E-B24B-ED4741A3172C}</author>
    <author>tc={F0E570BD-EC9D-4E67-B231-946885FEF512}</author>
    <author>tc={976DD6F5-280E-4990-91A0-6D97CE83E3C1}</author>
    <author>tc={F85C2504-ABE1-4447-828A-738D90D83AD2}</author>
    <author>tc={C73A9553-EE68-46E8-BE8F-944B422FD4BB}</author>
    <author>tc={7681D097-7041-4158-BB06-763A8E71AF52}</author>
    <author>tc={62CF1AE8-291C-47E2-8064-79ED234AA611}</author>
    <author>tc={C6DAEBA6-2572-4531-A237-191F950713A8}</author>
    <author>tc={E60C9FCA-ACEE-4C98-9869-AE9D5A821AB1}</author>
    <author>tc={01D81352-77EA-4B4B-8AB2-ED505FD63787}</author>
    <author>tc={7291221C-89C1-42DF-A271-A1CF8DDD9248}</author>
    <author>tc={F4D12F2B-FEB1-4963-ADFE-65FE366E1393}</author>
    <author>tc={D7FFE3A5-B02C-463E-8CC4-9BC8839D8519}</author>
    <author>tc={854046ED-DCC6-4B98-A37F-B07791D7F9E3}</author>
    <author>tc={65F78B85-790B-4DDA-BF28-6C6FB5C0221D}</author>
    <author>tc={4CA3B31B-620A-4647-852D-4C2D8E96F1CF}</author>
    <author>tc={35F5386A-DC08-48D0-B817-966BD1991443}</author>
    <author>tc={3E3A563F-C7AB-4BF3-A351-617BFB315654}</author>
    <author>tc={5F56B94F-BDD8-4A4F-9B7E-1BEE90D7943E}</author>
    <author>tc={5FD7690C-DFC7-4B2A-AB8C-17464DEB048D}</author>
    <author>tc={35B2617D-9A04-4D70-B119-E0946AFBABB5}</author>
    <author>tc={31628424-3A30-442C-A963-A9377BCFB291}</author>
    <author>tc={37EA6A96-204F-4FF3-BC0E-9C791F8BF0BE}</author>
    <author>tc={F74B865B-9F04-4D25-9431-995810EA10D3}</author>
    <author>tc={DC94F34C-75D6-4D58-9E39-0DEAC8387AE0}</author>
    <author>tc={C50CB0DC-095A-4C7F-ACF3-0416989E4DEB}</author>
    <author>tc={C8613979-DFD9-486E-8F1F-D87AE2E5CE81}</author>
    <author>tc={69915C89-879B-453B-AC2A-79C7756E8045}</author>
    <author>tc={B897670C-2F29-4544-B2FB-570B1B9E2B18}</author>
    <author>tc={E7BE89CE-ED58-44EE-9713-E62642B40FDD}</author>
    <author>tc={E2C0AF5B-B842-401D-BB8A-BCFB851D7E52}</author>
    <author>tc={90E34BB8-0DE7-49C7-8CC1-E4C6C8978D11}</author>
    <author>tc={0535D744-9F3D-45A2-901B-7DC104D3D058}</author>
    <author>tc={3E5D7022-3737-4981-BAFD-912207D7AE07}</author>
    <author>tc={3CA45C2D-76CA-4E67-BF12-539E6D803AE7}</author>
    <author>tc={DE102F09-3DA0-4A39-A8E3-AE0224F11F79}</author>
    <author>tc={D140ADA6-CDDB-4F71-80C2-8431E134453C}</author>
    <author>tc={8458DD98-6B74-4A22-B761-D435B307A0DE}</author>
    <author>tc={A3A7A863-0482-4268-A585-CC0A632D90E7}</author>
    <author>tc={02464A8C-EC35-4592-8F5A-00BEF8C661A2}</author>
    <author>tc={9B8E3345-5509-4A4A-93D5-A597ECB42F5E}</author>
    <author>tc={B71E93F9-4F8B-4907-ADC5-053050350796}</author>
    <author>tc={CC960461-73C3-4E64-81EF-0BF0BF4E9973}</author>
    <author>tc={693E1961-872D-405F-91B3-2FA0E01AB7E7}</author>
    <author>tc={D0569A18-F6E2-4DB7-AF5B-F4EEA8BF1992}</author>
    <author>tc={5169D907-14B2-4910-959A-AC2ADDA11191}</author>
    <author>tc={9EE03152-02B7-410D-AB39-1B5FD72C224F}</author>
    <author>tc={2924A1AE-88EB-4EE7-85CC-5C0B7E3819EA}</author>
    <author>tc={B90653A0-2BA2-4C26-AD6C-414CF4C8BEF5}</author>
    <author>tc={B0D62563-E5D1-4A64-90CD-84B1A3A4B212}</author>
    <author>tc={DA9C7FA7-689E-4736-8D62-A82FA5E7D058}</author>
    <author>tc={ECEBDA59-A8BA-4F9E-A9B1-6AA2367FBE20}</author>
    <author>tc={64BF4606-A75A-4085-B59B-125179543450}</author>
    <author>tc={06A2DCFE-20D2-460B-9C46-4CDC1AE2E797}</author>
    <author>tc={AE00ED10-6725-4831-889D-68413FFF0FC5}</author>
    <author>tc={38A35F67-969A-4C90-9649-74E59247CA9E}</author>
    <author>tc={792203E3-0DD4-4680-A493-23FEB59C78C1}</author>
    <author>tc={70ED7E53-5B21-4923-A08F-144AB4A9BB05}</author>
    <author>tc={31BBF793-78DA-4B24-BF38-2D93A81C148B}</author>
    <author>tc={15A525BD-0061-45B2-9C1A-4AFA609F98BB}</author>
    <author>tc={3F8724EF-6354-4320-B38C-5E40B76917DF}</author>
    <author>tc={5142F52B-EFAA-4557-AAFA-71E7927387B3}</author>
    <author>tc={DBFD6E7F-6AA1-4FEE-81DC-47DF5D613620}</author>
    <author>tc={7502BC86-D7D7-4B79-8BAC-526FAEFCC752}</author>
    <author>tc={6889EB8C-D3F8-41F2-B1DF-FE10A3C3A9F9}</author>
    <author>tc={333DEEAC-8AA9-4116-8027-E4A1C76D331D}</author>
    <author>tc={E60CD07C-D777-40B0-906C-DAC6A41A60C1}</author>
    <author>tc={563C1D3E-E6BF-49AF-A029-8138B46ADB5A}</author>
    <author>tc={3534EEF9-82B2-4842-B285-DFB6E32C9C09}</author>
    <author>tc={264413A6-36DB-4E78-8E45-10EA49B706F9}</author>
    <author>tc={FCA87E1B-A525-4DFA-A593-77B3257A785E}</author>
    <author>tc={FD953484-FDCF-4F97-ADD6-98D571AD5FE6}</author>
    <author>tc={2452F541-CD30-4673-B9A6-57EB9D8A9A2A}</author>
    <author>tc={E53EE02F-D2AF-4452-AFC2-7374621E6839}</author>
    <author>tc={E30AFE90-7A6D-4B61-AB41-B2F9835D7BE3}</author>
    <author>tc={88A5E21F-42EF-4BC0-8BE6-61AB02CC77C5}</author>
    <author>tc={747A4832-CE59-4F22-AA7D-60ACC224B71B}</author>
    <author>tc={1A7B931F-F0B2-4CD4-BBF2-657C0BD06E09}</author>
    <author>tc={3A49D7C6-A4D1-4AB5-898F-0DCC52E2DD95}</author>
    <author>tc={4724941C-96E7-44BB-AFA4-CA830F37B342}</author>
    <author>tc={EBBC7A36-3E3C-42FC-95E4-A034F550675B}</author>
    <author>tc={4E5FE8F4-8C02-42F3-ABD7-CABF041A418A}</author>
    <author>tc={818DDD78-7C53-4EE4-BF1D-98FC2542F3A9}</author>
    <author>tc={DC4AEF63-1C4B-48B6-80B2-7BAE67106A6B}</author>
    <author>tc={B4EECDD7-1420-4247-936F-56A0953F5977}</author>
    <author>tc={9DA3616A-D1BB-4182-8554-C5F5CCD372C4}</author>
    <author>tc={0516A87E-AD22-4F35-8BC3-0ADE3429CFA0}</author>
    <author>tc={24E6E15F-30A6-4EEF-B129-4D317FC3DFF2}</author>
    <author>tc={E26B2E4A-2AFA-4F5F-806F-E35A4FD3B7DA}</author>
    <author>tc={AB567019-35C9-47A9-BB54-4993FF2820D5}</author>
    <author>tc={8DE1AF78-BA14-4870-AE1B-1A2647A75B12}</author>
    <author>tc={23E9E86A-A111-45B5-A623-D10AD10ED916}</author>
    <author>tc={064CBF46-84B8-44FD-82F4-699268487FAE}</author>
    <author>tc={13C5C99D-7730-4C2D-9A4D-BB0DA7701EAA}</author>
    <author>tc={A9B36759-A1BB-4611-A0C3-D068AEDF448C}</author>
    <author>tc={7550A42D-6548-47DA-ABD7-FBEE64117C1E}</author>
    <author>tc={44BD982E-BD86-4CB5-9261-4408E4C49249}</author>
    <author>tc={D1CACC86-90A1-42D5-BDE8-8EFD8C076F69}</author>
    <author>tc={F8185D27-9765-4193-AD74-404C4C854449}</author>
    <author>tc={3BE75C3D-8276-4960-87F7-B0B2B00EFC07}</author>
    <author>tc={FF3B6BE0-C6AC-4A9E-A069-BA8B58EE7624}</author>
    <author>tc={05A350C0-FAAA-44B6-823D-6B2D9BAE56E7}</author>
    <author>tc={4631713F-AC09-4C74-A1DD-859E9263956B}</author>
    <author>tc={E5F0A052-5369-4818-8376-1A4360D5973B}</author>
    <author>tc={6B9AA279-E7B7-4151-AD60-28050F062B49}</author>
    <author>tc={8738F8B9-8685-448E-AE22-07A17426E5DF}</author>
    <author>tc={89500E29-70B8-4285-AB37-E19112026814}</author>
    <author>tc={023DD345-054B-4AD7-B34A-5635C7447470}</author>
    <author>tc={703EA7A7-0950-4F0C-9C61-10C9C24778E7}</author>
    <author>tc={00E9CAE0-122C-4823-AB0C-48D50AC598EB}</author>
    <author>tc={42751DAC-9F5C-4D4A-A7E4-DC4D564ADACA}</author>
    <author>tc={E21300A9-0CF1-4CEF-B143-05C54028C537}</author>
    <author>tc={D8F2652E-FC41-41F7-8041-CD21A08E1B51}</author>
    <author>tc={2ACD9447-3EF3-4A86-B621-2F4348B40289}</author>
    <author>tc={10A8A3BC-EF5C-4B71-8563-352401BEDE38}</author>
    <author>tc={5452A269-49BD-4373-94CE-2151DAF09AB5}</author>
    <author>tc={B0B66076-D6E5-4CDD-96EA-70C6458285CA}</author>
    <author>tc={B45E7C34-C26E-46C4-B2E0-E46EB7427D47}</author>
    <author>tc={FCB1C652-A16B-4514-AF8C-A7C2042F518F}</author>
    <author>tc={315A670B-F7C1-4F75-B1C9-197E54899CB0}</author>
    <author>tc={459ACEAE-FBF6-473B-8307-5AB8087054CC}</author>
    <author>tc={7448CDEA-E3DC-4471-9672-5D5570E34A2C}</author>
    <author>tc={E5D6E100-BF38-4D11-BFA0-700DC957111A}</author>
    <author>tc={63197088-39CE-4DB3-9E24-95BEEA4373C8}</author>
    <author>tc={65E73021-0385-4C30-BCAA-C45194694C10}</author>
    <author>tc={285FC060-E530-4D14-8F40-B04C86D06C7E}</author>
    <author>tc={C10802A9-A755-41F6-BC59-DFC4F3CD137C}</author>
    <author>tc={33BCE1C9-FA89-4AC0-A646-6DD1E45FA3CB}</author>
    <author>tc={141AF281-3829-4B97-9275-D23EEDC750B3}</author>
    <author>tc={A29BB4D3-144E-4B37-91F5-02809B261DF8}</author>
    <author>tc={96E53B46-B69E-4DD4-A6B1-51BC99FEE8BD}</author>
    <author>tc={68C28857-6E15-4424-9EEC-895245E4D3D9}</author>
    <author>tc={8AF0984F-6665-401F-85B0-B02F986E00A6}</author>
    <author>tc={29F6163A-5162-4BAE-9065-3CB3B5C5B774}</author>
    <author>tc={0A07C722-410A-4926-9CC1-4950410AE0CE}</author>
    <author>tc={AEDB60AD-D54B-4698-99F0-9A81213DE5ED}</author>
    <author>tc={E1A2D0CC-037E-4A3E-A272-0F3EA80AC915}</author>
    <author>tc={3A76B931-3FBD-4E4F-A380-29B96647987A}</author>
    <author>tc={EA5A313F-9916-4547-9814-DF703279D972}</author>
    <author>tc={3CCDC649-D1C8-4818-A932-8ECB074F2BB3}</author>
    <author>tc={CA171657-8E7A-4E9A-ABC7-ED4E2CC2CA96}</author>
    <author>tc={38E1BA9E-280E-4DBF-A613-BE563F424EBF}</author>
    <author>tc={4A6EE2E7-0707-40FD-889B-1F1C6AA938D2}</author>
    <author>tc={B46AFC9C-1F5F-43A4-BCB7-DD8090F9DF59}</author>
    <author>tc={0DE77EEF-44B1-43A3-9AD7-FB86843F525F}</author>
    <author>tc={61BBCEC0-AAEF-4DB5-866F-6943120252EC}</author>
    <author>tc={4A7F34E8-EDFA-4089-A9DF-38F89EBA4E42}</author>
    <author>tc={65E0F956-05C8-4958-A4D1-C07E369E9FB5}</author>
    <author>tc={F4A12F57-CB50-479A-8817-3776DB587D46}</author>
    <author>tc={1C7BD685-2F9E-47F5-A6FE-7EE81C9274E8}</author>
    <author>tc={175EACA0-CC3B-4014-8D3F-A010880A423B}</author>
    <author>tc={51B4E762-1D7B-4E41-B719-C42B413B5947}</author>
    <author>tc={B4E80D41-FA22-4058-822C-77839984E8EB}</author>
    <author>tc={E72D96B9-1D2D-47D5-9CBF-F41F064BD018}</author>
    <author>tc={AB066979-7447-46E9-98AD-CE44BF674F05}</author>
    <author>tc={B91A684E-9304-4AC3-AC62-54CC3F5C9322}</author>
    <author>tc={77E7C008-8EE7-407F-9AF5-54F7E4FA507F}</author>
    <author>tc={AF49F91A-2D09-48F5-ABA4-12304F04E6C9}</author>
    <author>tc={311AD978-1519-41DE-9D29-10F85FA71CC6}</author>
    <author>tc={179BC619-155E-44A7-B57A-ABDE145F2879}</author>
    <author>tc={14CF3DF6-31CB-4725-BB87-866CB484EE6C}</author>
    <author>tc={35A463BC-F6B8-45B0-B03C-0F79B25B8B55}</author>
    <author>tc={05E36344-74AD-40CD-A2F3-A7E1951C2F0B}</author>
    <author>tc={B56FA78A-7CC7-44B2-A23C-7C7B137D48A0}</author>
    <author>tc={2C123561-F4E8-4AE4-84BD-5B69FC3B4DDC}</author>
    <author>tc={16A05F0E-BF76-4A45-B52E-E40CA70D91CF}</author>
    <author>tc={CE6047FB-489F-400A-A778-78365F980BAE}</author>
    <author>tc={4ADC5538-AEC8-422D-9BEC-B775D6D9837B}</author>
    <author>tc={10B56ECE-4D1A-4071-A423-302ACC72B128}</author>
    <author>tc={F32752A0-1C3B-4DA2-96C2-7B8A8CFDB0E1}</author>
    <author>tc={589762EB-3212-46F5-B3F6-B3FCF7EA2FA9}</author>
    <author>tc={9981C2FB-4712-4028-9A37-045EAEBF17AC}</author>
    <author>tc={743C74CB-DDA9-4511-8B18-530609AA80E1}</author>
    <author>tc={0ADEE3FD-852E-4C3F-B8F6-FE733BE6F734}</author>
    <author>tc={F154F121-DC0B-4D00-AFA2-0845F0A25D72}</author>
    <author>tc={3113D789-DEAF-45B3-BE20-EB2BF4F8DA4C}</author>
    <author>tc={A24A3C98-B5B3-415E-8B6F-688B73461834}</author>
    <author>tc={FAC18862-D518-4D91-A136-1F1F8C4C5C7C}</author>
    <author>tc={63883764-36DE-46B8-AC54-D9E3C9985A94}</author>
    <author>tc={8B44C3D3-06A6-4134-B001-F18078ECAD17}</author>
    <author>tc={26ED1B2D-C242-4C50-9D15-E8EB7BCF8723}</author>
    <author>tc={84AD27D3-09F5-4C77-BFAF-03C72B37EF1F}</author>
    <author>tc={79900BC4-BA78-43B6-9C43-65C4C86CA9E2}</author>
    <author>tc={A274AABC-C24A-4D75-AD9E-34B549F58CCF}</author>
    <author>tc={49099673-10E8-49CC-BC2D-BA9C27BFE9EF}</author>
    <author>tc={C2728DB6-7146-4B65-B8A4-5564BB7E4C52}</author>
    <author>tc={D89C79D7-DE08-4A6F-96DC-2767F5E148EA}</author>
    <author>tc={AE02179A-88FC-43D5-8633-5AF2DE54FB28}</author>
    <author>tc={34F2D8C1-5B44-45BA-92E5-70309523C7ED}</author>
    <author>tc={7C37BF6B-CED9-4624-A189-1B861CE510B5}</author>
    <author>tc={2782A030-8288-4736-B77A-A57A70D30031}</author>
    <author>tc={C3B6CFC9-3705-4D76-AE7A-DAABDF125E4C}</author>
    <author>tc={99C3E4C8-5603-4589-B432-FD82B60260CB}</author>
    <author>tc={114359B8-CE69-47A6-8FE7-E8457FCF0FED}</author>
    <author>tc={990FFCA6-7486-4D23-B7DB-B988956A7C42}</author>
    <author>tc={9F1EB2C5-348B-427B-B56C-D445990FC792}</author>
    <author>tc={E67DA542-90AF-47E9-BFB1-4A4CE2E487A7}</author>
    <author>tc={7F801F1C-853A-43F6-8D0F-F903E457E1D6}</author>
    <author>tc={3F79FF41-2BD9-4929-9227-089CE70BDEFA}</author>
    <author>tc={89D09C64-89E8-447B-A5EB-4573F94DC388}</author>
    <author>tc={96955ED9-A3E0-4BEE-B656-888B377857AF}</author>
    <author>tc={464CBF0D-7977-4CBB-AC03-CD4DCCF62F9E}</author>
    <author>tc={6C52D2F2-644F-498B-9D2C-609DF3C57F82}</author>
    <author>tc={7060191D-12AD-4358-A515-87B3C29CB092}</author>
    <author>tc={24F23B8F-14F9-4B7B-A04F-F778B35D7A36}</author>
    <author>tc={7924E1D2-1A08-4EA2-BCDE-A8ECFA508B37}</author>
    <author>tc={87A35785-C006-49EB-A266-03AD2AB2363C}</author>
    <author>tc={2AA36E2C-8969-4939-8A71-53CCC0992C20}</author>
    <author>tc={D145DA17-DD85-4714-8519-3506A4C746DC}</author>
    <author>tc={2E690DF4-BD25-4F63-A29F-BC8465C4866B}</author>
    <author>tc={654ECE5A-0FFB-40D4-BEFC-73550CB24189}</author>
    <author>tc={B24BDDBA-D9F8-43F4-8B00-9DD310E075E9}</author>
    <author>tc={C61C0F79-0889-4F75-8287-9474325C342A}</author>
    <author>tc={E65C477B-C67A-4F44-9D06-C0AA4BA65DCE}</author>
    <author>tc={1B60A7A1-7879-4F08-A817-DC735E24354D}</author>
    <author>tc={47543B7D-F2F7-4A78-A251-EC956ABB607F}</author>
    <author>tc={AA9FD239-D6B7-4D73-8F91-59B6CB89F15F}</author>
    <author>tc={E12B69C7-C12B-436F-8E07-D87F40EA7560}</author>
    <author>tc={7103A711-D198-4F34-8BEC-2565D8711ED4}</author>
    <author>tc={C4D4BB20-E23B-41FC-9183-76318951E4F6}</author>
    <author>tc={18441BC0-419A-456B-893E-66B169884D7F}</author>
    <author>tc={57E4906D-8E65-4EAD-8770-B67B99CDBEFB}</author>
    <author>tc={65751C38-A729-4F61-AB18-5DF8E4CB46DE}</author>
    <author>tc={0754E234-D1F8-420C-A2C3-323D4F73AABC}</author>
    <author>tc={20DB08CB-9FB1-4060-B980-A3306A9BE897}</author>
    <author>tc={F7621670-B8F3-4901-BE81-2436DDD519E2}</author>
    <author>tc={211B9A56-3D98-47B0-8F67-66DE2C8393A4}</author>
    <author>tc={D6C7D917-AFC4-427D-9267-EC56C86A0631}</author>
    <author>tc={F223FC82-B43E-4378-B8D2-9E8C6DCCF02F}</author>
    <author>tc={BC224335-85FD-4D57-B7B5-FD0280BDC7BC}</author>
    <author>tc={A3E9A49C-A6CC-4B1C-9303-60DF8E663ACE}</author>
    <author>tc={F21CA5BA-EC28-4427-AEFB-69D04BB4D281}</author>
    <author>tc={7C2EA71C-4094-47AC-A798-1E9117A28587}</author>
    <author>tc={93425971-556F-4629-A333-138DB3289FAE}</author>
    <author>tc={747F0219-909C-4BBC-91D6-619A6461E19A}</author>
    <author>tc={5699149E-43FC-4ABE-AD72-CA74E9FEAEF5}</author>
    <author>tc={CEA4A493-679A-4EDD-9E7B-0C5B15F6D329}</author>
    <author>tc={065D1254-6DB3-43FC-8EA1-BC25D10E8D90}</author>
    <author>tc={3972B33E-08BA-4B4F-9D93-78950F91416C}</author>
    <author>tc={A1498D9F-AD18-4342-818D-7BAA5E083C06}</author>
    <author>tc={1D108F0F-5346-4E09-AC00-F4FDB523DE9A}</author>
    <author>tc={E902A892-54FA-4F01-9B6B-4DC00848D550}</author>
    <author>tc={E9750EF8-A627-4DF8-8593-62866BE9D636}</author>
    <author>tc={AECBC3AD-4D45-4015-A438-A27513AC7CB4}</author>
    <author>tc={41739647-EE2B-4950-AFD6-BA230AF9045E}</author>
    <author>tc={7BB176BB-8CB0-4B6C-8D5E-4FE389879012}</author>
    <author>tc={633ED09B-CFD9-4407-928D-0A1ECA55CFA1}</author>
    <author>tc={1120E6FC-0695-4AFC-B5EE-CAE6EFD26E42}</author>
    <author>tc={8189E509-2902-41FA-9120-FF019E2FC745}</author>
    <author>tc={82525476-0049-4019-BDB2-E3C5D4925D57}</author>
    <author>tc={47FFE7AA-9A8A-4514-A4E5-7CDD3276B1D3}</author>
    <author>tc={502A9DC3-942B-413D-A6D3-544BB7D87E36}</author>
    <author>tc={A21BC9E6-7401-4587-B1AB-4B4BB6F063AB}</author>
    <author>tc={236A34A0-4F85-433F-82D6-4FEB294D07B3}</author>
    <author>tc={ECE930FC-28F7-48FE-B09B-88AA69642729}</author>
    <author>tc={97206377-914C-46D3-8BE6-31E3B4BEE8E8}</author>
    <author>tc={74046293-FF3F-411B-BCA5-F335D85569EC}</author>
    <author>tc={9354B6B9-FA08-4757-93E6-A4CD3788DFE5}</author>
    <author>tc={B4D467F0-2262-433D-9C6C-A40E8A74E1B7}</author>
    <author>tc={867354C8-AF5E-4EFD-A98B-1AE087DFDB99}</author>
    <author>tc={7049A4D8-6772-4DD4-B938-B10F35689B15}</author>
    <author>tc={EADDC402-095B-4F81-BF19-504F1B58E1A9}</author>
    <author>tc={EE1886DB-455E-4929-9379-85DD796437DC}</author>
    <author>tc={4EDB48FC-7A81-4CA2-9021-83962FE71DF2}</author>
    <author>tc={E0B3DC3D-2B46-458D-BA64-0568B83F1FB6}</author>
    <author>tc={313AF158-C5E4-4A1B-BC6B-560D22882059}</author>
    <author>tc={9E118BF4-2F86-40A1-A0AE-7BE6A60CD4E0}</author>
    <author>tc={5FDAFA6F-0D0E-497F-8126-BC3CEFC8FCFC}</author>
    <author>tc={F998792A-2760-439F-AABA-F25A81C94ED2}</author>
    <author>tc={D3AD6D28-7FEB-444D-87A7-BD0ABC8B7331}</author>
    <author>tc={B02405BC-5419-4136-AC6E-D45E726ABB66}</author>
    <author>tc={42CF554A-CAAA-4FC5-A2B8-AA86672E3E41}</author>
    <author>tc={8997DF15-C67F-454B-ADC4-9B7892BAEE18}</author>
    <author>tc={A954FDCB-413A-4E06-98BF-DD8506F0C85F}</author>
    <author>tc={763581FD-06C8-4783-B815-FF03DB829D3C}</author>
    <author>tc={BD8A64CA-C39F-4F35-99BA-4DCCC03FF596}</author>
    <author>tc={98353CFC-56B6-40B0-AE6D-83EA5332A484}</author>
    <author>tc={FD727342-9C0B-4A58-B3B9-374A259EC088}</author>
    <author>tc={4B0BD874-238C-4CF4-B260-A273EFE45FB7}</author>
    <author>tc={424E2458-40C9-4C6D-A0D5-E67BC33C879B}</author>
    <author>tc={2C613DE7-B1D8-4A97-8EC8-F485C5311620}</author>
    <author>tc={02937FB3-F055-4B69-89C0-75132677DE1C}</author>
    <author>tc={0A2A12EE-5C97-4D5F-92A1-5AFB9505D616}</author>
    <author>tc={CE9AD8CA-85EF-44B0-97A2-4EE2F5628BDF}</author>
  </authors>
  <commentList>
    <comment ref="A31" authorId="0" shapeId="0" xr:uid="{3DEDEAA6-EC40-468E-B903-EE80D571B23B}">
      <text>
        <t xml:space="preserve">[Threaded comment]
Your version of Excel allows you to read this threaded comment; however, any edits to it will get removed if the file is opened in a newer version of Excel. Learn more: https://go.microsoft.com/fwlink/?linkid=870924
Comment:
    It will convert sunlight into electricity </t>
      </text>
    </comment>
    <comment ref="A34" authorId="1" shapeId="0" xr:uid="{3FDAE8F5-D8FC-45CA-BAD6-C84410B23F46}">
      <text>
        <t xml:space="preserve">[Threaded comment]
Your version of Excel allows you to read this threaded comment; however, any edits to it will get removed if the file is opened in a newer version of Excel. Learn more: https://go.microsoft.com/fwlink/?linkid=870924
Comment:
    It will convert the direct current (DC) electricity generated by solar panels into alternating current (AC) electricity </t>
      </text>
    </comment>
    <comment ref="A35" authorId="2" shapeId="0" xr:uid="{67141248-0FEA-4E95-9479-DA003C3626F6}">
      <text>
        <t xml:space="preserve">[Threaded comment]
Your version of Excel allows you to read this threaded comment; however, any edits to it will get removed if the file is opened in a newer version of Excel. Learn more: https://go.microsoft.com/fwlink/?linkid=870924
Comment:
    It will convert the direct current (DC) electricity generated by solar panels into alternating current (AC) electricity </t>
      </text>
    </comment>
    <comment ref="A36" authorId="3" shapeId="0" xr:uid="{2204DBD1-2AAD-4FE0-93BE-6B8310B0335C}">
      <text>
        <t xml:space="preserve">[Threaded comment]
Your version of Excel allows you to read this threaded comment; however, any edits to it will get removed if the file is opened in a newer version of Excel. Learn more: https://go.microsoft.com/fwlink/?linkid=870924
Comment:
    It will convert the direct current (DC) electricity generated by solar panels into alternating current (AC) electricity </t>
      </text>
    </comment>
    <comment ref="A37" authorId="4" shapeId="0" xr:uid="{1D4AE063-553A-46A0-9CD7-251EFC37DD93}">
      <text>
        <t xml:space="preserve">[Threaded comment]
Your version of Excel allows you to read this threaded comment; however, any edits to it will get removed if the file is opened in a newer version of Excel. Learn more: https://go.microsoft.com/fwlink/?linkid=870924
Comment:
    It will convert the direct current (DC) electricity generated by solar panels into alternating current (AC) electricity </t>
      </text>
    </comment>
    <comment ref="A38" authorId="5" shapeId="0" xr:uid="{56324FED-E9A1-48AF-A521-BBDFB6520DBA}">
      <text>
        <t xml:space="preserve">[Threaded comment]
Your version of Excel allows you to read this threaded comment; however, any edits to it will get removed if the file is opened in a newer version of Excel. Learn more: https://go.microsoft.com/fwlink/?linkid=870924
Comment:
    It will convert the direct current (DC) electricity generated by solar panels into alternating current (AC) electricity </t>
      </text>
    </comment>
    <comment ref="A39" authorId="6" shapeId="0" xr:uid="{58BCF397-6C74-46D6-8347-1AB030ACADC2}">
      <text>
        <t xml:space="preserve">[Threaded comment]
Your version of Excel allows you to read this threaded comment; however, any edits to it will get removed if the file is opened in a newer version of Excel. Learn more: https://go.microsoft.com/fwlink/?linkid=870924
Comment:
    It will convert the direct current (DC) electricity generated by solar panels into alternating current (AC) electricity </t>
      </text>
    </comment>
    <comment ref="A40" authorId="7" shapeId="0" xr:uid="{22E4D226-1CB4-404E-B24B-ED4741A3172C}">
      <text>
        <t xml:space="preserve">[Threaded comment]
Your version of Excel allows you to read this threaded comment; however, any edits to it will get removed if the file is opened in a newer version of Excel. Learn more: https://go.microsoft.com/fwlink/?linkid=870924
Comment:
    It will convert the direct current (DC) electricity generated by solar panels into alternating current (AC) electricity </t>
      </text>
    </comment>
    <comment ref="A41" authorId="8" shapeId="0" xr:uid="{F0E570BD-EC9D-4E67-B231-946885FEF512}">
      <text>
        <t xml:space="preserve">[Threaded comment]
Your version of Excel allows you to read this threaded comment; however, any edits to it will get removed if the file is opened in a newer version of Excel. Learn more: https://go.microsoft.com/fwlink/?linkid=870924
Comment:
    It will convert the direct current (DC) electricity generated by solar panels into alternating current (AC) electricity </t>
      </text>
    </comment>
    <comment ref="A42" authorId="9" shapeId="0" xr:uid="{976DD6F5-280E-4990-91A0-6D97CE83E3C1}">
      <text>
        <t xml:space="preserve">[Threaded comment]
Your version of Excel allows you to read this threaded comment; however, any edits to it will get removed if the file is opened in a newer version of Excel. Learn more: https://go.microsoft.com/fwlink/?linkid=870924
Comment:
    It will convert the direct current (DC) electricity generated by solar panels into alternating current (AC) electricity </t>
      </text>
    </comment>
    <comment ref="A43" authorId="10" shapeId="0" xr:uid="{F85C2504-ABE1-4447-828A-738D90D83AD2}">
      <text>
        <t xml:space="preserve">[Threaded comment]
Your version of Excel allows you to read this threaded comment; however, any edits to it will get removed if the file is opened in a newer version of Excel. Learn more: https://go.microsoft.com/fwlink/?linkid=870924
Comment:
    It will convert the direct current (DC) electricity generated by solar panels into alternating current (AC) electricity </t>
      </text>
    </comment>
    <comment ref="A44" authorId="11" shapeId="0" xr:uid="{C73A9553-EE68-46E8-BE8F-944B422FD4BB}">
      <text>
        <t>[Threaded comment]
Your version of Excel allows you to read this threaded comment; however, any edits to it will get removed if the file is opened in a newer version of Excel. Learn more: https://go.microsoft.com/fwlink/?linkid=870924
Comment:
    Warranty extended to 10 years</t>
      </text>
    </comment>
    <comment ref="A47" authorId="12" shapeId="0" xr:uid="{7681D097-7041-4158-BB06-763A8E71AF52}">
      <text>
        <t>[Threaded comment]
Your version of Excel allows you to read this threaded comment; however, any edits to it will get removed if the file is opened in a newer version of Excel. Learn more: https://go.microsoft.com/fwlink/?linkid=870924
Comment:
    MMS is securely supporting and positioning solar panels, ensuring they capture the maximum amount of sunlight for optimal energy generation</t>
      </text>
    </comment>
    <comment ref="A48" authorId="13" shapeId="0" xr:uid="{62CF1AE8-291C-47E2-8064-79ED234AA611}">
      <text>
        <t xml:space="preserve">[Threaded comment]
Your version of Excel allows you to read this threaded comment; however, any edits to it will get removed if the file is opened in a newer version of Excel. Learn more: https://go.microsoft.com/fwlink/?linkid=870924
Comment:
    MMS is securely supporting and positioning solar panels, ensuring they capture the maximum amount of sunlight for optimal energy generation </t>
      </text>
    </comment>
    <comment ref="A49" authorId="14" shapeId="0" xr:uid="{C6DAEBA6-2572-4531-A237-191F950713A8}">
      <text>
        <t xml:space="preserve">[Threaded comment]
Your version of Excel allows you to read this threaded comment; however, any edits to it will get removed if the file is opened in a newer version of Excel. Learn more: https://go.microsoft.com/fwlink/?linkid=870924
Comment:
    End clamps secure the ends of the solar panel array to the mounting rails, preventing them from sliding or shifting. Mid clamps, on the other hand, are used to secure adjacent panels to each other along the mounting rails, maintaining proper spacing and stability.  </t>
      </text>
    </comment>
    <comment ref="A50" authorId="15" shapeId="0" xr:uid="{E60C9FCA-ACEE-4C98-9869-AE9D5A821AB1}">
      <text>
        <t>[Threaded comment]
Your version of Excel allows you to read this threaded comment; however, any edits to it will get removed if the file is opened in a newer version of Excel. Learn more: https://go.microsoft.com/fwlink/?linkid=870924
Comment:
    MMS is securely supporting and positioning solar panels, ensuring they capture the maximum amount of sunlight for optimal energy generation</t>
      </text>
    </comment>
    <comment ref="A51" authorId="16" shapeId="0" xr:uid="{01D81352-77EA-4B4B-8AB2-ED505FD63787}">
      <text>
        <t xml:space="preserve">[Threaded comment]
Your version of Excel allows you to read this threaded comment; however, any edits to it will get removed if the file is opened in a newer version of Excel. Learn more: https://go.microsoft.com/fwlink/?linkid=870924
Comment:
    RCC mounted solar structures, also known as RCC roof mounts, are mounting systems that use reinforced cement concrete to securely support solar panels on rooftops. They are a popular choice for installations on buildings with flat RCC roofs, especially in commercial and industrial settings </t>
      </text>
    </comment>
    <comment ref="A52" authorId="17" shapeId="0" xr:uid="{7291221C-89C1-42DF-A271-A1CF8DDD9248}">
      <text>
        <t xml:space="preserve">[Threaded comment]
Your version of Excel allows you to read this threaded comment; however, any edits to it will get removed if the file is opened in a newer version of Excel. Learn more: https://go.microsoft.com/fwlink/?linkid=870924
Comment:
    RCC raised mounted solar structures are a type of elevated solar panel installation, where the solar panels are mounted on a Reinforced Cement Concrete structure built above a flat RCC roof. </t>
      </text>
    </comment>
    <comment ref="A53" authorId="18" shapeId="0" xr:uid="{F4D12F2B-FEB1-4963-ADFE-65FE366E1393}">
      <text>
        <t xml:space="preserve">[Threaded comment]
Your version of Excel allows you to read this threaded comment; however, any edits to it will get removed if the file is opened in a newer version of Excel. Learn more: https://go.microsoft.com/fwlink/?linkid=870924
Comment:
    RCC raised mounted solar structures are a type of elevated solar panel installation, where the solar panels are mounted on a Reinforced Cement Concrete structure built above a flat RCC roof. </t>
      </text>
    </comment>
    <comment ref="A54" authorId="19" shapeId="0" xr:uid="{D7FFE3A5-B02C-463E-8CC4-9BC8839D8519}">
      <text>
        <t xml:space="preserve">[Threaded comment]
Your version of Excel allows you to read this threaded comment; however, any edits to it will get removed if the file is opened in a newer version of Excel. Learn more: https://go.microsoft.com/fwlink/?linkid=870924
Comment:
    Ground-mounted solar structures are frameworks that hold solar panels securely on the ground, in contrast to rooftop or carport installations. These structures are crucial for ground-based solar installations, ensuring stability and optimal positioning for maximizing sunlight exposure. They are a popular choice for both residential and commercial projects, especially for those with large plots of land or challenging roof spaces </t>
      </text>
    </comment>
    <comment ref="A55" authorId="20" shapeId="0" xr:uid="{854046ED-DCC6-4B98-A37F-B07791D7F9E3}">
      <text>
        <t xml:space="preserve">[Threaded comment]
Your version of Excel allows you to read this threaded comment; however, any edits to it will get removed if the file is opened in a newer version of Excel. Learn more: https://go.microsoft.com/fwlink/?linkid=870924
Comment:
    Solar car parking structures, also known as solar carports, are innovative solutions that integrate solar panels into the design of car parking facilities, providing shade and generating clean electricity. These structures offer a wide array of benefits, both environmental and financial </t>
      </text>
    </comment>
    <comment ref="A56" authorId="21" shapeId="0" xr:uid="{65F78B85-790B-4DDA-BF28-6C6FB5C0221D}">
      <text>
        <t xml:space="preserve">[Threaded comment]
Your version of Excel allows you to read this threaded comment; however, any edits to it will get removed if the file is opened in a newer version of Excel. Learn more: https://go.microsoft.com/fwlink/?linkid=870924
Comment:
    Solar car parking structures, also known as solar carports, are innovative solutions that integrate solar panels into the design of car parking facilities, providing shade and generating clean electricity. These structures offer a wide array of benefits, both environmental and financial </t>
      </text>
    </comment>
    <comment ref="A57" authorId="22" shapeId="0" xr:uid="{4CA3B31B-620A-4647-852D-4C2D8E96F1CF}">
      <text>
        <t xml:space="preserve">[Threaded comment]
Your version of Excel allows you to read this threaded comment; however, any edits to it will get removed if the file is opened in a newer version of Excel. Learn more: https://go.microsoft.com/fwlink/?linkid=870924
Comment:
    Floating mounted solar structures, also known as floating photovoltaic (FPV) systems or floatovoltaics, represent an innovative approach to solar energy generation, deploying solar panels on the surface of water bodies such as lakes, reservoirs, and industrial ponds. This technology offers a compelling solution, especially in areas where land availability is scarce or expensive, combining energy production with water management benefits. </t>
      </text>
    </comment>
    <comment ref="A58" authorId="23" shapeId="0" xr:uid="{35F5386A-DC08-48D0-B817-966BD1991443}">
      <text>
        <t xml:space="preserve">[Threaded comment]
Your version of Excel allows you to read this threaded comment; however, any edits to it will get removed if the file is opened in a newer version of Excel. Learn more: https://go.microsoft.com/fwlink/?linkid=870924
Comment:
    Beyond the solar panels themselves, a crucial element of any solar power system is the hardware that secures and supports the panels. This "hardware," often referred to as the Module Mounting Structure (MMS) or racking system, comprises various components designed to ensure the stability, longevity, and optimal performance of the solar array.  </t>
      </text>
    </comment>
    <comment ref="A61" authorId="24" shapeId="0" xr:uid="{3E3A563F-C7AB-4BF3-A351-617BFB315654}">
      <text>
        <t xml:space="preserve">[Threaded comment]
Your version of Excel allows you to read this threaded comment; however, any edits to it will get removed if the file is opened in a newer version of Excel. Learn more: https://go.microsoft.com/fwlink/?linkid=870924
Comment:
    In solar photovoltaic (PV) systems, the Direct Current Distribution Box (DCDB) plays a crucial role in safely managing and distributing the DC power generated by the solar panels to the inverter. A key aspect of a well-designed DCDB is the inclusion of essential safety components like fuses and a Surge Protection Device (SPD). These elements work in tandem to protect the system from potential damage and ensure safe operation </t>
      </text>
    </comment>
    <comment ref="A62" authorId="25" shapeId="0" xr:uid="{5F56B94F-BDD8-4A4F-9B7E-1BEE90D7943E}">
      <text>
        <t xml:space="preserve">[Threaded comment]
Your version of Excel allows you to read this threaded comment; however, any edits to it will get removed if the file is opened in a newer version of Excel. Learn more: https://go.microsoft.com/fwlink/?linkid=870924
Comment:
    An ACDB with Breaker &amp; SPD is an Alternating Current Distribution Box, a safety enclosure for solar or grid power, containing Miniature Circuit Breakers (MCBs) to protect against overloads and Surge Protection Devices (SPDs) to divert excess voltage from lightning or grid issues, ensuring safe power flow from the inverter to your home's electrical system </t>
      </text>
    </comment>
    <comment ref="A63" authorId="26" shapeId="0" xr:uid="{5FD7690C-DFC7-4B2A-AB8C-17464DEB048D}">
      <text>
        <t xml:space="preserve">[Threaded comment]
Your version of Excel allows you to read this threaded comment; however, any edits to it will get removed if the file is opened in a newer version of Excel. Learn more: https://go.microsoft.com/fwlink/?linkid=870924
Comment:
    Optimizers utilize Maximum Power Point Tracking (MPPT) technology at the individual panel level. This means they constantly monitor the voltage and current of each panel, adjusting its electrical characteristics to ensure it operates at its peak power output, regardless of the performance of other panels in the array. </t>
      </text>
    </comment>
    <comment ref="A64" authorId="27" shapeId="0" xr:uid="{35B2617D-9A04-4D70-B119-E0946AFBABB5}">
      <text>
        <t xml:space="preserve">[Threaded comment]
Your version of Excel allows you to read this threaded comment; however, any edits to it will get removed if the file is opened in a newer version of Excel. Learn more: https://go.microsoft.com/fwlink/?linkid=870924
Comment:
    DC (Direct Current) fuses are specialized safety devices designed to protect solar photovoltaic (PV) systems, and other DC electrical circuits from damage caused by over currents and short circuits. These fuses are crucial for ensuring the safety and longevity of solar installations. </t>
      </text>
    </comment>
    <comment ref="A65" authorId="28" shapeId="0" xr:uid="{31628424-3A30-442C-A963-A9377BCFB291}">
      <text>
        <t>[Threaded comment]
Your version of Excel allows you to read this threaded comment; however, any edits to it will get removed if the file is opened in a newer version of Excel. Learn more: https://go.microsoft.com/fwlink/?linkid=870924
Comment:
    Used for convert the cu. Cable into Al cable without a breaker</t>
      </text>
    </comment>
    <comment ref="A68" authorId="29" shapeId="0" xr:uid="{37EA6A96-204F-4FF3-BC0E-9C791F8BF0BE}">
      <text>
        <t xml:space="preserve">[Threaded comment]
Your version of Excel allows you to read this threaded comment; however, any edits to it will get removed if the file is opened in a newer version of Excel. Learn more: https://go.microsoft.com/fwlink/?linkid=870924
Comment:
    "spare feeder extension" within an AC Distribution Box (ACDB) refers to the provision of extra space, terminals, and potentially even pre-installed but unutilized circuit breakers or switches within the ACDB, allowing for the future expansion or modification of the AC power distribution system.  </t>
      </text>
    </comment>
    <comment ref="A69" authorId="30" shapeId="0" xr:uid="{F74B865B-9F04-4D25-9431-995810EA10D3}">
      <text>
        <t>[Threaded comment]
Your version of Excel allows you to read this threaded comment; however, any edits to it will get removed if the file is opened in a newer version of Excel. Learn more: https://go.microsoft.com/fwlink/?linkid=870924
Comment:
    To combine the multiple inverters input into single out ( all the input &amp; out having dedicated breakers)</t>
      </text>
    </comment>
    <comment ref="A70" authorId="31" shapeId="0" xr:uid="{DC94F34C-75D6-4D58-9E39-0DEAC8387AE0}">
      <text>
        <t xml:space="preserve">[Threaded comment]
Your version of Excel allows you to read this threaded comment; however, any edits to it will get removed if the file is opened in a newer version of Excel. Learn more: https://go.microsoft.com/fwlink/?linkid=870924
Comment:
    An UVR is a safety device designed to trip a circuit breaker automatically when the voltage in the circuit drops below a predetermined safe level. This is critical for protecting equipment from damage that can occur due to low voltage conditions. </t>
      </text>
    </comment>
    <comment ref="A71" authorId="32" shapeId="0" xr:uid="{C50CB0DC-095A-4C7F-ACF3-0416989E4DEB}">
      <text>
        <t>[Threaded comment]
Your version of Excel allows you to read this threaded comment; however, any edits to it will get removed if the file is opened in a newer version of Excel. Learn more: https://go.microsoft.com/fwlink/?linkid=870924
Comment:
    A contactor panel is an electrical control box housing heavy-duty, electrically operated switches (contactors) that safely control solar ACCB Panel</t>
      </text>
    </comment>
    <comment ref="A72" authorId="33" shapeId="0" xr:uid="{C8613979-DFD9-486E-8F1F-D87AE2E5CE81}">
      <text>
        <t xml:space="preserve">[Threaded comment]
Your version of Excel allows you to read this threaded comment; however, any edits to it will get removed if the file is opened in a newer version of Excel. Learn more: https://go.microsoft.com/fwlink/?linkid=870924
Comment:
    An isolation panel essentially houses one or more isolator switches, which are manually operated mechanical switches designed to create a visible break in an electrical circuit, ensuring that no power passes through it. This physical separation is vital for protecting individuals and equipment during work on the system. </t>
      </text>
    </comment>
    <comment ref="A75" authorId="34" shapeId="0" xr:uid="{69915C89-879B-453B-AC2A-79C7756E8045}">
      <text>
        <t>[Threaded comment]
Your version of Excel allows you to read this threaded comment; however, any edits to it will get removed if the file is opened in a newer version of Excel. Learn more: https://go.microsoft.com/fwlink/?linkid=870924
Comment:
    Transmit direct current (DC) electricity within a solar power system, specifically connecting solar panels to Inverters</t>
      </text>
    </comment>
    <comment ref="A76" authorId="35" shapeId="0" xr:uid="{B897670C-2F29-4544-B2FB-570B1B9E2B18}">
      <text>
        <t>[Threaded comment]
Your version of Excel allows you to read this threaded comment; however, any edits to it will get removed if the file is opened in a newer version of Excel. Learn more: https://go.microsoft.com/fwlink/?linkid=870924
Comment:
    Transmit direct current (DC) electricity within a solar power system, specifically connecting solar panels to Inverters</t>
      </text>
    </comment>
    <comment ref="A79" authorId="36" shapeId="0" xr:uid="{E7BE89CE-ED58-44EE-9713-E62642B40FDD}">
      <text>
        <t>[Threaded comment]
Your version of Excel allows you to read this threaded comment; however, any edits to it will get removed if the file is opened in a newer version of Excel. Learn more: https://go.microsoft.com/fwlink/?linkid=870924
Comment:
    Cable used for inverter to ACJB box. We can’t use AL cable to the small inverters so we are using cu. Cable for short distance then it will convert into AL cable.</t>
      </text>
    </comment>
    <comment ref="A80" authorId="37" shapeId="0" xr:uid="{E2C0AF5B-B842-401D-BB8A-BCFB851D7E52}">
      <text>
        <t>[Threaded comment]
Your version of Excel allows you to read this threaded comment; however, any edits to it will get removed if the file is opened in a newer version of Excel. Learn more: https://go.microsoft.com/fwlink/?linkid=870924
Comment:
    Cable used for inverter to ACJB box. We can’t use AL cable to the small inverters so we are using cu. Cable for short distance then it will convert into AL cable.</t>
      </text>
    </comment>
    <comment ref="A83" authorId="38" shapeId="0" xr:uid="{90E34BB8-0DE7-49C7-8CC1-E4C6C8978D11}">
      <text>
        <t>[Threaded comment]
Your version of Excel allows you to read this threaded comment; however, any edits to it will get removed if the file is opened in a newer version of Excel. Learn more: https://go.microsoft.com/fwlink/?linkid=870924
Comment:
    Cable used from Inverter to ACCB Panel it having insulation material is XLPE</t>
      </text>
    </comment>
    <comment ref="A84" authorId="39" shapeId="0" xr:uid="{0535D744-9F3D-45A2-901B-7DC104D3D058}">
      <text>
        <t>[Threaded comment]
Your version of Excel allows you to read this threaded comment; however, any edits to it will get removed if the file is opened in a newer version of Excel. Learn more: https://go.microsoft.com/fwlink/?linkid=870924
Comment:
    Cable used from Inverter to ACCB Panel it having insulation material is XLPE</t>
      </text>
    </comment>
    <comment ref="A85" authorId="40" shapeId="0" xr:uid="{3E5D7022-3737-4981-BAFD-912207D7AE07}">
      <text>
        <t>[Threaded comment]
Your version of Excel allows you to read this threaded comment; however, any edits to it will get removed if the file is opened in a newer version of Excel. Learn more: https://go.microsoft.com/fwlink/?linkid=870924
Comment:
    Cable used from Inverter to ACCB Panel it having insulation material is XLPE</t>
      </text>
    </comment>
    <comment ref="A86" authorId="41" shapeId="0" xr:uid="{3CA45C2D-76CA-4E67-BF12-539E6D803AE7}">
      <text>
        <t>[Threaded comment]
Your version of Excel allows you to read this threaded comment; however, any edits to it will get removed if the file is opened in a newer version of Excel. Learn more: https://go.microsoft.com/fwlink/?linkid=870924
Comment:
    Cable used from Inverter to ACCB Panel it having insulation material is XLPE</t>
      </text>
    </comment>
    <comment ref="A87" authorId="42" shapeId="0" xr:uid="{DE102F09-3DA0-4A39-A8E3-AE0224F11F79}">
      <text>
        <t>[Threaded comment]
Your version of Excel allows you to read this threaded comment; however, any edits to it will get removed if the file is opened in a newer version of Excel. Learn more: https://go.microsoft.com/fwlink/?linkid=870924
Comment:
    Cable used from Inverter to ACCB Panel it having insulation material is XLPE</t>
      </text>
    </comment>
    <comment ref="A88" authorId="43" shapeId="0" xr:uid="{D140ADA6-CDDB-4F71-80C2-8431E134453C}">
      <text>
        <t>[Threaded comment]
Your version of Excel allows you to read this threaded comment; however, any edits to it will get removed if the file is opened in a newer version of Excel. Learn more: https://go.microsoft.com/fwlink/?linkid=870924
Comment:
    Cable used from Inverter to ACCB Panel it having insulation material is XLPE</t>
      </text>
    </comment>
    <comment ref="A89" authorId="44" shapeId="0" xr:uid="{8458DD98-6B74-4A22-B761-D435B307A0DE}">
      <text>
        <t>[Threaded comment]
Your version of Excel allows you to read this threaded comment; however, any edits to it will get removed if the file is opened in a newer version of Excel. Learn more: https://go.microsoft.com/fwlink/?linkid=870924
Comment:
    Cable used from Inverter to ACCB Panel it having insulation material is XLPE</t>
      </text>
    </comment>
    <comment ref="A90" authorId="45" shapeId="0" xr:uid="{A3A7A863-0482-4268-A585-CC0A632D90E7}">
      <text>
        <t>[Threaded comment]
Your version of Excel allows you to read this threaded comment; however, any edits to it will get removed if the file is opened in a newer version of Excel. Learn more: https://go.microsoft.com/fwlink/?linkid=870924
Comment:
    Cable used from Inverter to ACCB Panel it having insulation material is XLPE</t>
      </text>
    </comment>
    <comment ref="A91" authorId="46" shapeId="0" xr:uid="{02464A8C-EC35-4592-8F5A-00BEF8C661A2}">
      <text>
        <t>[Threaded comment]
Your version of Excel allows you to read this threaded comment; however, any edits to it will get removed if the file is opened in a newer version of Excel. Learn more: https://go.microsoft.com/fwlink/?linkid=870924
Comment:
    Cable used from Inverter to ACCB Panel it having insulation material is XLPE</t>
      </text>
    </comment>
    <comment ref="A92" authorId="47" shapeId="0" xr:uid="{9B8E3345-5509-4A4A-93D5-A597ECB42F5E}">
      <text>
        <t>[Threaded comment]
Your version of Excel allows you to read this threaded comment; however, any edits to it will get removed if the file is opened in a newer version of Excel. Learn more: https://go.microsoft.com/fwlink/?linkid=870924
Comment:
    Cable used from Inverter to ACCB Panel it having insulation material is XLPE</t>
      </text>
    </comment>
    <comment ref="A93" authorId="48" shapeId="0" xr:uid="{B71E93F9-4F8B-4907-ADC5-053050350796}">
      <text>
        <t>[Threaded comment]
Your version of Excel allows you to read this threaded comment; however, any edits to it will get removed if the file is opened in a newer version of Excel. Learn more: https://go.microsoft.com/fwlink/?linkid=870924
Comment:
    Cable used from Inverter to ACCB Panel it having insulation material is XLPE</t>
      </text>
    </comment>
    <comment ref="A96" authorId="49" shapeId="0" xr:uid="{CC960461-73C3-4E64-81EF-0BF0BF4E9973}">
      <text>
        <t>[Threaded comment]
Your version of Excel allows you to read this threaded comment; however, any edits to it will get removed if the file is opened in a newer version of Excel. Learn more: https://go.microsoft.com/fwlink/?linkid=870924
Comment:
    Cable used for Solar ACCB Panel to Client termination cable having XLPE protection.</t>
      </text>
    </comment>
    <comment ref="A97" authorId="50" shapeId="0" xr:uid="{693E1961-872D-405F-91B3-2FA0E01AB7E7}">
      <text>
        <t>[Threaded comment]
Your version of Excel allows you to read this threaded comment; however, any edits to it will get removed if the file is opened in a newer version of Excel. Learn more: https://go.microsoft.com/fwlink/?linkid=870924
Comment:
    Cable used for Solar ACCB Panel to Client termination cable having XLPE protection.</t>
      </text>
    </comment>
    <comment ref="A98" authorId="51" shapeId="0" xr:uid="{D0569A18-F6E2-4DB7-AF5B-F4EEA8BF1992}">
      <text>
        <t>[Threaded comment]
Your version of Excel allows you to read this threaded comment; however, any edits to it will get removed if the file is opened in a newer version of Excel. Learn more: https://go.microsoft.com/fwlink/?linkid=870924
Comment:
    Cable used for Solar ACCB Panel to Client termination cable having XLPE protection.</t>
      </text>
    </comment>
    <comment ref="A99" authorId="52" shapeId="0" xr:uid="{5169D907-14B2-4910-959A-AC2ADDA11191}">
      <text>
        <t>[Threaded comment]
Your version of Excel allows you to read this threaded comment; however, any edits to it will get removed if the file is opened in a newer version of Excel. Learn more: https://go.microsoft.com/fwlink/?linkid=870924
Comment:
    Cable used for Solar ACCB Panel to Client termination cable having XLPE protection.</t>
      </text>
    </comment>
    <comment ref="A100" authorId="53" shapeId="0" xr:uid="{9EE03152-02B7-410D-AB39-1B5FD72C224F}">
      <text>
        <t>[Threaded comment]
Your version of Excel allows you to read this threaded comment; however, any edits to it will get removed if the file is opened in a newer version of Excel. Learn more: https://go.microsoft.com/fwlink/?linkid=870924
Comment:
    Cable used for Solar ACCB Panel to Client termination cable having XLPE protection.</t>
      </text>
    </comment>
    <comment ref="A101" authorId="54" shapeId="0" xr:uid="{2924A1AE-88EB-4EE7-85CC-5C0B7E3819EA}">
      <text>
        <t>[Threaded comment]
Your version of Excel allows you to read this threaded comment; however, any edits to it will get removed if the file is opened in a newer version of Excel. Learn more: https://go.microsoft.com/fwlink/?linkid=870924
Comment:
    Cable used for Solar ACCB Panel to Client termination cable having XLPE protection.</t>
      </text>
    </comment>
    <comment ref="A102" authorId="55" shapeId="0" xr:uid="{B90653A0-2BA2-4C26-AD6C-414CF4C8BEF5}">
      <text>
        <t>[Threaded comment]
Your version of Excel allows you to read this threaded comment; however, any edits to it will get removed if the file is opened in a newer version of Excel. Learn more: https://go.microsoft.com/fwlink/?linkid=870924
Comment:
    Cable used for Solar ACCB Panel to Client termination cable having XLPE protection.</t>
      </text>
    </comment>
    <comment ref="A103" authorId="56" shapeId="0" xr:uid="{B0D62563-E5D1-4A64-90CD-84B1A3A4B212}">
      <text>
        <t>[Threaded comment]
Your version of Excel allows you to read this threaded comment; however, any edits to it will get removed if the file is opened in a newer version of Excel. Learn more: https://go.microsoft.com/fwlink/?linkid=870924
Comment:
    Cable used for Solar ACCB Panel to Client termination cable having XLPE protection.</t>
      </text>
    </comment>
    <comment ref="A104" authorId="57" shapeId="0" xr:uid="{DA9C7FA7-689E-4736-8D62-A82FA5E7D058}">
      <text>
        <t>[Threaded comment]
Your version of Excel allows you to read this threaded comment; however, any edits to it will get removed if the file is opened in a newer version of Excel. Learn more: https://go.microsoft.com/fwlink/?linkid=870924
Comment:
    Cable used for Solar ACCB Panel to Client termination cable having XLPE protection.</t>
      </text>
    </comment>
    <comment ref="A105" authorId="58" shapeId="0" xr:uid="{ECEBDA59-A8BA-4F9E-A9B1-6AA2367FBE20}">
      <text>
        <t>[Threaded comment]
Your version of Excel allows you to read this threaded comment; however, any edits to it will get removed if the file is opened in a newer version of Excel. Learn more: https://go.microsoft.com/fwlink/?linkid=870924
Comment:
    Cable used for Solar ACCB Panel to Client termination cable having XLPE protection.</t>
      </text>
    </comment>
    <comment ref="A106" authorId="59" shapeId="0" xr:uid="{64BF4606-A75A-4085-B59B-125179543450}">
      <text>
        <t>[Threaded comment]
Your version of Excel allows you to read this threaded comment; however, any edits to it will get removed if the file is opened in a newer version of Excel. Learn more: https://go.microsoft.com/fwlink/?linkid=870924
Comment:
    Cable used for Solar ACCB Panel to Client termination cable having XLPE protection.</t>
      </text>
    </comment>
    <comment ref="A109" authorId="60" shapeId="0" xr:uid="{06A2DCFE-20D2-460B-9C46-4CDC1AE2E797}">
      <text>
        <t xml:space="preserve">[Threaded comment]
Your version of Excel allows you to read this threaded comment; however, any edits to it will get removed if the file is opened in a newer version of Excel. Learn more: https://go.microsoft.com/fwlink/?linkid=870924
Comment:
    Module frame earthing, also known as array earthing or grounding, is a critical safety and performance measure in solar PV systems. It involves securely connecting the metallic frames of the solar panels and their mounting structures to the overall earthing system of the solar installation. 
</t>
      </text>
    </comment>
    <comment ref="A110" authorId="61" shapeId="0" xr:uid="{AE00ED10-6725-4831-889D-68413FFF0FC5}">
      <text>
        <t xml:space="preserve">[Threaded comment]
Your version of Excel allows you to read this threaded comment; however, any edits to it will get removed if the file is opened in a newer version of Excel. Learn more: https://go.microsoft.com/fwlink/?linkid=870924
Comment:
    Ensuring the inverter is properly earthed or grounded is paramount for safety and system protection. The inverter earthing cable is the dedicated conductor that connects the metallic chassis of the inverter to the main earthing system of the installation. </t>
      </text>
    </comment>
    <comment ref="A111" authorId="62" shapeId="0" xr:uid="{38A35F67-969A-4C90-9649-74E59247CA9E}">
      <text>
        <t xml:space="preserve">[Threaded comment]
Your version of Excel allows you to read this threaded comment; however, any edits to it will get removed if the file is opened in a newer version of Excel. Learn more: https://go.microsoft.com/fwlink/?linkid=870924
Comment:
    Ensuring the inverter is properly earthed or grounded is paramount for safety and system protection. The inverter earthing cable is the dedicated conductor that connects the metallic chassis of the inverter to the main earthing system of the installation. </t>
      </text>
    </comment>
    <comment ref="A112" authorId="63" shapeId="0" xr:uid="{792203E3-0DD4-4680-A493-23FEB59C78C1}">
      <text>
        <t xml:space="preserve">[Threaded comment]
Your version of Excel allows you to read this threaded comment; however, any edits to it will get removed if the file is opened in a newer version of Excel. Learn more: https://go.microsoft.com/fwlink/?linkid=870924
Comment:
    Ensuring the inverter is properly earthed or grounded is paramount for safety and system protection. The inverter earthing cable is the dedicated conductor that connects the metallic chassis of the inverter to the main earthing system of the installation. </t>
      </text>
    </comment>
    <comment ref="A113" authorId="64" shapeId="0" xr:uid="{70ED7E53-5B21-4923-A08F-144AB4A9BB05}">
      <text>
        <t xml:space="preserve">[Threaded comment]
Your version of Excel allows you to read this threaded comment; however, any edits to it will get removed if the file is opened in a newer version of Excel. Learn more: https://go.microsoft.com/fwlink/?linkid=870924
Comment:
    Ensuring the inverter is properly earthed or grounded is paramount for safety and system protection. The inverter earthing cable is the dedicated conductor that connects the metallic chassis of the inverter to the main earthing system of the installation. </t>
      </text>
    </comment>
    <comment ref="A114" authorId="65" shapeId="0" xr:uid="{31BBF793-78DA-4B24-BF38-2D93A81C148B}">
      <text>
        <t xml:space="preserve">[Threaded comment]
Your version of Excel allows you to read this threaded comment; however, any edits to it will get removed if the file is opened in a newer version of Excel. Learn more: https://go.microsoft.com/fwlink/?linkid=870924
Comment:
    Ensuring the inverter is properly earthed or grounded is paramount for safety and system protection. The inverter earthing cable is the dedicated conductor that connects the metallic chassis of the inverter to the main earthing system of the installation. </t>
      </text>
    </comment>
    <comment ref="A115" authorId="66" shapeId="0" xr:uid="{15A525BD-0061-45B2-9C1A-4AFA609F98BB}">
      <text>
        <t>[Threaded comment]
Your version of Excel allows you to read this threaded comment; however, any edits to it will get removed if the file is opened in a newer version of Excel. Learn more: https://go.microsoft.com/fwlink/?linkid=870924
Comment:
    Cable used for DGPD &amp; ZFD control and power supply.</t>
      </text>
    </comment>
    <comment ref="A116" authorId="67" shapeId="0" xr:uid="{3F8724EF-6354-4320-B38C-5E40B76917DF}">
      <text>
        <t>[Threaded comment]
Your version of Excel allows you to read this threaded comment; however, any edits to it will get removed if the file is opened in a newer version of Excel. Learn more: https://go.microsoft.com/fwlink/?linkid=870924
Comment:
    Used for power supply to the water pump single phase supply</t>
      </text>
    </comment>
    <comment ref="A117" authorId="68" shapeId="0" xr:uid="{5142F52B-EFAA-4557-AAFA-71E7927387B3}">
      <text>
        <t>[Threaded comment]
Your version of Excel allows you to read this threaded comment; however, any edits to it will get removed if the file is opened in a newer version of Excel. Learn more: https://go.microsoft.com/fwlink/?linkid=870924
Comment:
    Used for power supply to the water pump for three phase supply</t>
      </text>
    </comment>
    <comment ref="A118" authorId="69" shapeId="0" xr:uid="{DBFD6E7F-6AA1-4FEE-81DC-47DF5D613620}">
      <text>
        <t>[Threaded comment]
Your version of Excel allows you to read this threaded comment; however, any edits to it will get removed if the file is opened in a newer version of Excel. Learn more: https://go.microsoft.com/fwlink/?linkid=870924
Comment:
    Used for take a communication signal from inverter to RMS device</t>
      </text>
    </comment>
    <comment ref="A119" authorId="70" shapeId="0" xr:uid="{7502BC86-D7D7-4B79-8BAC-526FAEFCC752}">
      <text>
        <t>[Threaded comment]
Your version of Excel allows you to read this threaded comment; however, any edits to it will get removed if the file is opened in a newer version of Excel. Learn more: https://go.microsoft.com/fwlink/?linkid=870924
Comment:
    Used for take a communication signal from inverter to RMS device</t>
      </text>
    </comment>
    <comment ref="A120" authorId="71" shapeId="0" xr:uid="{6889EB8C-D3F8-41F2-B1DF-FE10A3C3A9F9}">
      <text>
        <t>[Threaded comment]
Your version of Excel allows you to read this threaded comment; however, any edits to it will get removed if the file is opened in a newer version of Excel. Learn more: https://go.microsoft.com/fwlink/?linkid=870924
Comment:
    Used for Periphery lighting system power supply cable.</t>
      </text>
    </comment>
    <comment ref="A123" authorId="72" shapeId="0" xr:uid="{333DEEAC-8AA9-4116-8027-E4A1C76D331D}">
      <text>
        <t xml:space="preserve">[Threaded comment]
Your version of Excel allows you to read this threaded comment; however, any edits to it will get removed if the file is opened in a newer version of Excel. Learn more: https://go.microsoft.com/fwlink/?linkid=870924
Comment:
    Early Streamer Emission (ESE) lightning arresters represent an advanced form of lightning protection system that aims to proactively intercept lightning strikes before they can reach a protected structure  &amp;  This ionization process creates a path of highly conductive, ionized air, which functions as an "early streamer" that extends upward from the ESE arrester towards the downward leader of an approaching lightning strike. 
</t>
      </text>
    </comment>
    <comment ref="A124" authorId="73" shapeId="0" xr:uid="{E60CD07C-D777-40B0-906C-DAC6A41A60C1}">
      <text>
        <t xml:space="preserve">[Threaded comment]
Your version of Excel allows you to read this threaded comment; however, any edits to it will get removed if the file is opened in a newer version of Excel. Learn more: https://go.microsoft.com/fwlink/?linkid=870924
Comment:
    In the context of lightning protection, an "Air Terminal," also commonly known as a lightning rod, is the initial point of contact for a lightning strike within an external lightning protection system. It is designed to intercept lightning strikes before they can directly hit and potentially damage a structure, such as a building or a solar installation.  
</t>
      </text>
    </comment>
    <comment ref="A125" authorId="74" shapeId="0" xr:uid="{563C1D3E-E6BF-49AF-A029-8138B46ADB5A}">
      <text>
        <t>[Threaded comment]
Your version of Excel allows you to read this threaded comment; however, any edits to it will get removed if the file is opened in a newer version of Excel. Learn more: https://go.microsoft.com/fwlink/?linkid=870924
Comment:
    Utilizing a 3-meter GI (Galvanized Iron) chemical earthing electrode is a common and effective practice for grounding solar panel installations, particularly rooftop systems &amp; ground mounted</t>
      </text>
    </comment>
    <comment ref="A126" authorId="75" shapeId="0" xr:uid="{3534EEF9-82B2-4842-B285-DFB6E32C9C09}">
      <text>
        <t xml:space="preserve">[Threaded comment]
Your version of Excel allows you to read this threaded comment; however, any edits to it will get removed if the file is opened in a newer version of Excel. Learn more: https://go.microsoft.com/fwlink/?linkid=870924
Comment:
    It's designed to protect the earthing connection, facilitate maintenance and testing, and ensure the overall safety and integrity of the electrical installation </t>
      </text>
    </comment>
    <comment ref="A127" authorId="76" shapeId="0" xr:uid="{264413A6-36DB-4E78-8E45-10EA49B706F9}">
      <text>
        <t>[Threaded comment]
Your version of Excel allows you to read this threaded comment; however, any edits to it will get removed if the file is opened in a newer version of Excel. Learn more: https://go.microsoft.com/fwlink/?linkid=870924
Comment:
    Bentonite powder, commonly packaged in 25 kg bags, is a highly effective and widely used backfill material in earthing or grounding systems, especially in areas with high soil resistivity. Its unique properties make it an ideal choice for enhancing the conductivity of the surrounding soil, ensuring a low-resistance path for fault currents and voltage surges to safely dissipate into the ground</t>
      </text>
    </comment>
    <comment ref="A128" authorId="77" shapeId="0" xr:uid="{FCA87E1B-A525-4DFA-A593-77B3257A785E}">
      <text>
        <t xml:space="preserve">[Threaded comment]
Your version of Excel allows you to read this threaded comment; however, any edits to it will get removed if the file is opened in a newer version of Excel. Learn more: https://go.microsoft.com/fwlink/?linkid=870924
Comment:
    GI (Galvanized Iron) earthing strips are flat conductors used in earthing or grounding systems. They are made from steel strips that have been hot-dip galvanized, meaning they are coated with a layer of zinc. This zinc coating provides corrosion resistance, making the strips more durable and suitable for use in various environments, including outdoor installations and burial underground 
</t>
      </text>
    </comment>
    <comment ref="A129" authorId="78" shapeId="0" xr:uid="{FD953484-FDCF-4F97-ADD6-98D571AD5FE6}">
      <text>
        <t xml:space="preserve">[Threaded comment]
Your version of Excel allows you to read this threaded comment; however, any edits to it will get removed if the file is opened in a newer version of Excel. Learn more: https://go.microsoft.com/fwlink/?linkid=870924
Comment:
    GI (Galvanized Iron) earthing strips are flat conductors used in earthing or grounding systems. They are made from steel strips that have been hot-dip galvanized, meaning they are coated with a layer of zinc. This zinc coating provides corrosion resistance, making the strips more durable and suitable for use in various environments, including outdoor installations and burial underground 
</t>
      </text>
    </comment>
    <comment ref="A130" authorId="79" shapeId="0" xr:uid="{2452F541-CD30-4673-B9A6-57EB9D8A9A2A}">
      <text>
        <t xml:space="preserve">[Threaded comment]
Your version of Excel allows you to read this threaded comment; however, any edits to it will get removed if the file is opened in a newer version of Excel. Learn more: https://go.microsoft.com/fwlink/?linkid=870924
Comment:
    GI (Galvanized Iron) earthing strips are flat conductors used in earthing or grounding systems. They are made from steel strips that have been hot-dip galvanized, meaning they are coated with a layer of zinc. This zinc coating provides corrosion resistance, making the strips more durable and suitable for use in various environments, including outdoor installations and burial underground 
</t>
      </text>
    </comment>
    <comment ref="A131" authorId="80" shapeId="0" xr:uid="{E53EE02F-D2AF-4452-AFC2-7374621E6839}">
      <text>
        <t xml:space="preserve">[Threaded comment]
Your version of Excel allows you to read this threaded comment; however, any edits to it will get removed if the file is opened in a newer version of Excel. Learn more: https://go.microsoft.com/fwlink/?linkid=870924
Comment:
    GI (Galvanized Iron) earthing strips are flat conductors used in earthing or grounding systems. They are made from steel strips that have been hot-dip galvanized, meaning they are coated with a layer of zinc. This zinc coating provides corrosion resistance, making the strips more durable and suitable for use in various environments, including outdoor installations and burial underground 
</t>
      </text>
    </comment>
    <comment ref="A134" authorId="81" shapeId="0" xr:uid="{E30AFE90-7A6D-4B61-AB41-B2F9835D7BE3}">
      <text>
        <t xml:space="preserve">[Threaded comment]
Your version of Excel allows you to read this threaded comment; however, any edits to it will get removed if the file is opened in a newer version of Excel. Learn more: https://go.microsoft.com/fwlink/?linkid=870924
Comment:
    Walkways in solar power plants enhance safety by providing stable paths for workers, reducing accident risks </t>
      </text>
    </comment>
    <comment ref="A135" authorId="82" shapeId="0" xr:uid="{88A5E21F-42EF-4BC0-8BE6-61AB02CC77C5}">
      <text>
        <t xml:space="preserve">[Threaded comment]
Your version of Excel allows you to read this threaded comment; however, any edits to it will get removed if the file is opened in a newer version of Excel. Learn more: https://go.microsoft.com/fwlink/?linkid=870924
Comment:
    Safety: Step walkways, especially with an inclination and non-slip surfaces, minimize the risk of slips, trips, and falls for workers accessing solar panels on sloped roofs </t>
      </text>
    </comment>
    <comment ref="A136" authorId="83" shapeId="0" xr:uid="{747A4832-CE59-4F22-AA7D-60ACC224B71B}">
      <text>
        <t xml:space="preserve">[Threaded comment]
Your version of Excel allows you to read this threaded comment; however, any edits to it will get removed if the file is opened in a newer version of Excel. Learn more: https://go.microsoft.com/fwlink/?linkid=870924
Comment:
    A 0-degree walkway provides a level surface for technicians to safely walk across a solar installation, reducing the risk of slips, trips, and falls associated with uneven terrain or sloped surfaces. </t>
      </text>
    </comment>
    <comment ref="A139" authorId="84" shapeId="0" xr:uid="{1A7B931F-F0B2-4CD4-BBF2-657C0BD06E09}">
      <text>
        <t>[Threaded comment]
Your version of Excel allows you to read this threaded comment; however, any edits to it will get removed if the file is opened in a newer version of Excel. Learn more: https://go.microsoft.com/fwlink/?linkid=870924
Comment:
    DC cable trays are structural elements used to support, organize, and protect the DC (direct current) cables that connect solar panels to inverters</t>
      </text>
    </comment>
    <comment ref="A143" authorId="85" shapeId="0" xr:uid="{3A49D7C6-A4D1-4AB5-898F-0DCC52E2DD95}">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44" authorId="86" shapeId="0" xr:uid="{4724941C-96E7-44BB-AFA4-CA830F37B342}">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45" authorId="87" shapeId="0" xr:uid="{EBBC7A36-3E3C-42FC-95E4-A034F550675B}">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46" authorId="88" shapeId="0" xr:uid="{4E5FE8F4-8C02-42F3-ABD7-CABF041A418A}">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47" authorId="89" shapeId="0" xr:uid="{818DDD78-7C53-4EE4-BF1D-98FC2542F3A9}">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48" authorId="90" shapeId="0" xr:uid="{DC4AEF63-1C4B-48B6-80B2-7BAE67106A6B}">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49" authorId="91" shapeId="0" xr:uid="{B4EECDD7-1420-4247-936F-56A0953F5977}">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52" authorId="92" shapeId="0" xr:uid="{9DA3616A-D1BB-4182-8554-C5F5CCD372C4}">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53" authorId="93" shapeId="0" xr:uid="{0516A87E-AD22-4F35-8BC3-0ADE3429CFA0}">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54" authorId="94" shapeId="0" xr:uid="{24E6E15F-30A6-4EEF-B129-4D317FC3DFF2}">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55" authorId="95" shapeId="0" xr:uid="{E26B2E4A-2AFA-4F5F-806F-E35A4FD3B7DA}">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56" authorId="96" shapeId="0" xr:uid="{AB567019-35C9-47A9-BB54-4993FF2820D5}">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57" authorId="97" shapeId="0" xr:uid="{8DE1AF78-BA14-4870-AE1B-1A2647A75B12}">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58" authorId="98" shapeId="0" xr:uid="{23E9E86A-A111-45B5-A623-D10AD10ED916}">
      <text>
        <t xml:space="preserve">[Threaded comment]
Your version of Excel allows you to read this threaded comment; however, any edits to it will get removed if the file is opened in a newer version of Excel. Learn more: https://go.microsoft.com/fwlink/?linkid=870924
Comment:
    AC cable trays are a vital part of managing the alternating current (AC) wiring generated by inverters in a solar power system.  AC cable trays facilitate the safe and organized routing of these AC cables, offering numerous benefits </t>
      </text>
    </comment>
    <comment ref="A161" authorId="99" shapeId="0" xr:uid="{064CBF46-84B8-44FD-82F4-699268487FAE}">
      <text>
        <t xml:space="preserve">[Threaded comment]
Your version of Excel allows you to read this threaded comment; however, any edits to it will get removed if the file is opened in a newer version of Excel. Learn more: https://go.microsoft.com/fwlink/?linkid=870924
Comment:
    "Monkey ladder" is a term commonly used to refer to a type of ladder designed for accessing challenging or elevated areas, and it finds the solar power plants </t>
      </text>
    </comment>
    <comment ref="A162" authorId="100" shapeId="0" xr:uid="{13C5C99D-7730-4C2D-9A4D-BB0DA7701EAA}">
      <text>
        <t xml:space="preserve">[Threaded comment]
Your version of Excel allows you to read this threaded comment; however, any edits to it will get removed if the file is opened in a newer version of Excel. Learn more: https://go.microsoft.com/fwlink/?linkid=870924
Comment:
    Staircase-step ladders, specifically designed for rooftop access in solar installations and other industries, are a form of fixed ladder with treads or steps rather than rungs, providing a more comfortable and secure climbing experience compared to traditional vertical ladders. They are an essential part of a comprehensive safety system for rooftop work, particularly for accessing PV panels for maintenance and inspection. 
</t>
      </text>
    </comment>
    <comment ref="A163" authorId="101" shapeId="0" xr:uid="{A9B36759-A1BB-4611-A0C3-D068AEDF448C}">
      <text>
        <t>[Threaded comment]
Your version of Excel allows you to read this threaded comment; however, any edits to it will get removed if the file is opened in a newer version of Excel. Learn more: https://go.microsoft.com/fwlink/?linkid=870924
Comment:
    Typically used for raised structures to cleaning the modules</t>
      </text>
    </comment>
    <comment ref="A164" authorId="102" shapeId="0" xr:uid="{7550A42D-6548-47DA-ABD7-FBEE64117C1E}">
      <text>
        <t>[Threaded comment]
Your version of Excel allows you to read this threaded comment; however, any edits to it will get removed if the file is opened in a newer version of Excel. Learn more: https://go.microsoft.com/fwlink/?linkid=870924
Comment:
    n architectural and industrial contexts, a roof monitor is a raised structure that runs along the ridge of a double-pitched roof, featuring its own roof parallel to the main one.  Will arrange the crossover plate form to the structure.</t>
      </text>
    </comment>
    <comment ref="A165" authorId="103" shapeId="0" xr:uid="{44BD982E-BD86-4CB5-9261-4408E4C49249}">
      <text>
        <t>[Threaded comment]
Your version of Excel allows you to read this threaded comment; however, any edits to it will get removed if the file is opened in a newer version of Excel. Learn more: https://go.microsoft.com/fwlink/?linkid=870924
Comment:
    We will access the lower plant to upper plant by using ladder</t>
      </text>
    </comment>
    <comment ref="A166" authorId="104" shapeId="0" xr:uid="{D1CACC86-90A1-42D5-BDE8-8EFD8C076F69}">
      <text>
        <t xml:space="preserve">[Threaded comment]
Your version of Excel allows you to read this threaded comment; however, any edits to it will get removed if the file is opened in a newer version of Excel. Learn more: https://go.microsoft.com/fwlink/?linkid=870924
Comment:
    Rooftop solar panel installations necessitate robust safety measures, and roof edge railings are paramount among them. The presence of numerous panels on the roof often reduces walking space and increases the likelihood of accidental falls, highlighting the crucial need for adequate fall protection 
</t>
      </text>
    </comment>
    <comment ref="A167" authorId="105" shapeId="0" xr:uid="{F8185D27-9765-4193-AD74-404C4C854449}">
      <text>
        <t xml:space="preserve">[Threaded comment]
Your version of Excel allows you to read this threaded comment; however, any edits to it will get removed if the file is opened in a newer version of Excel. Learn more: https://go.microsoft.com/fwlink/?linkid=870924
Comment:
    Skylight mesh protection systems are crucial safety barriers designed to prevent falls through skylights and roof openings. These systems, typically constructed from robust materials like galvanized steel or aluminum, are engineered to withstand significant weight and impact, ensuring a secure environment for individuals working or moving on rooftops. 
</t>
      </text>
    </comment>
    <comment ref="A168" authorId="106" shapeId="0" xr:uid="{3BE75C3D-8276-4960-87F7-B0B2B00EFC07}">
      <text>
        <t xml:space="preserve">[Threaded comment]
Your version of Excel allows you to read this threaded comment; however, any edits to it will get removed if the file is opened in a newer version of Excel. Learn more: https://go.microsoft.com/fwlink/?linkid=870924
Comment:
    Skylight mesh protection systems are crucial safety barriers designed to prevent falls through skylights and roof openings. These systems, typically constructed from robust materials like galvanized steel or aluminum, are engineered to withstand significant weight and impact, ensuring a secure environment for individuals working or moving on rooftops. 
</t>
      </text>
    </comment>
    <comment ref="A169" authorId="107" shapeId="0" xr:uid="{FF3B6BE0-C6AC-4A9E-A069-BA8B58EE7624}">
      <text>
        <t xml:space="preserve">[Threaded comment]
Your version of Excel allows you to read this threaded comment; however, any edits to it will get removed if the file is opened in a newer version of Excel. Learn more: https://go.microsoft.com/fwlink/?linkid=870924
Comment:
    Skylight mesh protection systems are crucial safety barriers designed to prevent falls through skylights and roof openings. These systems, typically constructed from robust materials like galvanized steel or aluminum, are engineered to withstand significant weight and impact, ensuring a secure environment for individuals working or moving on rooftops. 
</t>
      </text>
    </comment>
    <comment ref="A170" authorId="108" shapeId="0" xr:uid="{05A350C0-FAAA-44B6-823D-6B2D9BAE56E7}">
      <text>
        <t xml:space="preserve">[Threaded comment]
Your version of Excel allows you to read this threaded comment; however, any edits to it will get removed if the file is opened in a newer version of Excel. Learn more: https://go.microsoft.com/fwlink/?linkid=870924
Comment:
    Skylight mesh protection systems are crucial safety barriers designed to prevent falls through skylights and roof openings. These systems, typically constructed from robust materials like galvanized steel or aluminum, are engineered to withstand significant weight and impact, ensuring a secure environment for individuals working or moving on rooftops. 
</t>
      </text>
    </comment>
    <comment ref="A171" authorId="109" shapeId="0" xr:uid="{4631713F-AC09-4C74-A1DD-859E9263956B}">
      <text>
        <t xml:space="preserve">[Threaded comment]
Your version of Excel allows you to read this threaded comment; however, any edits to it will get removed if the file is opened in a newer version of Excel. Learn more: https://go.microsoft.com/fwlink/?linkid=870924
Comment:
    Turbo vent cover mesh protection systems are crucial safety barriers designed to prevent falls through skylights and roof openings. These systems, typically constructed from robust materials like galvanized steel or aluminum, are engineered to withstand significant weight and impact, ensuring a secure environment for individuals working or moving on rooftops. 
</t>
      </text>
    </comment>
    <comment ref="A172" authorId="110" shapeId="0" xr:uid="{E5F0A052-5369-4818-8376-1A4360D5973B}">
      <text>
        <t xml:space="preserve">[Threaded comment]
Your version of Excel allows you to read this threaded comment; however, any edits to it will get removed if the file is opened in a newer version of Excel. Learn more: https://go.microsoft.com/fwlink/?linkid=870924
Comment:
    Lifelines, also known as horizontal lifeline systems or safety line systems, are crucial components of fall protection for workers installing, maintaining, or inspecting solar panels on rooftops. These systems are particularly important given the inherent fall hazards associated with working on rooftops, often at considerable heights, and the presence of numerous solar panels that can limit movement and access. 
</t>
      </text>
    </comment>
    <comment ref="A173" authorId="111" shapeId="0" xr:uid="{6B9AA279-E7B7-4151-AD60-28050F062B49}">
      <text>
        <t xml:space="preserve">[Threaded comment]
Your version of Excel allows you to read this threaded comment; however, any edits to it will get removed if the file is opened in a newer version of Excel. Learn more: https://go.microsoft.com/fwlink/?linkid=870924
Comment:
    These posts act as strong, strategically placed anchor points to which the lifeline cable is attached, allowing workers to move freely and safely across the rooftop during installation, maintenance, or inspections </t>
      </text>
    </comment>
    <comment ref="A174" authorId="112" shapeId="0" xr:uid="{8738F8B9-8685-448E-AE22-07A17426E5DF}">
      <text>
        <t xml:space="preserve">[Threaded comment]
Your version of Excel allows you to read this threaded comment; however, any edits to it will get removed if the file is opened in a newer version of Excel. Learn more: https://go.microsoft.com/fwlink/?linkid=870924
Comment:
    It's a device that connects a worker's safety harness to the lifeline (a cable or rope), allowing them to move freely along the line while remaining continuously connected and protected against falls </t>
      </text>
    </comment>
    <comment ref="A175" authorId="113" shapeId="0" xr:uid="{89500E29-70B8-4285-AB37-E19112026814}">
      <text>
        <t>[Threaded comment]
Your version of Excel allows you to read this threaded comment; however, any edits to it will get removed if the file is opened in a newer version of Excel. Learn more: https://go.microsoft.com/fwlink/?linkid=870924
Comment:
    A vertical lifeline system is a crucial fall protection solution designed for workers who need to ascend or descend ladders, stairways, or other vertical structures at height.</t>
      </text>
    </comment>
    <comment ref="A176" authorId="114" shapeId="0" xr:uid="{023DD345-054B-4AD7-B34A-5635C7447470}">
      <text>
        <t xml:space="preserve">[Threaded comment]
Your version of Excel allows you to read this threaded comment; however, any edits to it will get removed if the file is opened in a newer version of Excel. Learn more: https://go.microsoft.com/fwlink/?linkid=870924
Comment:
    Gutters help direct rainwater runoff from the roof and the solar panels away from the building's foundation, preventing potential damage to walls, foundations, and landscaping. </t>
      </text>
    </comment>
    <comment ref="A177" authorId="115" shapeId="0" xr:uid="{703EA7A7-0950-4F0C-9C61-10C9C24778E7}">
      <text>
        <t xml:space="preserve">[Threaded comment]
Your version of Excel allows you to read this threaded comment; however, any edits to it will get removed if the file is opened in a newer version of Excel. Learn more: https://go.microsoft.com/fwlink/?linkid=870924
Comment:
    Downspout drop outlet, is the component that connects a rain gutter to a downspout, directing rainwater runoff from the roof and, by extension, the solar panels, into the drainage system. </t>
      </text>
    </comment>
    <comment ref="A180" authorId="116" shapeId="0" xr:uid="{00E9CAE0-122C-4823-AB0C-48D50AC598EB}">
      <text>
        <t xml:space="preserve">[Threaded comment]
Your version of Excel allows you to read this threaded comment; however, any edits to it will get removed if the file is opened in a newer version of Excel. Learn more: https://go.microsoft.com/fwlink/?linkid=870924
Comment:
    A remote monitoring system in the context of solar energy is a technology-driven solution that allows users to track, measure, and analyze the performance of their solar power system from a remote location, without needing to be physically present at the site. These systems, often based on the Internet of Things (IoT), are a blend of hardware and software designed to provide real-time insights and facilitate proactive management of solar installations </t>
      </text>
    </comment>
    <comment ref="A181" authorId="117" shapeId="0" xr:uid="{42751DAC-9F5C-4D4A-A7E4-DC4D564ADACA}">
      <text>
        <t xml:space="preserve">[Threaded comment]
Your version of Excel allows you to read this threaded comment; however, any edits to it will get removed if the file is opened in a newer version of Excel. Learn more: https://go.microsoft.com/fwlink/?linkid=870924
Comment:
    A cloud-based SCADA (Supervisory Control and Data Acquisition) system combines the functionalities of traditional SCADA systems with the scalability, flexibility, and accessibility offered by cloud computing platforms </t>
      </text>
    </comment>
    <comment ref="A182" authorId="118" shapeId="0" xr:uid="{E21300A9-0CF1-4CEF-B143-05C54028C537}">
      <text>
        <t xml:space="preserve">[Threaded comment]
Your version of Excel allows you to read this threaded comment; however, any edits to it will get removed if the file is opened in a newer version of Excel. Learn more: https://go.microsoft.com/fwlink/?linkid=870924
Comment:
     Irradiance sensors are essential for monitoring the actual power generation of solar panels and identifying issues impacting efficiency. </t>
      </text>
    </comment>
    <comment ref="A183" authorId="119" shapeId="0" xr:uid="{D8F2652E-FC41-41F7-8041-CD21A08E1B51}">
      <text>
        <t xml:space="preserve">[Threaded comment]
Your version of Excel allows you to read this threaded comment; however, any edits to it will get removed if the file is opened in a newer version of Excel. Learn more: https://go.microsoft.com/fwlink/?linkid=870924
Comment:
    A pyranometer is an instrument used to measure solar irradiance, or the power of sunlight hey are essential for designing, optimizing, and monitoring solar power systems, including photovoltaic (PV) plants, by assessing the available solar resource and panel performance (lobal horizontal irradiance (GHI) )
</t>
      </text>
    </comment>
    <comment ref="A184" authorId="120" shapeId="0" xr:uid="{2ACD9447-3EF3-4A86-B621-2F4348B40289}">
      <text>
        <t xml:space="preserve">[Threaded comment]
Your version of Excel allows you to read this threaded comment; however, any edits to it will get removed if the file is opened in a newer version of Excel. Learn more: https://go.microsoft.com/fwlink/?linkid=870924
Comment:
    A pyranometer is an instrument used to measure solar irradiance, or the power of sunlight hey are essential for designing, optimizing, and monitoring solar power systems, including photovoltaic (PV) plants, by assessing the available solar resource and panel performance (lobal horizontal irradiance (GHI) )
</t>
      </text>
    </comment>
    <comment ref="A185" authorId="121" shapeId="0" xr:uid="{10A8A3BC-EF5C-4B71-8563-352401BEDE38}">
      <text>
        <t xml:space="preserve">[Threaded comment]
Your version of Excel allows you to read this threaded comment; however, any edits to it will get removed if the file is opened in a newer version of Excel. Learn more: https://go.microsoft.com/fwlink/?linkid=870924
Comment:
    A thermistor-based solar module temperature sensor is specifically designed to measure the surface or cell temperature of photovoltaic (PV) modules, playing a crucial role in optimizing their performance and extending their lifespan 
</t>
      </text>
    </comment>
    <comment ref="A186" authorId="122" shapeId="0" xr:uid="{5452A269-49BD-4373-94CE-2151DAF09AB5}">
      <text>
        <t xml:space="preserve">[Threaded comment]
Your version of Excel allows you to read this threaded comment; however, any edits to it will get removed if the file is opened in a newer version of Excel. Learn more: https://go.microsoft.com/fwlink/?linkid=870924
Comment:
    An ambient temperature sensor for solar installations measures the temperature of the air surrounding the solar panels, distinct from the temperature of the panel surface itself. This data is crucial for understanding the overall environmental conditions influencing the solar system's performance. 
</t>
      </text>
    </comment>
    <comment ref="A187" authorId="123" shapeId="0" xr:uid="{B0B66076-D6E5-4CDD-96EA-70C6458285CA}">
      <text>
        <t xml:space="preserve">[Threaded comment]
Your version of Excel allows you to read this threaded comment; however, any edits to it will get removed if the file is opened in a newer version of Excel. Learn more: https://go.microsoft.com/fwlink/?linkid=870924
Comment:
    An anemometer is an instrument used to measure wind speed and, sometimes, wind direction. While often associated with wind energy, anemometers are also vital in solar power installations, contributing significantly to both system performance and safety. 
</t>
      </text>
    </comment>
    <comment ref="A188" authorId="124" shapeId="0" xr:uid="{B45E7C34-C26E-46C4-B2E0-E46EB7427D47}">
      <text>
        <t xml:space="preserve">[Threaded comment]
Your version of Excel allows you to read this threaded comment; however, any edits to it will get removed if the file is opened in a newer version of Excel. Learn more: https://go.microsoft.com/fwlink/?linkid=870924
Comment:
    A rain gauge sensor is an instrument specifically designed to measure and record the amount of liquid precipitation (rainfall) over a set period. </t>
      </text>
    </comment>
    <comment ref="A189" authorId="125" shapeId="0" xr:uid="{FCB1C652-A16B-4514-AF8C-A7C2042F518F}">
      <text>
        <t xml:space="preserve">[Threaded comment]
Your version of Excel allows you to read this threaded comment; however, any edits to it will get removed if the file is opened in a newer version of Excel. Learn more: https://go.microsoft.com/fwlink/?linkid=870924
Comment:
    A weather station tripod mounting stand is a structure specifically designed to securely install and position the various sensors of a weather station for accurate and reliable data collection. These stands are crucial in applications where precise weather data is required, such as in solar power plants and environmental monitoring. </t>
      </text>
    </comment>
    <comment ref="A190" authorId="126" shapeId="0" xr:uid="{315A670B-F7C1-4F75-B1C9-197E54899CB0}">
      <text>
        <t xml:space="preserve">[Threaded comment]
Your version of Excel allows you to read this threaded comment; however, any edits to it will get removed if the file is opened in a newer version of Excel. Learn more: https://go.microsoft.com/fwlink/?linkid=870924
Comment:
    A solar data logger, also known as a data recorder or data acquisition system, is an electronic device that automatically collects, records, and stores data from various sensors and components within a solar PV (photovoltaic) power system. This stored data can then be analyzed to monitor and optimize the performance of the solar installation. 
</t>
      </text>
    </comment>
    <comment ref="A191" authorId="127" shapeId="0" xr:uid="{459ACEAE-FBF6-473B-8307-5AB8087054CC}">
      <text>
        <t xml:space="preserve">[Threaded comment]
Your version of Excel allows you to read this threaded comment; however, any edits to it will get removed if the file is opened in a newer version of Excel. Learn more: https://go.microsoft.com/fwlink/?linkid=870924
Comment:
    A humidity sensor, often bundled with an ambient temperature sensor and sometimes housed in a radiation shield, plays a vital role in solar PV (photovoltaic) power plants by providing data about the amount of moisture in the surrounding atmosphere 
</t>
      </text>
    </comment>
    <comment ref="A192" authorId="128" shapeId="0" xr:uid="{7448CDEA-E3DC-4471-9672-5D5570E34A2C}">
      <text>
        <t xml:space="preserve">[Threaded comment]
Your version of Excel allows you to read this threaded comment; however, any edits to it will get removed if the file is opened in a newer version of Excel. Learn more: https://go.microsoft.com/fwlink/?linkid=870924
Comment:
    A zero feeding device, more commonly known as a Zero Export Device (ZED) or Zero Export Controller, is a smart energy management tool used in grid-tied solar photovoltaic (PV) systems to prevent the export of excess solar power back into the utility grid. Its primary function is to ensure that all solar energy generated is either consumed by local loads within the premises. thereby preventing any surplus energy from being fed into the grid. </t>
      </text>
    </comment>
    <comment ref="A193" authorId="129" shapeId="0" xr:uid="{E5D6E100-BF38-4D11-BFA0-700DC957111A}">
      <text>
        <t xml:space="preserve">[Threaded comment]
Your version of Excel allows you to read this threaded comment; however, any edits to it will get removed if the file is opened in a newer version of Excel. Learn more: https://go.microsoft.com/fwlink/?linkid=870924
Comment:
    A DG protection device, in the context of solar energy, specifically refers to a control and protection system designed to safeguard a Diesel Generator (DG) that operates in conjunction with a solar PV (photovoltaic) system. These devices, often called DG-PV synchronizers or zero export devices when combined with the zero export function, are essential for ensuring the safe, efficient, and reliable integration of solar power with existing diesel generator backup systems. </t>
      </text>
    </comment>
    <comment ref="A196" authorId="130" shapeId="0" xr:uid="{63197088-39CE-4DB3-9E24-95BEEA4373C8}">
      <text>
        <t xml:space="preserve">[Threaded comment]
Your version of Excel allows you to read this threaded comment; however, any edits to it will get removed if the file is opened in a newer version of Excel. Learn more: https://go.microsoft.com/fwlink/?linkid=870924
Comment:
    The robust precast wall and fencing system protects solar panels, inverters, cabling, and other sensitive equipment from physical damage due to intrusion or vandalism. </t>
      </text>
    </comment>
    <comment ref="A197" authorId="131" shapeId="0" xr:uid="{65E73021-0385-4C30-BCAA-C45194694C10}">
      <text>
        <t xml:space="preserve">[Threaded comment]
Your version of Excel allows you to read this threaded comment; however, any edits to it will get removed if the file is opened in a newer version of Excel. Learn more: https://go.microsoft.com/fwlink/?linkid=870924
Comment:
    The main gate is a critical component of the solar plant's perimeter security system, deterring unauthorized access and protecting valuable assets like solar panels, inverters, cables, and other electrical equipment from theft and vandalism. </t>
      </text>
    </comment>
    <comment ref="A198" authorId="132" shapeId="0" xr:uid="{285FC060-E530-4D14-8F40-B04C86D06C7E}">
      <text>
        <t xml:space="preserve">[Threaded comment]
Your version of Excel allows you to read this threaded comment; however, any edits to it will get removed if the file is opened in a newer version of Excel. Learn more: https://go.microsoft.com/fwlink/?linkid=870924
Comment:
    olar power plants contain valuable equipment (solar panels, inverters, cabling), making them attractive targets for theft and vandalism. Well-placed and adequately bright street lights deter intruders and facilitate surveillance, especially in remote locations or during nighttime hours </t>
      </text>
    </comment>
    <comment ref="A199" authorId="133" shapeId="0" xr:uid="{C10802A9-A755-41F6-BC59-DFC4F3CD137C}">
      <text>
        <t>[Threaded comment]
Your version of Excel allows you to read this threaded comment; however, any edits to it will get removed if the file is opened in a newer version of Excel. Learn more: https://go.microsoft.com/fwlink/?linkid=870924
Comment:
    Solar power plants contain valuable equipment (solar panels, inverters, cabling), making them attractive targets for theft and vandalism. Well-placed and adequately bright street lights deter intruders and facilitate surveillance, especially in remote locations or during nighttime hours</t>
      </text>
    </comment>
    <comment ref="A203" authorId="134" shapeId="0" xr:uid="{33BCE1C9-FA89-4AC0-A646-6DD1E45FA3CB}">
      <text>
        <t xml:space="preserve">[Threaded comment]
Your version of Excel allows you to read this threaded comment; however, any edits to it will get removed if the file is opened in a newer version of Excel. Learn more: https://go.microsoft.com/fwlink/?linkid=870924
Comment:
    Lord Chemical, now a part of Parker Hannifin, offers high-performance adhesive solutions specifically designed for solar rooftop installations. Their focus is on providing non-penetrating solutions, meaning these adhesives allow for the mounting of solar panels without drilling or bolting onto the roof, thereby eliminating potential leakage points and preserving the roof's integrity and warranty </t>
      </text>
    </comment>
    <comment ref="A204" authorId="135" shapeId="0" xr:uid="{141AF281-3829-4B97-9275-D23EEDC750B3}">
      <text>
        <t xml:space="preserve">[Threaded comment]
Your version of Excel allows you to read this threaded comment; however, any edits to it will get removed if the file is opened in a newer version of Excel. Learn more: https://go.microsoft.com/fwlink/?linkid=870924
Comment:
    Lord Chemical, now a part of Parker Hannifin, offers high-performance adhesive solutions specifically designed for solar rooftop installations. Their focus is on providing non-penetrating solutions, meaning these adhesives allow for the mounting of solar panels without drilling or bolting onto the roof, thereby eliminating potential leakage points and preserving the roof's integrity and warranty </t>
      </text>
    </comment>
    <comment ref="A205" authorId="136" shapeId="0" xr:uid="{A29BB4D3-144E-4B37-91F5-02809B261DF8}">
      <text>
        <t>[Threaded comment]
Your version of Excel allows you to read this threaded comment; however, any edits to it will get removed if the file is opened in a newer version of Excel. Learn more: https://go.microsoft.com/fwlink/?linkid=870924
Comment:
    To fixing the earth strip in the wall or any other fixing location</t>
      </text>
    </comment>
    <comment ref="A206" authorId="137" shapeId="0" xr:uid="{96E53B46-B69E-4DD4-A6B1-51BC99FEE8BD}">
      <text>
        <t>[Threaded comment]
Your version of Excel allows you to read this threaded comment; however, any edits to it will get removed if the file is opened in a newer version of Excel. Learn more: https://go.microsoft.com/fwlink/?linkid=870924
Comment:
    Used for fixing the earth strip into the wall.</t>
      </text>
    </comment>
    <comment ref="A207" authorId="138" shapeId="0" xr:uid="{68C28857-6E15-4424-9EEC-895245E4D3D9}">
      <text>
        <t>[Threaded comment]
Your version of Excel allows you to read this threaded comment; however, any edits to it will get removed if the file is opened in a newer version of Excel. Learn more: https://go.microsoft.com/fwlink/?linkid=870924
Comment:
    Hardware use for fixing the earthstrip joint and DC cable tray fixing</t>
      </text>
    </comment>
    <comment ref="A208" authorId="139" shapeId="0" xr:uid="{8AF0984F-6665-401F-85B0-B02F986E00A6}">
      <text>
        <t>[Threaded comment]
Your version of Excel allows you to read this threaded comment; however, any edits to it will get removed if the file is opened in a newer version of Excel. Learn more: https://go.microsoft.com/fwlink/?linkid=870924
Comment:
    It will holding the DC cable tray from the ground level</t>
      </text>
    </comment>
    <comment ref="A211" authorId="140" shapeId="0" xr:uid="{29F6163A-5162-4BAE-9065-3CB3B5C5B774}">
      <text>
        <t>[Threaded comment]
Your version of Excel allows you to read this threaded comment; however, any edits to it will get removed if the file is opened in a newer version of Excel. Learn more: https://go.microsoft.com/fwlink/?linkid=870924
Comment:
    To Fix the walkways.</t>
      </text>
    </comment>
    <comment ref="A212" authorId="141" shapeId="0" xr:uid="{0A07C722-410A-4926-9CC1-4950410AE0CE}">
      <text>
        <t xml:space="preserve">[Threaded comment]
Your version of Excel allows you to read this threaded comment; however, any edits to it will get removed if the file is opened in a newer version of Excel. Learn more: https://go.microsoft.com/fwlink/?linkid=870924
Comment:
    The "SSP 1045 Profile 75mm" refers to a specific type of section or rail used within the Walkways support of a solar power plant </t>
      </text>
    </comment>
    <comment ref="A213" authorId="142" shapeId="0" xr:uid="{AEDB60AD-D54B-4698-99F0-9A81213DE5ED}">
      <text>
        <t xml:space="preserve">[Threaded comment]
Your version of Excel allows you to read this threaded comment; however, any edits to it will get removed if the file is opened in a newer version of Excel. Learn more: https://go.microsoft.com/fwlink/?linkid=870924
Comment:
    The "SSP 5 Profile 50mm" refers to a specific type of section or rail used within the Walkways support of a solar power plant </t>
      </text>
    </comment>
    <comment ref="A214" authorId="143" shapeId="0" xr:uid="{E1A2D0CC-037E-4A3E-A272-0F3EA80AC915}">
      <text>
        <t xml:space="preserve">[Threaded comment]
Your version of Excel allows you to read this threaded comment; however, any edits to it will get removed if the file is opened in a newer version of Excel. Learn more: https://go.microsoft.com/fwlink/?linkid=870924
Comment:
    Walkway jointers, also referred to as walkway connectors or joining plates, are crucial components used to securely link individual walkway sections together, creating a continuous and stable pathway across the installation 
</t>
      </text>
    </comment>
    <comment ref="A215" authorId="144" shapeId="0" xr:uid="{3A76B931-3FBD-4E4F-A380-29B96647987A}">
      <text>
        <t xml:space="preserve">[Threaded comment]
Your version of Excel allows you to read this threaded comment; however, any edits to it will get removed if the file is opened in a newer version of Excel. Learn more: https://go.microsoft.com/fwlink/?linkid=870924
Comment:
    By providing designated pathways, walkways prevent foot traffic directly on the solar panels and the roof surface, minimizing potential damage and reducing wear and tear on the roofing system itself. </t>
      </text>
    </comment>
    <comment ref="A216" authorId="145" shapeId="0" xr:uid="{EA5A313F-9916-4547-9814-DF703279D972}">
      <text>
        <t xml:space="preserve">[Threaded comment]
Your version of Excel allows you to read this threaded comment; however, any edits to it will get removed if the file is opened in a newer version of Excel. Learn more: https://go.microsoft.com/fwlink/?linkid=870924
Comment:
    By providing robust mechanical support, clamps ensure the stability of the cable tray system, even when loaded with numerous cables or exposed to environmental factors like wind. </t>
      </text>
    </comment>
    <comment ref="A217" authorId="146" shapeId="0" xr:uid="{3CCDC649-D1C8-4818-A932-8ECB074F2BB3}">
      <text>
        <t xml:space="preserve">[Threaded comment]
Your version of Excel allows you to read this threaded comment; however, any edits to it will get removed if the file is opened in a newer version of Excel. Learn more: https://go.microsoft.com/fwlink/?linkid=870924
Comment:
    The flexible pipes shield the cables from physical damage, including potential impacts, crushing, and wear and tear. Flexible conduit protects against UV rays, water, temperature changes, rodents, vermin, vandalism, and cable theft.
</t>
      </text>
    </comment>
    <comment ref="A219" authorId="147" shapeId="0" xr:uid="{CA171657-8E7A-4E9A-ABC7-ED4E2CC2CA96}">
      <text>
        <t xml:space="preserve">[Threaded comment]
Your version of Excel allows you to read this threaded comment; however, any edits to it will get removed if the file is opened in a newer version of Excel. Learn more: https://go.microsoft.com/fwlink/?linkid=870924
Comment:
    An industrial wall socket box with an integrated Single-phase, Two-pole MCB (Miniature Circuit Breaker) is a vital component for ensuring safe and reliable power distribution in booster pump systems
</t>
      </text>
    </comment>
    <comment ref="A220" authorId="148" shapeId="0" xr:uid="{38E1BA9E-280E-4DBF-A613-BE563F424EBF}">
      <text>
        <t>[Threaded comment]
Your version of Excel allows you to read this threaded comment; however, any edits to it will get removed if the file is opened in a newer version of Excel. Learn more: https://go.microsoft.com/fwlink/?linkid=870924
Comment:
    An industrial wall socket box with an integrated Three-phase, Four-pole MCB (Miniature Circuit Breaker) is a vital component for ensuring safe and reliable power distribution in booster pump systems</t>
      </text>
    </comment>
    <comment ref="A221" authorId="149" shapeId="0" xr:uid="{4A6EE2E7-0707-40FD-889B-1F1C6AA938D2}">
      <text>
        <t xml:space="preserve">[Threaded comment]
Your version of Excel allows you to read this threaded comment; however, any edits to it will get removed if the file is opened in a newer version of Excel. Learn more: https://go.microsoft.com/fwlink/?linkid=870924
Comment:
    Module water drainage clips, also known as solar panel drain clips or water guide clamps, are small, yet highly effective accessories designed to improve the performance and lifespan of solar panels by facilitating efficient water drainage from the module's surface and frame. 
</t>
      </text>
    </comment>
    <comment ref="A222" authorId="150" shapeId="0" xr:uid="{B46AFC9C-1F5F-43A4-BCB7-DD8090F9DF59}">
      <text>
        <t xml:space="preserve">[Threaded comment]
Your version of Excel allows you to read this threaded comment; however, any edits to it will get removed if the file is opened in a newer version of Excel. Learn more: https://go.microsoft.com/fwlink/?linkid=870924
Comment:
    Module water drainage clips, also known as solar panel drain clips or water guide clamps, are small, yet highly effective accessories designed to improve the performance and lifespan of solar panels by facilitating efficient water drainage from the module's surface and frame. 
</t>
      </text>
    </comment>
    <comment ref="A223" authorId="151" shapeId="0" xr:uid="{0DE77EEF-44B1-43A3-9AD7-FB86843F525F}">
      <text>
        <t xml:space="preserve">[Threaded comment]
Your version of Excel allows you to read this threaded comment; however, any edits to it will get removed if the file is opened in a newer version of Excel. Learn more: https://go.microsoft.com/fwlink/?linkid=870924
Comment:
    Nylon cable ties, particularly in the 150mm length, are a widely used solution for bundling and securing cables in solar power installations </t>
      </text>
    </comment>
    <comment ref="A224" authorId="152" shapeId="0" xr:uid="{61BBCEC0-AAEF-4DB5-866F-6943120252EC}">
      <text>
        <t xml:space="preserve">[Threaded comment]
Your version of Excel allows you to read this threaded comment; however, any edits to it will get removed if the file is opened in a newer version of Excel. Learn more: https://go.microsoft.com/fwlink/?linkid=870924
Comment:
    Nylon cable ties, particularly in the 200mm length, are a widely used solution for bundling and securing cables in solar power installations </t>
      </text>
    </comment>
    <comment ref="A225" authorId="153" shapeId="0" xr:uid="{4A7F34E8-EDFA-4089-A9DF-38F89EBA4E42}">
      <text>
        <t xml:space="preserve">[Threaded comment]
Your version of Excel allows you to read this threaded comment; however, any edits to it will get removed if the file is opened in a newer version of Excel. Learn more: https://go.microsoft.com/fwlink/?linkid=870924
Comment:
    Nylon cable ties, particularly in the 300mm length, are a widely used solution for bundling and securing cables in solar power installations </t>
      </text>
    </comment>
    <comment ref="A226" authorId="154" shapeId="0" xr:uid="{65E0F956-05C8-4958-A4D1-C07E369E9FB5}">
      <text>
        <t xml:space="preserve">[Threaded comment]
Your version of Excel allows you to read this threaded comment; however, any edits to it will get removed if the file is opened in a newer version of Excel. Learn more: https://go.microsoft.com/fwlink/?linkid=870924
Comment:
    Nylon cable ties, particularly in the 450mm length, are a widely used solution for bundling and securing cables in solar power installations </t>
      </text>
    </comment>
    <comment ref="A227" authorId="155" shapeId="0" xr:uid="{F4A12F57-CB50-479A-8817-3776DB587D46}">
      <text>
        <t>[Threaded comment]
Your version of Excel allows you to read this threaded comment; however, any edits to it will get removed if the file is opened in a newer version of Excel. Learn more: https://go.microsoft.com/fwlink/?linkid=870924
Comment:
    Stainless steel (SS) cable ties, particularly in the 200mm length, are a suitable solution for securing and organizing electrical cables in solar power installations option for outdoor application</t>
      </text>
    </comment>
    <comment ref="A228" authorId="156" shapeId="0" xr:uid="{1C7BD685-2F9E-47F5-A6FE-7EE81C9274E8}">
      <text>
        <t xml:space="preserve">[Threaded comment]
Your version of Excel allows you to read this threaded comment; however, any edits to it will get removed if the file is opened in a newer version of Excel. Learn more: https://go.microsoft.com/fwlink/?linkid=870924
Comment:
    Stainless steel (SS) cable ties, particularly in the 300mm length, are a suitable solution for securing and organizing electrical cables in solar power installations option for outdoor application
</t>
      </text>
    </comment>
    <comment ref="A229" authorId="157" shapeId="0" xr:uid="{175EACA0-CC3B-4014-8D3F-A010880A423B}">
      <text>
        <t>[Threaded comment]
Your version of Excel allows you to read this threaded comment; however, any edits to it will get removed if the file is opened in a newer version of Excel. Learn more: https://go.microsoft.com/fwlink/?linkid=870924
Comment:
    Stainless steel (SS) cable ties, particularly in the 500mm length, are a suitable solution for securing and organizing electrical cables in solar power installations option for outdoor application</t>
      </text>
    </comment>
    <comment ref="A230" authorId="158" shapeId="0" xr:uid="{51B4E762-1D7B-4E41-B719-C42B413B5947}">
      <text>
        <t xml:space="preserve">[Threaded comment]
Your version of Excel allows you to read this threaded comment; however, any edits to it will get removed if the file is opened in a newer version of Excel. Learn more: https://go.microsoft.com/fwlink/?linkid=870924
Comment:
    3-meter galvanized iron (GI) pipe used as a mounting support for the Lightning Arrester, providing required height for effective lightning protection and ensuring corrosion-resistant durability. </t>
      </text>
    </comment>
    <comment ref="A231" authorId="159" shapeId="0" xr:uid="{B4E80D41-FA22-4058-822C-77839984E8EB}">
      <text>
        <t xml:space="preserve">[Threaded comment]
Your version of Excel allows you to read this threaded comment; however, any edits to it will get removed if the file is opened in a newer version of Excel. Learn more: https://go.microsoft.com/fwlink/?linkid=870924
Comment:
    Galvanized iron (GI) wire used to support the Lightning Arrester (LA) structure, ensuring stability and proper earthing connection. Provides mechanical strength and corrosion resistance for long-term safety. </t>
      </text>
    </comment>
    <comment ref="A232" authorId="160" shapeId="0" xr:uid="{E72D96B9-1D2D-47D5-9CBF-F41F064BD018}">
      <text>
        <t xml:space="preserve">[Threaded comment]
Your version of Excel allows you to read this threaded comment; however, any edits to it will get removed if the file is opened in a newer version of Excel. Learn more: https://go.microsoft.com/fwlink/?linkid=870924
Comment:
    MC4 connectors are the industry standard for connecting solar panels in photovoltaic (PV) systems. They are specifically designed for outdoor DC applications, providing a secure, weatherproof, and durable connection between solar panels and other components like inverters or charge controllers.  </t>
      </text>
    </comment>
    <comment ref="A233" authorId="161" shapeId="0" xr:uid="{AB066979-7447-46E9-98AD-CE44BF674F05}">
      <text>
        <t xml:space="preserve">[Threaded comment]
Your version of Excel allows you to read this threaded comment; however, any edits to it will get removed if the file is opened in a newer version of Excel. Learn more: https://go.microsoft.com/fwlink/?linkid=870924
Comment:
    In-line DC fuse holders with male and female connectors are essential safety devices used in solar photovoltaic (PV) installations, particularly for protecting individual strings of solar panels or DC circuits from overcurrent conditions. These components provide a compact, reliable, and easily accessible method for integrating fuse protection directly into the wiring of a solar system </t>
      </text>
    </comment>
    <comment ref="A234" authorId="162" shapeId="0" xr:uid="{B91A684E-9304-4AC3-AC62-54CC3F5C9322}">
      <text>
        <t>[Threaded comment]
Your version of Excel allows you to read this threaded comment; however, any edits to it will get removed if the file is opened in a newer version of Excel. Learn more: https://go.microsoft.com/fwlink/?linkid=870924
Comment:
    Clamps secure DC cables, preventing them from hanging loosely or rubbing against sharp edges, which can lead to abrasion, damage, or even short circuits. They also protect cables from potential damage from wind, snow, animals (e.g., rodents), and other environmental factors</t>
      </text>
    </comment>
    <comment ref="A235" authorId="163" shapeId="0" xr:uid="{77E7C008-8EE7-407F-9AF5-54F7E4FA507F}">
      <text>
        <t>[Threaded comment]
Your version of Excel allows you to read this threaded comment; however, any edits to it will get removed if the file is opened in a newer version of Excel. Learn more: https://go.microsoft.com/fwlink/?linkid=870924
Comment:
    CO₂ fire extinguisher is used for electrical and flammable liquid fires. Displaces oxygen to extinguish fire without damaging electrical equipment; mandatory in control rooms and HT panel areas</t>
      </text>
    </comment>
    <comment ref="A236" authorId="164" shapeId="0" xr:uid="{AF49F91A-2D09-48F5-ABA4-12304F04E6C9}">
      <text>
        <t xml:space="preserve">[Threaded comment]
Your version of Excel allows you to read this threaded comment; however, any edits to it will get removed if the file is opened in a newer version of Excel. Learn more: https://go.microsoft.com/fwlink/?linkid=870924
Comment:
    Multipurpose fire extinguisher (Class A, B, C) suitable for solid, liquid, and electrical fires. Essential for quick response to diverse fire types and mandatory for safety compliance in solar plants </t>
      </text>
    </comment>
    <comment ref="A237" authorId="165" shapeId="0" xr:uid="{311AD978-1519-41DE-9D29-10F85FA71CC6}">
      <text>
        <t xml:space="preserve">[Threaded comment]
Your version of Excel allows you to read this threaded comment; however, any edits to it will get removed if the file is opened in a newer version of Excel. Learn more: https://go.microsoft.com/fwlink/?linkid=870924
Comment:
    To provide immediate fire-fighting capability for small fires. Fire buckets (filled with sand/water) with stand and canopy are placed in accessible locations to meet safety compliance and control fire emergencies quickly. </t>
      </text>
    </comment>
    <comment ref="A238" authorId="166" shapeId="0" xr:uid="{179BC619-155E-44A7-B57A-ABDE145F2879}">
      <text>
        <t xml:space="preserve">[Threaded comment]
Your version of Excel allows you to read this threaded comment; however, any edits to it will get removed if the file is opened in a newer version of Excel. Learn more: https://go.microsoft.com/fwlink/?linkid=870924
Comment:
    Solvent cement chemically fuses the surfaces of PVC/CPVC pipes and fittings, creating a solid, permanent bond that effectively prevents leaks and protects electrical wiring from moisture and dust, crucial for outdoor solar applications. 
</t>
      </text>
    </comment>
    <comment ref="A239" authorId="167" shapeId="0" xr:uid="{14CF3DF6-31CB-4725-BB87-866CB484EE6C}">
      <text>
        <t xml:space="preserve">[Threaded comment]
Your version of Excel allows you to read this threaded comment; however, any edits to it will get removed if the file is opened in a newer version of Excel. Learn more: https://go.microsoft.com/fwlink/?linkid=870924
Comment:
    They shield the conduit interiors from dust, dirt, and other debris that can accumulate and potentially affect cable insulation or performance. 
</t>
      </text>
    </comment>
    <comment ref="A240" authorId="168" shapeId="0" xr:uid="{35A463BC-F6B8-45B0-B03C-0F79B25B8B55}">
      <text>
        <t xml:space="preserve">[Threaded comment]
Your version of Excel allows you to read this threaded comment; however, any edits to it will get removed if the file is opened in a newer version of Excel. Learn more: https://go.microsoft.com/fwlink/?linkid=870924
Comment:
    The primary purpose of heat shrink sleeves is to provide electrical insulation around wires, cables, and connectors, preventing short circuits and electrical hazards. This is crucial for power cables, which carry higher currents and voltages. 
</t>
      </text>
    </comment>
    <comment ref="A241" authorId="169" shapeId="0" xr:uid="{05E36344-74AD-40CD-A2F3-A7E1951C2F0B}">
      <text>
        <t xml:space="preserve">[Threaded comment]
Your version of Excel allows you to read this threaded comment; however, any edits to it will get removed if the file is opened in a newer version of Excel. Learn more: https://go.microsoft.com/fwlink/?linkid=870924
Comment:
    The primary purpose of heat shrink sleeves is to provide electrical insulation around wires, cables, and connectors, preventing short circuits and electrical hazards. This is crucial for power cables, which carry higher currents and voltages. 
</t>
      </text>
    </comment>
    <comment ref="A242" authorId="170" shapeId="0" xr:uid="{B56FA78A-7CC7-44B2-A23C-7C7B137D48A0}">
      <text>
        <t xml:space="preserve">[Threaded comment]
Your version of Excel allows you to read this threaded comment; however, any edits to it will get removed if the file is opened in a newer version of Excel. Learn more: https://go.microsoft.com/fwlink/?linkid=870924
Comment:
    The primary function is to provide electrical insulation for wire joints, splices, and other connections, preventing electrical leakage, short circuits, and potential hazards like electric shock or fire. </t>
      </text>
    </comment>
    <comment ref="A243" authorId="171" shapeId="0" xr:uid="{2C123561-F4E8-4AE4-84BD-5B69FC3B4DDC}">
      <text>
        <t>[Threaded comment]
Your version of Excel allows you to read this threaded comment; however, any edits to it will get removed if the file is opened in a newer version of Excel. Learn more: https://go.microsoft.com/fwlink/?linkid=870924
Comment:
    Cable Marking Ferrules: As mentioned in a previous response, ferrules are used to identify cables, often with pre-printed or custom-printed legends (numbers, letters, or symbols).</t>
      </text>
    </comment>
    <comment ref="A244" authorId="172" shapeId="0" xr:uid="{16A05F0E-BF76-4A45-B52E-E40CA70D91CF}">
      <text>
        <t xml:space="preserve">[Threaded comment]
Your version of Excel allows you to read this threaded comment; however, any edits to it will get removed if the file is opened in a newer version of Excel. Learn more: https://go.microsoft.com/fwlink/?linkid=870924
Comment:
    Copper ring lugs are indispensable components for ensuring the safe and reliable earthing of solar panel module frames. In a solar installation, proper grounding of the module frames is critical to prevent electric shock hazards and protect the entire system from potential damage due to lightning strikes or electrical faults </t>
      </text>
    </comment>
    <comment ref="A245" authorId="173" shapeId="0" xr:uid="{CE6047FB-489F-400A-A778-78365F980BAE}">
      <text>
        <t>[Threaded comment]
Your version of Excel allows you to read this threaded comment; however, any edits to it will get removed if the file is opened in a newer version of Excel. Learn more: https://go.microsoft.com/fwlink/?linkid=870924
Comment:
    Hardware used for walkways fixing</t>
      </text>
    </comment>
    <comment ref="A246" authorId="174" shapeId="0" xr:uid="{4ADC5538-AEC8-422D-9BEC-B775D6D9837B}">
      <text>
        <t>[Threaded comment]
Your version of Excel allows you to read this threaded comment; however, any edits to it will get removed if the file is opened in a newer version of Excel. Learn more: https://go.microsoft.com/fwlink/?linkid=870924
Comment:
    Used for module cleaning tap to the module  nearest area</t>
      </text>
    </comment>
    <comment ref="A247" authorId="175" shapeId="0" xr:uid="{10B56ECE-4D1A-4071-A423-302ACC72B128}">
      <text>
        <t>[Threaded comment]
Your version of Excel allows you to read this threaded comment; however, any edits to it will get removed if the file is opened in a newer version of Excel. Learn more: https://go.microsoft.com/fwlink/?linkid=870924
Comment:
    Used for internal water piping system for solar plant area.</t>
      </text>
    </comment>
    <comment ref="A248" authorId="176" shapeId="0" xr:uid="{F32752A0-1C3B-4DA2-96C2-7B8A8CFDB0E1}">
      <text>
        <t>[Threaded comment]
Your version of Excel allows you to read this threaded comment; however, any edits to it will get removed if the file is opened in a newer version of Excel. Learn more: https://go.microsoft.com/fwlink/?linkid=870924
Comment:
    To connect the water pipe system where T junction is needed</t>
      </text>
    </comment>
    <comment ref="A249" authorId="177" shapeId="0" xr:uid="{589762EB-3212-46F5-B3F6-B3FCF7EA2FA9}">
      <text>
        <t>[Threaded comment]
Your version of Excel allows you to read this threaded comment; however, any edits to it will get removed if the file is opened in a newer version of Excel. Learn more: https://go.microsoft.com/fwlink/?linkid=870924
Comment:
    To connect the water pipe system where L junction is needed</t>
      </text>
    </comment>
    <comment ref="A250" authorId="178" shapeId="0" xr:uid="{9981C2FB-4712-4028-9A37-045EAEBF17AC}">
      <text>
        <t>[Threaded comment]
Your version of Excel allows you to read this threaded comment; however, any edits to it will get removed if the file is opened in a newer version of Excel. Learn more: https://go.microsoft.com/fwlink/?linkid=870924
Comment:
    To connect the water pipe system where water outlet is needed</t>
      </text>
    </comment>
    <comment ref="A251" authorId="179" shapeId="0" xr:uid="{743C74CB-DDA9-4511-8B18-530609AA80E1}">
      <text>
        <t>[Threaded comment]
Your version of Excel allows you to read this threaded comment; however, any edits to it will get removed if the file is opened in a newer version of Excel. Learn more: https://go.microsoft.com/fwlink/?linkid=870924
Comment:
    Used to connect the straight pipe line continuations.</t>
      </text>
    </comment>
    <comment ref="A252" authorId="180" shapeId="0" xr:uid="{0ADEE3FD-852E-4C3F-B8F6-FE733BE6F734}">
      <text>
        <t>[Threaded comment]
Your version of Excel allows you to read this threaded comment; however, any edits to it will get removed if the file is opened in a newer version of Excel. Learn more: https://go.microsoft.com/fwlink/?linkid=870924
Comment:
    To fix the junction, L, T and coupler connection.</t>
      </text>
    </comment>
    <comment ref="A253" authorId="181" shapeId="0" xr:uid="{F154F121-DC0B-4D00-AFA2-0845F0A25D72}">
      <text>
        <t>[Threaded comment]
Your version of Excel allows you to read this threaded comment; however, any edits to it will get removed if the file is opened in a newer version of Excel. Learn more: https://go.microsoft.com/fwlink/?linkid=870924
Comment:
    To fix the water pipeline in mechanically.</t>
      </text>
    </comment>
    <comment ref="A254" authorId="182" shapeId="0" xr:uid="{3113D789-DEAF-45B3-BE20-EB2BF4F8DA4C}">
      <text>
        <t xml:space="preserve">[Threaded comment]
Your version of Excel allows you to read this threaded comment; however, any edits to it will get removed if the file is opened in a newer version of Excel. Learn more: https://go.microsoft.com/fwlink/?linkid=870924
Comment:
    It is used on end water connection. </t>
      </text>
    </comment>
    <comment ref="A255" authorId="183" shapeId="0" xr:uid="{A24A3C98-B5B3-415E-8B6F-688B73461834}">
      <text>
        <t xml:space="preserve">[Threaded comment]
Your version of Excel allows you to read this threaded comment; however, any edits to it will get removed if the file is opened in a newer version of Excel. Learn more: https://go.microsoft.com/fwlink/?linkid=870924
Comment:
    An MTA features external, outward-facing threads. It is designed to be inserted into a component with internal, inward-facing threads to create a secure connection. </t>
      </text>
    </comment>
    <comment ref="A256" authorId="184" shapeId="0" xr:uid="{FAC18862-D518-4D91-A136-1F1F8C4C5C7C}">
      <text>
        <t xml:space="preserve">[Threaded comment]
Your version of Excel allows you to read this threaded comment; however, any edits to it will get removed if the file is opened in a newer version of Excel. Learn more: https://go.microsoft.com/fwlink/?linkid=870924
Comment:
    Making it easier to remove components like valves or filters for servicing. </t>
      </text>
    </comment>
    <comment ref="A257" authorId="185" shapeId="0" xr:uid="{63883764-36DE-46B8-AC54-D9E3C9985A94}">
      <text>
        <t>[Threaded comment]
Your version of Excel allows you to read this threaded comment; however, any edits to it will get removed if the file is opened in a newer version of Excel. Learn more: https://go.microsoft.com/fwlink/?linkid=870924
Comment:
    Used to give the continues supply to the Wattmon even when power supply disconnected till one hour</t>
      </text>
    </comment>
    <comment ref="A258" authorId="186" shapeId="0" xr:uid="{8B44C3D3-06A6-4134-B001-F18078ECAD17}">
      <text>
        <t>[Threaded comment]
Your version of Excel allows you to read this threaded comment; however, any edits to it will get removed if the file is opened in a newer version of Excel. Learn more: https://go.microsoft.com/fwlink/?linkid=870924
Comment:
    To protect the Wattmon and sensors from the surge</t>
      </text>
    </comment>
    <comment ref="A259" authorId="187" shapeId="0" xr:uid="{26ED1B2D-C242-4C50-9D15-E8EB7BCF8723}">
      <text>
        <t xml:space="preserve">[Threaded comment]
Your version of Excel allows you to read this threaded comment; however, any edits to it will get removed if the file is opened in a newer version of Excel. Learn more: https://go.microsoft.com/fwlink/?linkid=870924
Comment:
    An earth pit nameplate, or identification plate, is a crucial component for any earthing or grounding system, providing vital information for inspection, maintenance, and safety. It serves as a permanent label on or near the earth pit cover, enabling clear identification and tracking of the earthing system, thereby enhancing the overall safety and reliability of the electrical installation 
</t>
      </text>
    </comment>
    <comment ref="A260" authorId="188" shapeId="0" xr:uid="{84AD27D3-09F5-4C77-BFAF-03C72B37EF1F}">
      <text>
        <t>[Threaded comment]
Your version of Excel allows you to read this threaded comment; however, any edits to it will get removed if the file is opened in a newer version of Excel. Learn more: https://go.microsoft.com/fwlink/?linkid=870924
Comment:
    Sign boards and charts highlight specific risks associated with solar power systems, including electrical hazards (high voltage, shock risk), fall hazards (working at heights), fire hazards, and chemical hazards</t>
      </text>
    </comment>
    <comment ref="A261" authorId="189" shapeId="0" xr:uid="{79900BC4-BA78-43B6-9C43-65C4C86CA9E2}">
      <text>
        <t xml:space="preserve">[Threaded comment]
Your version of Excel allows you to read this threaded comment; however, any edits to it will get removed if the file is opened in a newer version of Excel. Learn more: https://go.microsoft.com/fwlink/?linkid=870924
Comment:
    Company name bord fixed on main area </t>
      </text>
    </comment>
    <comment ref="A262" authorId="190" shapeId="0" xr:uid="{A274AABC-C24A-4D75-AD9E-34B549F58CCF}">
      <text>
        <t>[Threaded comment]
Your version of Excel allows you to read this threaded comment; however, any edits to it will get removed if the file is opened in a newer version of Excel. Learn more: https://go.microsoft.com/fwlink/?linkid=870924
Comment:
    To indicate the underground route of LT cables for easy identification and to prevent accidental damage during excavation. Used along cable paths at regular intervals for safety and maintenance reference.</t>
      </text>
    </comment>
    <comment ref="A263" authorId="191" shapeId="0" xr:uid="{49099673-10E8-49CC-BC2D-BA9C27BFE9EF}">
      <text>
        <t xml:space="preserve">[Threaded comment]
Your version of Excel allows you to read this threaded comment; however, any edits to it will get removed if the file is opened in a newer version of Excel. Learn more: https://go.microsoft.com/fwlink/?linkid=870924
Comment:
    To protect personnel from electric shock while working near LT equipment. ISI-marked insulating mat as per IS 15652 is mandatory in LT panel/switchgear areas for safety compliance 
</t>
      </text>
    </comment>
    <comment ref="A264" authorId="192" shapeId="0" xr:uid="{C2728DB6-7146-4B65-B8A4-5564BB7E4C52}">
      <text>
        <t>[Threaded comment]
Your version of Excel allows you to read this threaded comment; however, any edits to it will get removed if the file is opened in a newer version of Excel. Learn more: https://go.microsoft.com/fwlink/?linkid=870924
Comment:
    Used for Underground cable transmission through road crossing area</t>
      </text>
    </comment>
    <comment ref="A265" authorId="193" shapeId="0" xr:uid="{D89C79D7-DE08-4A6F-96DC-2767F5E148EA}">
      <text>
        <t>[Threaded comment]
Your version of Excel allows you to read this threaded comment; however, any edits to it will get removed if the file is opened in a newer version of Excel. Learn more: https://go.microsoft.com/fwlink/?linkid=870924
Comment:
    Double-Wall Corrugated (DWC) pipes, typically used for DC cabling for ground mounted plant.</t>
      </text>
    </comment>
    <comment ref="A266" authorId="194" shapeId="0" xr:uid="{AE02179A-88FC-43D5-8633-5AF2DE54FB28}">
      <text>
        <t>[Threaded comment]
Your version of Excel allows you to read this threaded comment; however, any edits to it will get removed if the file is opened in a newer version of Excel. Learn more: https://go.microsoft.com/fwlink/?linkid=870924
Comment:
    Double-Wall Corrugated (DWC) pipes, typically used for DC cabling for ground mounted plant. Where ever T junction are needed.</t>
      </text>
    </comment>
    <comment ref="A267" authorId="195" shapeId="0" xr:uid="{34F2D8C1-5B44-45BA-92E5-70309523C7ED}">
      <text>
        <t>[Threaded comment]
Your version of Excel allows you to read this threaded comment; however, any edits to it will get removed if the file is opened in a newer version of Excel. Learn more: https://go.microsoft.com/fwlink/?linkid=870924
Comment:
    Double-Wall Corrugated (DWC) pipes, typically used for DC cabling for ground mounted plant. Where ever L  Bends are needed.</t>
      </text>
    </comment>
    <comment ref="A268" authorId="196" shapeId="0" xr:uid="{7C37BF6B-CED9-4624-A189-1B861CE510B5}">
      <text>
        <t>[Threaded comment]
Your version of Excel allows you to read this threaded comment; however, any edits to it will get removed if the file is opened in a newer version of Excel. Learn more: https://go.microsoft.com/fwlink/?linkid=870924
Comment:
    Double-Wall Corrugated (DWC) pipes, typically used for DC cabling for ground mounted plant. Where ever pipe extension is needed</t>
      </text>
    </comment>
    <comment ref="A269" authorId="197" shapeId="0" xr:uid="{2782A030-8288-4736-B77A-A57A70D30031}">
      <text>
        <t xml:space="preserve">[Threaded comment]
Your version of Excel allows you to read this threaded comment; however, any edits to it will get removed if the file is opened in a newer version of Excel. Learn more: https://go.microsoft.com/fwlink/?linkid=870924
Comment:
    Used to store the water for module cleaning </t>
      </text>
    </comment>
    <comment ref="A270" authorId="198" shapeId="0" xr:uid="{C3B6CFC9-3705-4D76-AE7A-DAABDF125E4C}">
      <text>
        <t xml:space="preserve">[Threaded comment]
Your version of Excel allows you to read this threaded comment; however, any edits to it will get removed if the file is opened in a newer version of Excel. Learn more: https://go.microsoft.com/fwlink/?linkid=870924
Comment:
    Used to store the water for module cleaning </t>
      </text>
    </comment>
    <comment ref="A271" authorId="199" shapeId="0" xr:uid="{99C3E4C8-5603-4589-B432-FD82B60260CB}">
      <text>
        <t>[Threaded comment]
Your version of Excel allows you to read this threaded comment; however, any edits to it will get removed if the file is opened in a newer version of Excel. Learn more: https://go.microsoft.com/fwlink/?linkid=870924
Comment:
    To pump the water from ground level to rooftop or solar plant area with sufficient water pressure to clean the solar modules.</t>
      </text>
    </comment>
    <comment ref="A272" authorId="200" shapeId="0" xr:uid="{114359B8-CE69-47A6-8FE7-E8457FCF0FED}">
      <text>
        <t>[Threaded comment]
Your version of Excel allows you to read this threaded comment; however, any edits to it will get removed if the file is opened in a newer version of Excel. Learn more: https://go.microsoft.com/fwlink/?linkid=870924
Comment:
    To pump the water from ground level to rooftop or solar plant area with sufficient water pressure to clean the solar modules.</t>
      </text>
    </comment>
    <comment ref="A273" authorId="201" shapeId="0" xr:uid="{990FFCA6-7486-4D23-B7DB-B988956A7C42}">
      <text>
        <t>[Threaded comment]
Your version of Excel allows you to read this threaded comment; however, any edits to it will get removed if the file is opened in a newer version of Excel. Learn more: https://go.microsoft.com/fwlink/?linkid=870924
Comment:
    To pump the water from ground level to rooftop or solar plant area with sufficient water Extra pressure to clean the solar modules.</t>
      </text>
    </comment>
    <comment ref="A274" authorId="202" shapeId="0" xr:uid="{9F1EB2C5-348B-427B-B56C-D445990FC792}">
      <text>
        <t>[Threaded comment]
Your version of Excel allows you to read this threaded comment; however, any edits to it will get removed if the file is opened in a newer version of Excel. Learn more: https://go.microsoft.com/fwlink/?linkid=870924
Comment:
    Water flow meters are essential devices for measuring the amount of water flowing through pipelines to measure the amount of water we are utilized in particular plant.</t>
      </text>
    </comment>
    <comment ref="A275" authorId="203" shapeId="0" xr:uid="{E67DA542-90AF-47E9-BFB1-4A4CE2E487A7}">
      <text>
        <t xml:space="preserve">[Threaded comment]
Your version of Excel allows you to read this threaded comment; however, any edits to it will get removed if the file is opened in a newer version of Excel. Learn more: https://go.microsoft.com/fwlink/?linkid=870924
Comment:
    Pressure relief valves (PRVs) are crucial safety devices in water pipelines and systems, particularly those using UPVC/CPVC pipes. They are designed to automatically open and release excess pressure when it exceeds a predetermined safe limit, protecting the system from potential damage and ensuring operational safety. </t>
      </text>
    </comment>
    <comment ref="A276" authorId="204" shapeId="0" xr:uid="{7F801F1C-853A-43F6-8D0F-F903E457E1D6}">
      <text>
        <t xml:space="preserve">[Threaded comment]
Your version of Excel allows you to read this threaded comment; however, any edits to it will get removed if the file is opened in a newer version of Excel. Learn more: https://go.microsoft.com/fwlink/?linkid=870924
Comment:
    Copper ring lugs are indispensable components for ensuring the safe and reliable earthing of solar panel module frames. In a solar installation, proper grounding of the module frames is critical to prevent electric shock hazards and protect the entire system from potential damage due to lightning strikes or electrical faults </t>
      </text>
    </comment>
    <comment ref="A277" authorId="205" shapeId="0" xr:uid="{3F79FF41-2BD9-4929-9227-089CE70BDEFA}">
      <text>
        <t xml:space="preserve">[Threaded comment]
Your version of Excel allows you to read this threaded comment; however, any edits to it will get removed if the file is opened in a newer version of Excel. Learn more: https://go.microsoft.com/fwlink/?linkid=870924
Comment:
    Copper ring lugs are indispensable components for ensuring the safe and reliable earthing of solar panel module frames. In a solar installation, proper grounding of the module frames is critical to prevent electric shock hazards and protect the entire system from potential damage due to lightning strikes or electrical faults </t>
      </text>
    </comment>
    <comment ref="A278" authorId="206" shapeId="0" xr:uid="{89D09C64-89E8-447B-A5EB-4573F94DC388}">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79" authorId="207" shapeId="0" xr:uid="{96955ED9-A3E0-4BEE-B656-888B377857AF}">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80" authorId="208" shapeId="0" xr:uid="{464CBF0D-7977-4CBB-AC03-CD4DCCF62F9E}">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81" authorId="209" shapeId="0" xr:uid="{6C52D2F2-644F-498B-9D2C-609DF3C57F82}">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82" authorId="210" shapeId="0" xr:uid="{7060191D-12AD-4358-A515-87B3C29CB092}">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83" authorId="211" shapeId="0" xr:uid="{24F23B8F-14F9-4B7B-A04F-F778B35D7A36}">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84" authorId="212" shapeId="0" xr:uid="{7924E1D2-1A08-4EA2-BCDE-A8ECFA508B37}">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85" authorId="213" shapeId="0" xr:uid="{87A35785-C006-49EB-A266-03AD2AB2363C}">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86" authorId="214" shapeId="0" xr:uid="{2AA36E2C-8969-4939-8A71-53CCC0992C20}">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87" authorId="215" shapeId="0" xr:uid="{D145DA17-DD85-4714-8519-3506A4C746DC}">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88" authorId="216" shapeId="0" xr:uid="{2E690DF4-BD25-4F63-A29F-BC8465C4866B}">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90" authorId="217" shapeId="0" xr:uid="{654ECE5A-0FFB-40D4-BEFC-73550CB24189}">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91" authorId="218" shapeId="0" xr:uid="{B24BDDBA-D9F8-43F4-8B00-9DD310E075E9}">
      <text>
        <t>[Threaded comment]
Your version of Excel allows you to read this threaded comment; however, any edits to it will get removed if the file is opened in a newer version of Excel. Learn more: https://go.microsoft.com/fwlink/?linkid=870924
Comment:
    Bimetallic lugs are specialized electrical connectors used to create a secure and electrically sound connection between two conductors made of different metals, typically aluminum and copper</t>
      </text>
    </comment>
    <comment ref="A293" authorId="219" shapeId="0" xr:uid="{C61C0F79-0889-4F75-8287-9474325C342A}">
      <text>
        <t xml:space="preserve">[Threaded comment]
Your version of Excel allows you to read this threaded comment; however, any edits to it will get removed if the file is opened in a newer version of Excel. Learn more: https://go.microsoft.com/fwlink/?linkid=870924
Comment:
    Aluminum lugs are electrical connectors specifically designed to terminate and connect aluminum conductors to various electrical devices, equipment, or other conductors </t>
      </text>
    </comment>
    <comment ref="A294" authorId="220" shapeId="0" xr:uid="{E65C477B-C67A-4F44-9D06-C0AA4BA65DCE}">
      <text>
        <t xml:space="preserve">[Threaded comment]
Your version of Excel allows you to read this threaded comment; however, any edits to it will get removed if the file is opened in a newer version of Excel. Learn more: https://go.microsoft.com/fwlink/?linkid=870924
Comment:
    Aluminum lugs are electrical connectors specifically designed to terminate and connect aluminum conductors to various electrical devices, equipment, or other conductors </t>
      </text>
    </comment>
    <comment ref="A295" authorId="221" shapeId="0" xr:uid="{1B60A7A1-7879-4F08-A817-DC735E24354D}">
      <text>
        <t xml:space="preserve">[Threaded comment]
Your version of Excel allows you to read this threaded comment; however, any edits to it will get removed if the file is opened in a newer version of Excel. Learn more: https://go.microsoft.com/fwlink/?linkid=870924
Comment:
    Aluminum lugs are electrical connectors specifically designed to terminate and connect aluminum conductors to various electrical devices, equipment, or other conductors </t>
      </text>
    </comment>
    <comment ref="A296" authorId="222" shapeId="0" xr:uid="{47543B7D-F2F7-4A78-A251-EC956ABB607F}">
      <text>
        <t xml:space="preserve">[Threaded comment]
Your version of Excel allows you to read this threaded comment; however, any edits to it will get removed if the file is opened in a newer version of Excel. Learn more: https://go.microsoft.com/fwlink/?linkid=870924
Comment:
    Aluminum lugs are electrical connectors specifically designed to terminate and connect aluminum conductors to various electrical devices, equipment, or other conductors </t>
      </text>
    </comment>
    <comment ref="A297" authorId="223" shapeId="0" xr:uid="{AA9FD239-D6B7-4D73-8F91-59B6CB89F15F}">
      <text>
        <t xml:space="preserve">[Threaded comment]
Your version of Excel allows you to read this threaded comment; however, any edits to it will get removed if the file is opened in a newer version of Excel. Learn more: https://go.microsoft.com/fwlink/?linkid=870924
Comment:
    Aluminum lugs are electrical connectors specifically designed to terminate and connect aluminum conductors to various electrical devices, equipment, or other conductors </t>
      </text>
    </comment>
    <comment ref="A298" authorId="224" shapeId="0" xr:uid="{E12B69C7-C12B-436F-8E07-D87F40EA7560}">
      <text>
        <t xml:space="preserve">[Threaded comment]
Your version of Excel allows you to read this threaded comment; however, any edits to it will get removed if the file is opened in a newer version of Excel. Learn more: https://go.microsoft.com/fwlink/?linkid=870924
Comment:
    Aluminum lugs are electrical connectors specifically designed to terminate and connect aluminum conductors to various electrical devices, equipment, or other conductors </t>
      </text>
    </comment>
    <comment ref="A299" authorId="225" shapeId="0" xr:uid="{7103A711-D198-4F34-8BEC-2565D8711ED4}">
      <text>
        <t xml:space="preserve">[Threaded comment]
Your version of Excel allows you to read this threaded comment; however, any edits to it will get removed if the file is opened in a newer version of Excel. Learn more: https://go.microsoft.com/fwlink/?linkid=870924
Comment:
    Aluminum lugs are electrical connectors specifically designed to terminate and connect aluminum conductors to various electrical devices, equipment, or other conductors </t>
      </text>
    </comment>
    <comment ref="A300" authorId="226" shapeId="0" xr:uid="{C4D4BB20-E23B-41FC-9183-76318951E4F6}">
      <text>
        <t xml:space="preserve">[Threaded comment]
Your version of Excel allows you to read this threaded comment; however, any edits to it will get removed if the file is opened in a newer version of Excel. Learn more: https://go.microsoft.com/fwlink/?linkid=870924
Comment:
    Aluminum lugs are electrical connectors specifically designed to terminate and connect aluminum conductors to various electrical devices, equipment, or other conductors </t>
      </text>
    </comment>
    <comment ref="A301" authorId="227" shapeId="0" xr:uid="{18441BC0-419A-456B-893E-66B169884D7F}">
      <text>
        <t xml:space="preserve">[Threaded comment]
Your version of Excel allows you to read this threaded comment; however, any edits to it will get removed if the file is opened in a newer version of Excel. Learn more: https://go.microsoft.com/fwlink/?linkid=870924
Comment:
    Aluminum lugs are electrical connectors specifically designed to terminate and connect aluminum conductors to various electrical devices, equipment, or other conductors </t>
      </text>
    </comment>
    <comment ref="A302" authorId="228" shapeId="0" xr:uid="{57E4906D-8E65-4EAD-8770-B67B99CDBEFB}">
      <text>
        <t xml:space="preserve">[Threaded comment]
Your version of Excel allows you to read this threaded comment; however, any edits to it will get removed if the file is opened in a newer version of Excel. Learn more: https://go.microsoft.com/fwlink/?linkid=870924
Comment:
    Aluminum lugs are electrical connectors specifically designed to terminate and connect aluminum conductors to various electrical devices, equipment, or other conductors </t>
      </text>
    </comment>
    <comment ref="A303" authorId="229" shapeId="0" xr:uid="{65751C38-A729-4F61-AB18-5DF8E4CB46DE}">
      <text>
        <t xml:space="preserve">[Threaded comment]
Your version of Excel allows you to read this threaded comment; however, any edits to it will get removed if the file is opened in a newer version of Excel. Learn more: https://go.microsoft.com/fwlink/?linkid=870924
Comment:
    Aluminum lugs are electrical connectors specifically designed to terminate and connect aluminum conductors to various electrical devices, equipment, or other conductors </t>
      </text>
    </comment>
    <comment ref="A304" authorId="230" shapeId="0" xr:uid="{0754E234-D1F8-420C-A2C3-323D4F73AABC}">
      <text>
        <t>[Threaded comment]
Your version of Excel allows you to read this threaded comment; however, any edits to it will get removed if the file is opened in a newer version of Excel. Learn more: https://go.microsoft.com/fwlink/?linkid=870924
Comment:
    BOS material Loading and transport through the road and it will reach to the site. All type of approvals and permission included</t>
      </text>
    </comment>
    <comment ref="A307" authorId="231" shapeId="0" xr:uid="{20DB08CB-9FB1-4060-B980-A3306A9BE897}">
      <text>
        <t xml:space="preserve">[Threaded comment]
Your version of Excel allows you to read this threaded comment; however, any edits to it will get removed if the file is opened in a newer version of Excel. Learn more: https://go.microsoft.com/fwlink/?linkid=870924
Comment:
    Maintaining a well-stocked spare parts inventory is crucial for ensuring the reliability, efficiency, and continuous operation of a solar power plant. </t>
      </text>
    </comment>
    <comment ref="A308" authorId="232" shapeId="0" xr:uid="{F7621670-B8F3-4901-BE81-2436DDD519E2}">
      <text>
        <t xml:space="preserve">[Threaded comment]
Your version of Excel allows you to read this threaded comment; however, any edits to it will get removed if the file is opened in a newer version of Excel. Learn more: https://go.microsoft.com/fwlink/?linkid=870924
Comment:
    Total plant insurance, often referred to as specialized renewable energy insurance, is a critical component for safeguarding solar power plants against a wide range of risks. It provides comprehensive coverage for the entire facility, including both the solar modules and the Balance of System (BOS) components (inverters, structures, cabling, substation, etc. )
</t>
      </text>
    </comment>
    <comment ref="A311" authorId="233" shapeId="0" xr:uid="{211B9A56-3D98-47B0-8F67-66DE2C8393A4}">
      <text>
        <t xml:space="preserve">[Threaded comment]
Your version of Excel allows you to read this threaded comment; however, any edits to it will get removed if the file is opened in a newer version of Excel. Learn more: https://go.microsoft.com/fwlink/?linkid=870924
Comment:
    Thermography uses infrared cameras to detect "hot spots" (excess heat) in electrical systems, identifying issues like loose connections or insulation failure for predictive maintenance, while a Power Analyzer precisely measures electrical parameters (voltage, current, power, harmonics) to quantify energy use, quality, and efficiency </t>
      </text>
    </comment>
    <comment ref="A312" authorId="234" shapeId="0" xr:uid="{D6C7D917-AFC4-427D-9267-EC56C86A0631}">
      <text>
        <t xml:space="preserve">[Threaded comment]
Your version of Excel allows you to read this threaded comment; however, any edits to it will get removed if the file is opened in a newer version of Excel. Learn more: https://go.microsoft.com/fwlink/?linkid=870924
Comment:
    Galvanized Iron (GI) conduits are essential for protecting electrical cables in solar power plants, offering durability against harsh environmental conditions </t>
      </text>
    </comment>
    <comment ref="A313" authorId="235" shapeId="0" xr:uid="{F223FC82-B43E-4378-B8D2-9E8C6DCCF02F}">
      <text>
        <t>[Threaded comment]
Your version of Excel allows you to read this threaded comment; however, any edits to it will get removed if the file is opened in a newer version of Excel. Learn more: https://go.microsoft.com/fwlink/?linkid=870924
Comment:
    Kind of Bank grandee</t>
      </text>
    </comment>
    <comment ref="A314" authorId="236" shapeId="0" xr:uid="{BC224335-85FD-4D57-B7B5-FD0280BDC7BC}">
      <text>
        <t xml:space="preserve">[Threaded comment]
Your version of Excel allows you to read this threaded comment; however, any edits to it will get removed if the file is opened in a newer version of Excel. Learn more: https://go.microsoft.com/fwlink/?linkid=870924
Comment:
    Module frame earthing, also known as array earthing or grounding, is a critical safety and performance measure in solar PV systems. It involves securely connecting the metallic frames of the solar panels and their mounting structures to the overall earthing system of the solar installation. </t>
      </text>
    </comment>
    <comment ref="A315" authorId="237" shapeId="0" xr:uid="{A3E9A49C-A6CC-4B1C-9303-60DF8E663ACE}">
      <text>
        <t>[Threaded comment]
Your version of Excel allows you to read this threaded comment; however, any edits to it will get removed if the file is opened in a newer version of Excel. Learn more: https://go.microsoft.com/fwlink/?linkid=870924
Comment:
    ETAP Load Flow Analysis is a power system simulation using ETAP software to analyze the steady-state performance of electrical networks, calculating bus voltages, line loadings, power flows, and losses to identify issues like voltage violations or overloaded equipment, crucial for system planning and operation.</t>
      </text>
    </comment>
    <comment ref="A316" authorId="238" shapeId="0" xr:uid="{F21CA5BA-EC28-4427-AEFB-69D04BB4D281}">
      <text>
        <t>[Threaded comment]
Your version of Excel allows you to read this threaded comment; however, any edits to it will get removed if the file is opened in a newer version of Excel. Learn more: https://go.microsoft.com/fwlink/?linkid=870924
Comment:
    To display the current value of plant performance.</t>
      </text>
    </comment>
    <comment ref="A319" authorId="239" shapeId="0" xr:uid="{7C2EA71C-4094-47AC-A798-1E9117A28587}">
      <text>
        <t>[Threaded comment]
Your version of Excel allows you to read this threaded comment; however, any edits to it will get removed if the file is opened in a newer version of Excel. Learn more: https://go.microsoft.com/fwlink/?linkid=870924
Comment:
    This having 1.5 mtrs height ladder used to clean the RCC mounted installation modules</t>
      </text>
    </comment>
    <comment ref="A320" authorId="240" shapeId="0" xr:uid="{93425971-556F-4629-A333-138DB3289FAE}">
      <text>
        <t xml:space="preserve">[Threaded comment]
Your version of Excel allows you to read this threaded comment; however, any edits to it will get removed if the file is opened in a newer version of Excel. Learn more: https://go.microsoft.com/fwlink/?linkid=870924
Comment:
    Movable ladders in parking structures serve various crucial purposes, mainly focusing on maintenance, accessibility, and safety within these often large and complex environments. </t>
      </text>
    </comment>
    <comment ref="A321" authorId="241" shapeId="0" xr:uid="{747F0219-909C-4BBC-91D6-619A6461E19A}">
      <text>
        <t>[Threaded comment]
Your version of Excel allows you to read this threaded comment; however, any edits to it will get removed if the file is opened in a newer version of Excel. Learn more: https://go.microsoft.com/fwlink/?linkid=870924
Comment:
    Structural Stability (Mechanical): Focuses on the mounting system and building integration, checking against wind loads, snow, and seismic events.</t>
      </text>
    </comment>
    <comment ref="A333" authorId="242" shapeId="0" xr:uid="{5699149E-43FC-4ABE-AD72-CA74E9FEAEF5}">
      <text>
        <t xml:space="preserve">[Threaded comment]
Your version of Excel allows you to read this threaded comment; however, any edits to it will get removed if the file is opened in a newer version of Excel. Learn more: https://go.microsoft.com/fwlink/?linkid=870924
Comment:
    In the context of solar installations, project management is crucial for successfully installing and commissioning solar power plants, whether on rooftops or as large-scale solar farms 
</t>
      </text>
    </comment>
    <comment ref="A334" authorId="243" shapeId="0" xr:uid="{CEA4A493-679A-4EDD-9E7B-0C5B15F6D329}">
      <text>
        <t xml:space="preserve">[Threaded comment]
Your version of Excel allows you to read this threaded comment; however, any edits to it will get removed if the file is opened in a newer version of Excel. Learn more: https://go.microsoft.com/fwlink/?linkid=870924
Comment:
    A Safety Officer, also known as an EHS (Environmental, Health, and Safety) Officer, plays a critical and multifaceted role in ensuring safety, regulatory compliance, and a secure working environment throughout the entire lifecycle  </t>
      </text>
    </comment>
    <comment ref="A335" authorId="244" shapeId="0" xr:uid="{065D1254-6DB3-43FC-8EA1-BC25D10E8D90}">
      <text>
        <t xml:space="preserve">[Threaded comment]
Your version of Excel allows you to read this threaded comment; however, any edits to it will get removed if the file is opened in a newer version of Excel. Learn more: https://go.microsoft.com/fwlink/?linkid=870924
Comment:
    Setting up a solar shed on a rooftop involves a combination of civil engineering and the installation and commissioning (I&amp;C) of the solar power system. This process ensures the structure is sound, the solar panels are securely mounted, and the electrical system is properly connected and functioning. 
</t>
      </text>
    </comment>
    <comment ref="A336" authorId="245" shapeId="0" xr:uid="{3972B33E-08BA-4B4F-9D93-78950F91416C}">
      <text>
        <t xml:space="preserve">[Threaded comment]
Your version of Excel allows you to read this threaded comment; however, any edits to it will get removed if the file is opened in a newer version of Excel. Learn more: https://go.microsoft.com/fwlink/?linkid=870924
Comment:
    Setting up a solar RCC on a rooftop involves a combination of civil engineering and the installation and commissioning (I&amp;C) of the solar power system. This process ensures the structure is sound, the solar panels are securely mounted, and the electrical system is properly connected and functioning. 
</t>
      </text>
    </comment>
    <comment ref="A337" authorId="246" shapeId="0" xr:uid="{A1498D9F-AD18-4342-818D-7BAA5E083C06}">
      <text>
        <t xml:space="preserve">[Threaded comment]
Your version of Excel allows you to read this threaded comment; however, any edits to it will get removed if the file is opened in a newer version of Excel. Learn more: https://go.microsoft.com/fwlink/?linkid=870924
Comment:
    Setting up a solar RCC raised (2.5mtrs) on a rooftop involves a combination of civil engineering and the installation and commissioning (I&amp;C) of the solar power system. This process ensures the structure is sound, the solar panels are securely mounted, and the electrical system is properly connected and functioning. </t>
      </text>
    </comment>
    <comment ref="A338" authorId="247" shapeId="0" xr:uid="{1D108F0F-5346-4E09-AC00-F4FDB523DE9A}">
      <text>
        <t xml:space="preserve">[Threaded comment]
Your version of Excel allows you to read this threaded comment; however, any edits to it will get removed if the file is opened in a newer version of Excel. Learn more: https://go.microsoft.com/fwlink/?linkid=870924
Comment:
    Setting up a solar RCC raised (2.5mtrs) on a rooftop involves a combination of civil engineering and the installation and commissioning (I&amp;C) of the solar power system. This process ensures the structure is sound, the solar panels are securely mounted, and the electrical system is properly connected and functioning. </t>
      </text>
    </comment>
    <comment ref="A339" authorId="248" shapeId="0" xr:uid="{E902A892-54FA-4F01-9B6B-4DC00848D550}">
      <text>
        <t xml:space="preserve">[Threaded comment]
Your version of Excel allows you to read this threaded comment; however, any edits to it will get removed if the file is opened in a newer version of Excel. Learn more: https://go.microsoft.com/fwlink/?linkid=870924
Comment:
    Setting up a solar RCC raised on the exiting pillar (2.5mtrs) on a rooftop involves a combination of civil engineering and the installation and commissioning (I&amp;C) of the solar power system. This process ensures the structure is sound, the solar panels are securely mounted, and the electrical system is properly connected and functioning. 
</t>
      </text>
    </comment>
    <comment ref="A340" authorId="249" shapeId="0" xr:uid="{E9750EF8-A627-4DF8-8593-62866BE9D636}">
      <text>
        <t xml:space="preserve">[Threaded comment]
Your version of Excel allows you to read this threaded comment; however, any edits to it will get removed if the file is opened in a newer version of Excel. Learn more: https://go.microsoft.com/fwlink/?linkid=870924
Comment:
    Setting up a solar Ground involves a combination of civil engineering and the installation and commissioning (I&amp;C) of the solar power system. This process ensures the structure is sound, the solar panels are securely mounted, and the electrical system is properly connected and functioning. </t>
      </text>
    </comment>
    <comment ref="A341" authorId="250" shapeId="0" xr:uid="{AECBC3AD-4D45-4015-A438-A27513AC7CB4}">
      <text>
        <t xml:space="preserve">[Threaded comment]
Your version of Excel allows you to read this threaded comment; however, any edits to it will get removed if the file is opened in a newer version of Excel. Learn more: https://go.microsoft.com/fwlink/?linkid=870924
Comment:
    Setting up a solar Ground raised 3 mtrs height involves a combination of civil engineering and the installation and commissioning (I&amp;C) of the solar power system. This process ensures the structure is sound, the solar panels are securely mounted, and the electrical system is properly connected and functioning. </t>
      </text>
    </comment>
    <comment ref="A342" authorId="251" shapeId="0" xr:uid="{41739647-EE2B-4950-AFD6-BA230AF9045E}">
      <text>
        <t xml:space="preserve">[Threaded comment]
Your version of Excel allows you to read this threaded comment; however, any edits to it will get removed if the file is opened in a newer version of Excel. Learn more: https://go.microsoft.com/fwlink/?linkid=870924
Comment:
    Setting up a solar Ground raised 6 mtrs height involves a combination of civil engineering and the installation and commissioning (I&amp;C) of the solar power system. This process ensures the structure is sound, the solar panels are securely mounted, and the electrical system is properly connected and functioning. 
</t>
      </text>
    </comment>
    <comment ref="A343" authorId="252" shapeId="0" xr:uid="{7BB176BB-8CB0-4B6C-8D5E-4FE389879012}">
      <text>
        <t>[Threaded comment]
Your version of Excel allows you to read this threaded comment; however, any edits to it will get removed if the file is opened in a newer version of Excel. Learn more: https://go.microsoft.com/fwlink/?linkid=870924
Comment:
    Setting up a solar Floating involves a combination of civil engineering and the installation and commissioning (I&amp;C) of the solar power system. This process ensures the structure is sound, the solar panels are securely mounted, and the electrical system is properly connected and functioning.</t>
      </text>
    </comment>
    <comment ref="A344" authorId="253" shapeId="0" xr:uid="{633ED09B-CFD9-4407-928D-0A1ECA55CFA1}">
      <text>
        <t xml:space="preserve">[Threaded comment]
Your version of Excel allows you to read this threaded comment; however, any edits to it will get removed if the file is opened in a newer version of Excel. Learn more: https://go.microsoft.com/fwlink/?linkid=870924
Comment:
    Providing a dedicated stand with a protective canopy for the inverter is a critical step in ensuring the longevity, performance, and safety of a solar power system </t>
      </text>
    </comment>
    <comment ref="A345" authorId="254" shapeId="0" xr:uid="{1120E6FC-0695-4AFC-B5EE-CAE6EFD26E42}">
      <text>
        <t xml:space="preserve">[Threaded comment]
Your version of Excel allows you to read this threaded comment; however, any edits to it will get removed if the file is opened in a newer version of Excel. Learn more: https://go.microsoft.com/fwlink/?linkid=870924
Comment:
    Providing a dedicated stand with a protective canopy for the inverter is a critical step in ensuring the longevity, performance, and safety of a solar power system </t>
      </text>
    </comment>
    <comment ref="A346" authorId="255" shapeId="0" xr:uid="{8189E509-2902-41FA-9120-FF019E2FC745}">
      <text>
        <t xml:space="preserve">[Threaded comment]
Your version of Excel allows you to read this threaded comment; however, any edits to it will get removed if the file is opened in a newer version of Excel. Learn more: https://go.microsoft.com/fwlink/?linkid=870924
Comment:
    Soil trenching for electrical cables is a process that involves digging a trench in the ground to lay electrical cables. This method provides physical protection for the cables and helps to maintain a consistent temperature, which is important for the performance and lifespan of the cables </t>
      </text>
    </comment>
    <comment ref="A348" authorId="256" shapeId="0" xr:uid="{82525476-0049-4019-BDB2-E3C5D4925D57}">
      <text>
        <t xml:space="preserve">[Threaded comment]
Your version of Excel allows you to read this threaded comment; however, any edits to it will get removed if the file is opened in a newer version of Excel. Learn more: https://go.microsoft.com/fwlink/?linkid=870924
Comment:
    This involves digging a trench across the road, laying the cable within the trench, and then backfilling. </t>
      </text>
    </comment>
    <comment ref="A349" authorId="257" shapeId="0" xr:uid="{47FFE7AA-9A8A-4514-A4E5-7CDD3276B1D3}">
      <text>
        <t>[Threaded comment]
Your version of Excel allows you to read this threaded comment; however, any edits to it will get removed if the file is opened in a newer version of Excel. Learn more: https://go.microsoft.com/fwlink/?linkid=870924
Comment:
    A cable gantry is a structure that supports and organizes electrical cables, particularly in areas where overhead routing is necessary or preferable to underground trenching. While the term "gantry" is most commonly associated with gantry cranes used for heavy lifting, it also refers to structures that support cables, especially in industrial Rooftops</t>
      </text>
    </comment>
    <comment ref="A351" authorId="258" shapeId="0" xr:uid="{502A9DC3-942B-413D-A6D3-544BB7D87E36}">
      <text>
        <t xml:space="preserve">[Threaded comment]
Your version of Excel allows you to read this threaded comment; however, any edits to it will get removed if the file is opened in a newer version of Excel. Learn more: https://go.microsoft.com/fwlink/?linkid=870924
Comment:
    Accurate knowledge of soil properties like bearing capacity, cohesion, and compressibility is crucial for designing a strong and stable foundation that can support the panel and associated infrastructure without excessive settlement, cracks, or potential collapse. 
</t>
      </text>
    </comment>
    <comment ref="A352" authorId="259" shapeId="0" xr:uid="{A21BC9E6-7401-4587-B1AB-4B4BB6F063AB}">
      <text>
        <t>[Threaded comment]
Your version of Excel allows you to read this threaded comment; however, any edits to it will get removed if the file is opened in a newer version of Excel. Learn more: https://go.microsoft.com/fwlink/?linkid=870924
Comment:
    Reshaping the land to achieve a flat or uniformly sloped surface suitable for solar panel installation and the associated infrastructure.</t>
      </text>
    </comment>
    <comment ref="A353" authorId="260" shapeId="0" xr:uid="{236A34A0-4F85-433F-82D6-4FEB294D07B3}">
      <text>
        <t xml:space="preserve">[Threaded comment]
Your version of Excel allows you to read this threaded comment; however, any edits to it will get removed if the file is opened in a newer version of Excel. Learn more: https://go.microsoft.com/fwlink/?linkid=870924
Comment:
    A bathymetry test (or survey) measures the depth and shape of the underwater terrain (seafloor, lakebeds) using technologies like sonar (multibeam echo sounders) and Lidar, creating detailed maps for navigation, engineering, and environmental studies, analogous to topography for land. These surveys help create nautical charts, map underwater features, study water quality, and assess risks like scour, involving precise positioning and data processing to understand underwater landscapes.  </t>
      </text>
    </comment>
    <comment ref="A354" authorId="261" shapeId="0" xr:uid="{ECE930FC-28F7-48FE-B09B-88AA69642729}">
      <text>
        <t xml:space="preserve">[Threaded comment]
Your version of Excel allows you to read this threaded comment; however, any edits to it will get removed if the file is opened in a newer version of Excel. Learn more: https://go.microsoft.com/fwlink/?linkid=870924
Comment:
    CFD analysis (Computational Fluid Dynamics) uses numerical methods and computer simulations to study and predict how liquids and gases (fluids) flow and interact with objects or systems </t>
      </text>
    </comment>
    <comment ref="A355" authorId="262" shapeId="0" xr:uid="{97206377-914C-46D3-8BE6-31E3B4BEE8E8}">
      <text>
        <t>[Threaded comment]
Your version of Excel allows you to read this threaded comment; however, any edits to it will get removed if the file is opened in a newer version of Excel. Learn more: https://go.microsoft.com/fwlink/?linkid=870924
Comment:
    To approach the Plant from exiting road</t>
      </text>
    </comment>
    <comment ref="A356" authorId="263" shapeId="0" xr:uid="{74046293-FF3F-411B-BCA5-F335D85569EC}">
      <text>
        <t>[Threaded comment]
Your version of Excel allows you to read this threaded comment; however, any edits to it will get removed if the file is opened in a newer version of Excel. Learn more: https://go.microsoft.com/fwlink/?linkid=870924
Comment:
    Providing access for routine maintenance tasks like cleaning, inspections, and repairs of the solar panels and associated equipment.</t>
      </text>
    </comment>
    <comment ref="A357" authorId="264" shapeId="0" xr:uid="{9354B6B9-FA08-4757-93E6-A4CD3788DFE5}">
      <text>
        <t xml:space="preserve">[Threaded comment]
Your version of Excel allows you to read this threaded comment; however, any edits to it will get removed if the file is opened in a newer version of Excel. Learn more: https://go.microsoft.com/fwlink/?linkid=870924
Comment:
    Peripheral roads facilitate security patrols and surveillance activities, helping prevent theft and vandalism. Regular patrols along these roads allow for quicker detection of unauthorized entry or suspicious activities. </t>
      </text>
    </comment>
    <comment ref="A358" authorId="265" shapeId="0" xr:uid="{B4D467F0-2262-433D-9C6C-A40E8A74E1B7}">
      <text>
        <t>[Threaded comment]
Your version of Excel allows you to read this threaded comment; however, any edits to it will get removed if the file is opened in a newer version of Excel. Learn more: https://go.microsoft.com/fwlink/?linkid=870924
Comment:
    Stormwater drainage systems are essential infrastructure designed to manage excess rainwater and melted snow from various surfaces, primarily impervious one solar plant area ground mounted locations.</t>
      </text>
    </comment>
    <comment ref="A359" authorId="266" shapeId="0" xr:uid="{867354C8-AF5E-4EFD-A98B-1AE087DFDB99}">
      <text>
        <t>[Threaded comment]
Your version of Excel allows you to read this threaded comment; however, any edits to it will get removed if the file is opened in a newer version of Excel. Learn more: https://go.microsoft.com/fwlink/?linkid=870924
Comment:
    Many inverter control rooms are prefabricated, built using lightweight and insulated sandwich panels  to keep the other electronics device like battery LT panel etc.</t>
      </text>
    </comment>
    <comment ref="A365" authorId="267" shapeId="0" xr:uid="{7049A4D8-6772-4DD4-B938-B10F35689B15}">
      <text>
        <t>[Threaded comment]
Your version of Excel allows you to read this threaded comment; however, any edits to it will get removed if the file is opened in a newer version of Excel. Learn more: https://go.microsoft.com/fwlink/?linkid=870924
Comment:
    CEIG liaisoning cost covers expenses related to obtaining approvals, inspections, and certifications from the Chief Electrical Inspector to Government for electrical installations.</t>
      </text>
    </comment>
    <comment ref="A366" authorId="268" shapeId="0" xr:uid="{EADDC402-095B-4F81-BF19-504F1B58E1A9}">
      <text>
        <t xml:space="preserve">[Threaded comment]
Your version of Excel allows you to read this threaded comment; however, any edits to it will get removed if the file is opened in a newer version of Excel. Learn more: https://go.microsoft.com/fwlink/?linkid=870924
Comment:
    NOC (No Objection Certificate) from DISCOMs is a crucial requirement for setting up solar power plants in India. This certificate ensures that your solar system complies with the DISCOM's grid connection and safety standards. Without an NOC, you cannot proceed with your solar installation. </t>
      </text>
    </comment>
    <comment ref="A367" authorId="269" shapeId="0" xr:uid="{EE1886DB-455E-4929-9379-85DD796437DC}">
      <text>
        <t xml:space="preserve">[Threaded comment]
Your version of Excel allows you to read this threaded comment; however, any edits to it will get removed if the file is opened in a newer version of Excel. Learn more: https://go.microsoft.com/fwlink/?linkid=870924
Comment:
    Net metering is a crucial mechanism that allows owners of solar PV systems to send surplus electricity generated back to the grid and receive credits for it, effectively reducing their overall electricity bills. In India, this process often involves the use of ABT (Availability Based Tariff) meters, particularly for larger installations or high-tension consumers </t>
      </text>
    </comment>
    <comment ref="A368" authorId="270" shapeId="0" xr:uid="{4EDB48FC-7A81-4CA2-9021-83962FE71DF2}">
      <text>
        <t xml:space="preserve">[Threaded comment]
Your version of Excel allows you to read this threaded comment; however, any edits to it will get removed if the file is opened in a newer version of Excel. Learn more: https://go.microsoft.com/fwlink/?linkid=870924
Comment:
    In India, installing a solar power plant, especially an on-grid or net-metered system, involves a variety of statutory fees and charges levied by different government bodies and agencies. These fees can vary significantly based on factors such as the size and type of the plant (e.g., residential rooftop vs. utility-scale), the specific state, and the local electricity distribution company (DISCOM).  </t>
      </text>
    </comment>
    <comment ref="A369" authorId="271" shapeId="0" xr:uid="{E0B3DC3D-2B46-458D-BA64-0568B83F1FB6}">
      <text>
        <t xml:space="preserve">[Threaded comment]
Your version of Excel allows you to read this threaded comment; however, any edits to it will get removed if the file is opened in a newer version of Excel. Learn more: https://go.microsoft.com/fwlink/?linkid=870924
Comment:
    Metering cubicles are vital for businesses and infrastructure projects that rely on efficient and accurate energy management. They are used in applications like substations, industrial plants, and utility installations to monitor and record electricity usage for billing, monitoring, and optimization </t>
      </text>
    </comment>
    <comment ref="A371" authorId="272" shapeId="0" xr:uid="{313AF158-C5E4-4A1B-BC6B-560D22882059}">
      <text>
        <t>[Threaded comment]
Your version of Excel allows you to read this threaded comment; however, any edits to it will get removed if the file is opened in a newer version of Excel. Learn more: https://go.microsoft.com/fwlink/?linkid=870924
Comment:
    Applicable for Tamil nadu state</t>
      </text>
    </comment>
    <comment ref="A372" authorId="273" shapeId="0" xr:uid="{9E118BF4-2F86-40A1-A0AE-7BE6A60CD4E0}">
      <text>
        <t>[Threaded comment]
Your version of Excel allows you to read this threaded comment; however, any edits to it will get removed if the file is opened in a newer version of Excel. Learn more: https://go.microsoft.com/fwlink/?linkid=870924
Comment:
    Applicable for Tamil nadu state</t>
      </text>
    </comment>
    <comment ref="A373" authorId="274" shapeId="0" xr:uid="{5FDAFA6F-0D0E-497F-8126-BC3CEFC8FCFC}">
      <text>
        <t xml:space="preserve">[Threaded comment]
Your version of Excel allows you to read this threaded comment; however, any edits to it will get removed if the file is opened in a newer version of Excel. Learn more: https://go.microsoft.com/fwlink/?linkid=870924
Comment:
    It measures the amount of electricity generated by the solar system (in kWh) and how much of it is sent to your load (and possibly to the grid). </t>
      </text>
    </comment>
    <comment ref="A375" authorId="275" shapeId="0" xr:uid="{F998792A-2760-439F-AABA-F25A81C94ED2}">
      <text>
        <t xml:space="preserve">[Threaded comment]
Your version of Excel allows you to read this threaded comment; however, any edits to it will get removed if the file is opened in a newer version of Excel. Learn more: https://go.microsoft.com/fwlink/?linkid=870924
Comment:
    The Renewable Purchase Obligation (RPO) is a critical regulatory mechanism in India designed to promote the generation and consumption of electricity from renewable energy (RE) sources. Mandated by the Electricity Act, 2003, and subsequently elaborated upon by the Central and State Electricity Regulatory Commissions (CERC/SERCs), the RPO framework requires certain obligated entities to procure a specified percentage of their electricity from RE sources </t>
      </text>
    </comment>
    <comment ref="A376" authorId="276" shapeId="0" xr:uid="{D3AD6D28-7FEB-444D-87A7-BD0ABC8B7331}">
      <text>
        <t>[Threaded comment]
Your version of Excel allows you to read this threaded comment; however, any edits to it will get removed if the file is opened in a newer version of Excel. Learn more: https://go.microsoft.com/fwlink/?linkid=870924
Comment:
    Applicable only on MP state</t>
      </text>
    </comment>
    <comment ref="A377" authorId="277" shapeId="0" xr:uid="{B02405BC-5419-4136-AC6E-D45E726ABB66}">
      <text>
        <t>[Threaded comment]
Your version of Excel allows you to read this threaded comment; however, any edits to it will get removed if the file is opened in a newer version of Excel. Learn more: https://go.microsoft.com/fwlink/?linkid=870924
Comment:
    Running cost for MP State</t>
      </text>
    </comment>
    <comment ref="A378" authorId="278" shapeId="0" xr:uid="{42CF554A-CAAA-4FC5-A2B8-AA86672E3E41}">
      <text>
        <t xml:space="preserve">[Threaded comment]
Your version of Excel allows you to read this threaded comment; however, any edits to it will get removed if the file is opened in a newer version of Excel. Learn more: https://go.microsoft.com/fwlink/?linkid=870924
Comment:
    the solar capacity in AP exceeds 1 MW, you must go through a special approval process, and you’ll incur higher application charges MW as per the draft APERC regulations </t>
      </text>
    </comment>
    <comment ref="A379" authorId="279" shapeId="0" xr:uid="{8997DF15-C67F-454B-ADC4-9B7892BAEE18}">
      <text>
        <t xml:space="preserve">[Threaded comment]
Your version of Excel allows you to read this threaded comment; however, any edits to it will get removed if the file is opened in a newer version of Excel. Learn more: https://go.microsoft.com/fwlink/?linkid=870924
Comment:
    The seamless communication between Remote Terminal Units (RTUs) at solar power plants and the State Load Despatch Centres (SLDCs) is critical for efficient grid integration, monitoring, and control of renewable energy (RE) generation. This communication ensures grid stability, optimizes power flow, and helps manage the intermittent nature of solar power.## I. Importance of communication </t>
      </text>
    </comment>
    <comment ref="A380" authorId="280" shapeId="0" xr:uid="{A954FDCB-413A-4E06-98BF-DD8506F0C85F}">
      <text>
        <t>[Threaded comment]
Your version of Excel allows you to read this threaded comment; however, any edits to it will get removed if the file is opened in a newer version of Excel. Learn more: https://go.microsoft.com/fwlink/?linkid=870924
Comment:
    In India, the term "DISCOM meter" refers to the electricity meter provided and managed by the local Distribution Company (DISCOM). This meter plays a crucial role in the financial accounting and operation of solar power plants, particularly those connected to the grid. There are two primary types of metering arrangements employed by DISCOMs for solar rooftop plants: net metering and gross metering. </t>
      </text>
    </comment>
    <comment ref="A386" authorId="281" shapeId="0" xr:uid="{763581FD-06C8-4783-B815-FF03DB829D3C}">
      <text>
        <t xml:space="preserve">[Threaded comment]
Your version of Excel allows you to read this threaded comment; however, any edits to it will get removed if the file is opened in a newer version of Excel. Learn more: https://go.microsoft.com/fwlink/?linkid=870924
Comment:
    EPC Margin represents the profit margin added by the Engineering, Procurement, and Construction contractor for managing and executing the complete project scope efficiently and successfully. </t>
      </text>
    </comment>
    <comment ref="A387" authorId="282" shapeId="0" xr:uid="{BD8A64CA-C39F-4F35-99BA-4DCCC03FF596}">
      <text>
        <t>[Threaded comment]
Your version of Excel allows you to read this threaded comment; however, any edits to it will get removed if the file is opened in a newer version of Excel. Learn more: https://go.microsoft.com/fwlink/?linkid=870924
Comment:
    Marketing commission is the fee paid to agents or agencies for promoting and securing project orders, contributing to business growth and client acquisition.</t>
      </text>
    </comment>
    <comment ref="A391" authorId="283" shapeId="0" xr:uid="{98353CFC-56B6-40B0-AE6D-83EA5332A484}">
      <text>
        <t xml:space="preserve">[Threaded comment]
Your version of Excel allows you to read this threaded comment; however, any edits to it will get removed if the file is opened in a newer version of Excel. Learn more: https://go.microsoft.com/fwlink/?linkid=870924
Comment:
    Annual Maintenance Contract (AMC) covers scheduled servicing, repairs, and technical support to ensure reliable operation and longevity of equipment throughout the year. </t>
      </text>
    </comment>
    <comment ref="A392" authorId="284" shapeId="0" xr:uid="{FD727342-9C0B-4A58-B3B9-374A259EC088}">
      <text>
        <t>[Threaded comment]
Your version of Excel allows you to read this threaded comment; however, any edits to it will get removed if the file is opened in a newer version of Excel. Learn more: https://go.microsoft.com/fwlink/?linkid=870924
Comment:
    Applicable for ITC Projects</t>
      </text>
    </comment>
    <comment ref="A395" authorId="285" shapeId="0" xr:uid="{4B0BD874-238C-4CF4-B260-A273EFE45FB7}">
      <text>
        <t xml:space="preserve">[Threaded comment]
Your version of Excel allows you to read this threaded comment; however, any edits to it will get removed if the file is opened in a newer version of Excel. Learn more: https://go.microsoft.com/fwlink/?linkid=870924
Comment:
    Solar CAPEX (Capital Expenditure) costs refer to the upfront investment required to purchase, install, and commission a solar energy system. Essentially, it's the initial capital outlay a business or individual makes to own the solar power plant outright. </t>
      </text>
    </comment>
    <comment ref="A397" authorId="286" shapeId="0" xr:uid="{424E2458-40C9-4C6D-A0D5-E67BC33C879B}">
      <text>
        <t xml:space="preserve">[Threaded comment]
Your version of Excel allows you to read this threaded comment; however, any edits to it will get removed if the file is opened in a newer version of Excel. Learn more: https://go.microsoft.com/fwlink/?linkid=870924
Comment:
    A BG is a financial instrument issued by a bank that ensures the fulfillment of contractual or financial obligations. If a party fails to meet their obligations, the bank will step in and cover the losses up to the guaranteed amount. </t>
      </text>
    </comment>
    <comment ref="A399" authorId="287" shapeId="0" xr:uid="{2C613DE7-B1D8-4A97-8EC8-F485C5311620}">
      <text>
        <t>[Threaded comment]
Your version of Excel allows you to read this threaded comment; however, any edits to it will get removed if the file is opened in a newer version of Excel. Learn more: https://go.microsoft.com/fwlink/?linkid=870924
Comment:
    Capex cost including BG Value</t>
      </text>
    </comment>
    <comment ref="A401" authorId="288" shapeId="0" xr:uid="{02937FB3-F055-4B69-89C0-75132677DE1C}">
      <text>
        <t xml:space="preserve">[Threaded comment]
Your version of Excel allows you to read this threaded comment; however, any edits to it will get removed if the file is opened in a newer version of Excel. Learn more: https://go.microsoft.com/fwlink/?linkid=870924
Comment:
    In India, the Goods and Services Tax (GST) applies to solar power projects, though with specific rates and regulations designed to balance tax revenue with the promotion of renewable energy. </t>
      </text>
    </comment>
    <comment ref="A403" authorId="289" shapeId="0" xr:uid="{0A2A12EE-5C97-4D5F-92A1-5AFB9505D616}">
      <text>
        <t xml:space="preserve">[Threaded comment]
Your version of Excel allows you to read this threaded comment; however, any edits to it will get removed if the file is opened in a newer version of Excel. Learn more: https://go.microsoft.com/fwlink/?linkid=870924
Comment:
    OPEX or Operating Expenditure refers to the ongoing costs incurred to run and maintain a solar power plant throughout its operational lifetime. </t>
      </text>
    </comment>
    <comment ref="A591" authorId="290" shapeId="0" xr:uid="{CE9AD8CA-85EF-44B0-97A2-4EE2F5628BDF}">
      <text>
        <t xml:space="preserve">[Threaded comment]
Your version of Excel allows you to read this threaded comment; however, any edits to it will get removed if the file is opened in a newer version of Excel. Learn more: https://go.microsoft.com/fwlink/?linkid=870924
Comment:
    Optimizers utilize Maximum Power Point Tracking (MPPT) technology at the individual panel level. This means they constantly monitor the voltage and current of each panel, adjusting its electrical characteristics to ensure it operates at its peak power output, regardless of the performance of other panels in the array.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<sst xmlns="http://schemas.openxmlformats.org/spreadsheetml/2006/main" count="4860" uniqueCount="2071">
  <si>
    <t>Client Scope</t>
  </si>
  <si>
    <t>Ground</t>
  </si>
  <si>
    <t>Cable Tray</t>
  </si>
  <si>
    <t xml:space="preserve">Required </t>
  </si>
  <si>
    <t>Domestic</t>
  </si>
  <si>
    <r>
      <t xml:space="preserve">Control Copy No. </t>
    </r>
    <r>
      <rPr>
        <sz val="11"/>
        <color theme="1"/>
        <rFont val="Calibri"/>
        <family val="2"/>
        <scheme val="minor"/>
      </rPr>
      <t>02.</t>
    </r>
  </si>
  <si>
    <t>Trenching</t>
  </si>
  <si>
    <t>Not Required</t>
  </si>
  <si>
    <t>Roof</t>
  </si>
  <si>
    <t xml:space="preserve">Not Required </t>
  </si>
  <si>
    <t>Imported</t>
  </si>
  <si>
    <t>Already Exist</t>
  </si>
  <si>
    <t>4PEL Scope</t>
  </si>
  <si>
    <t>Site Surrvey Request Form</t>
  </si>
  <si>
    <t>Existing Trench</t>
  </si>
  <si>
    <t>Site Visit Request Form (To be filled by Sales Team)</t>
  </si>
  <si>
    <t>Remarks</t>
  </si>
  <si>
    <t>Name of BD Person</t>
  </si>
  <si>
    <t>Mobile No.</t>
  </si>
  <si>
    <t>Mail id</t>
  </si>
  <si>
    <t>Site visit Request date</t>
  </si>
  <si>
    <t>State</t>
  </si>
  <si>
    <t>Maharashtra</t>
  </si>
  <si>
    <t>Client name</t>
  </si>
  <si>
    <t>Mode of site survey</t>
  </si>
  <si>
    <t>Physical</t>
  </si>
  <si>
    <t>Location &amp; address</t>
  </si>
  <si>
    <t>Lat &amp; Long details</t>
  </si>
  <si>
    <t>This Project having RFQ/RFP</t>
  </si>
  <si>
    <t>Plant Type (Capex/Opex)</t>
  </si>
  <si>
    <t>Capex</t>
  </si>
  <si>
    <t>Expected Cap in Kwp</t>
  </si>
  <si>
    <t>No. of locations</t>
  </si>
  <si>
    <t xml:space="preserve">Type of installation </t>
  </si>
  <si>
    <t>Module wattage (Wp)</t>
  </si>
  <si>
    <t xml:space="preserve">Module Origin </t>
  </si>
  <si>
    <t>Prefered Inverter make</t>
  </si>
  <si>
    <t>Sungrow</t>
  </si>
  <si>
    <t>DC/AC Ratio</t>
  </si>
  <si>
    <t>AMC &amp; Module Cleaning</t>
  </si>
  <si>
    <t>No. of Years of AMC &amp; Module cleaning</t>
  </si>
  <si>
    <t>PBG Amount %</t>
  </si>
  <si>
    <t xml:space="preserve">No. of Yrs BG is required to be maintained </t>
  </si>
  <si>
    <t xml:space="preserve">Marketing Commission % </t>
  </si>
  <si>
    <t>/Wp</t>
  </si>
  <si>
    <t xml:space="preserve">EPC Margin % </t>
  </si>
  <si>
    <t>Scope of Work</t>
  </si>
  <si>
    <t xml:space="preserve"> For Rooftop</t>
  </si>
  <si>
    <t>Access to the Roof</t>
  </si>
  <si>
    <t>Not Applicable</t>
  </si>
  <si>
    <t>Gutter for cleaning/ Rain Water Harvesting</t>
  </si>
  <si>
    <t>Scope of mesh over the skylight</t>
  </si>
  <si>
    <t>Scope of Turbo vent</t>
  </si>
  <si>
    <t>Hand Railling</t>
  </si>
  <si>
    <t>Walkways materials</t>
  </si>
  <si>
    <t>HDG</t>
  </si>
  <si>
    <t xml:space="preserve">DC Cable Tray materials </t>
  </si>
  <si>
    <t>FRP</t>
  </si>
  <si>
    <t>AC Cable Tray materials (INV And ACCB panel)</t>
  </si>
  <si>
    <t>POWDER COATED</t>
  </si>
  <si>
    <t>AC Cable Tray materials (ACCB And CLT panel)</t>
  </si>
  <si>
    <t>Roof puncturing permission from client for :</t>
  </si>
  <si>
    <t>Modules (MMS)</t>
  </si>
  <si>
    <t>No</t>
  </si>
  <si>
    <t>Walkway Dimension (w)</t>
  </si>
  <si>
    <t>300mm</t>
  </si>
  <si>
    <t>Lifeline location</t>
  </si>
  <si>
    <t>As. Per 4PEL Std.</t>
  </si>
  <si>
    <t>Anchoring permission for RCC</t>
  </si>
  <si>
    <t>Others</t>
  </si>
  <si>
    <t>PV Syst</t>
  </si>
  <si>
    <t>YES</t>
  </si>
  <si>
    <t>For Ground mounted/ Parking</t>
  </si>
  <si>
    <t>Soil Test (Ground /Parking)</t>
  </si>
  <si>
    <t>Land Leveling (Ground /Parking)</t>
  </si>
  <si>
    <t xml:space="preserve">Peripheral Plant Fencing </t>
  </si>
  <si>
    <t xml:space="preserve">Type of Peripheral Plant Fencing </t>
  </si>
  <si>
    <t>Chain Link Mesh</t>
  </si>
  <si>
    <t>Peripheral Lighting</t>
  </si>
  <si>
    <t>Plant Approach Road (Out side the Plant) (WBM Road)</t>
  </si>
  <si>
    <t>Internal Road (WBM Type)</t>
  </si>
  <si>
    <t>Peripheral Road (WBM type)</t>
  </si>
  <si>
    <t>Strom Water Drainage</t>
  </si>
  <si>
    <t xml:space="preserve"> For Floating</t>
  </si>
  <si>
    <t>Bathymetry test &amp; CFD study</t>
  </si>
  <si>
    <t>Common Factors for Rooftop &amp; Ground mounted</t>
  </si>
  <si>
    <t>Spare Feeder (Termination Feeder)</t>
  </si>
  <si>
    <t>CEIG Liaisoning / Minister cost</t>
  </si>
  <si>
    <t>Netmeter Liaisoning &amp; NOC</t>
  </si>
  <si>
    <t>Type of Netmetering</t>
  </si>
  <si>
    <t>Net Metering/Net Billing</t>
  </si>
  <si>
    <t xml:space="preserve">Netmeter material &amp; installation for Discom </t>
  </si>
  <si>
    <t>Metering Cubicle (CT&amp;PT) with Installtion</t>
  </si>
  <si>
    <t>Renewable Purchase Obligation (RPO)</t>
  </si>
  <si>
    <t>Generation Panel before client termination</t>
  </si>
  <si>
    <t>Control Room</t>
  </si>
  <si>
    <t>Spare Material Requirement</t>
  </si>
  <si>
    <t>Inverter Ext. warranty Requirement if any?</t>
  </si>
  <si>
    <t>Plant Extra Warranty for BOS</t>
  </si>
  <si>
    <t>No. of Year's Plant Extra Warranty for BOS</t>
  </si>
  <si>
    <t>Site Contact Person Details</t>
  </si>
  <si>
    <t>Contact Person at site</t>
  </si>
  <si>
    <t>Mob No.</t>
  </si>
  <si>
    <t>Land line no.</t>
  </si>
  <si>
    <t>Designation</t>
  </si>
  <si>
    <t>Power bills</t>
  </si>
  <si>
    <t>Not collected</t>
  </si>
  <si>
    <t>CEIG report (Approval Status)</t>
  </si>
  <si>
    <t xml:space="preserve">Available </t>
  </si>
  <si>
    <t>Plant cad files</t>
  </si>
  <si>
    <t>Not Available</t>
  </si>
  <si>
    <t>Plant SLD cad file</t>
  </si>
  <si>
    <t>Mobile Access</t>
  </si>
  <si>
    <t>Client will arrange facility for taking photos in side the Premises.</t>
  </si>
  <si>
    <t>Roof Access</t>
  </si>
  <si>
    <t>Client will arrange</t>
  </si>
  <si>
    <t>Preferring date
(to be conf from 
survey coordinator)</t>
  </si>
  <si>
    <t>Comments(if any):</t>
  </si>
  <si>
    <t xml:space="preserve">Monkey </t>
  </si>
  <si>
    <t xml:space="preserve">Staircase </t>
  </si>
  <si>
    <t>Movable</t>
  </si>
  <si>
    <t>Required</t>
  </si>
  <si>
    <t>Pre-Fab Wall</t>
  </si>
  <si>
    <t>Avenue Supermarts Limited</t>
  </si>
  <si>
    <t>ITC</t>
  </si>
  <si>
    <t>Behind The Meter</t>
  </si>
  <si>
    <t>Formulas are there -------&gt;</t>
  </si>
  <si>
    <t>selection by project type</t>
  </si>
  <si>
    <t>Formulas are there down</t>
  </si>
  <si>
    <t>Project type</t>
  </si>
  <si>
    <t>Category</t>
  </si>
  <si>
    <t>Options</t>
  </si>
  <si>
    <t>GI</t>
  </si>
  <si>
    <t>Soil Trench</t>
  </si>
  <si>
    <t xml:space="preserve"> </t>
  </si>
  <si>
    <t>Along with Walkways</t>
  </si>
  <si>
    <t>LT</t>
  </si>
  <si>
    <t>bike/car/truck</t>
  </si>
  <si>
    <t>HT</t>
  </si>
  <si>
    <t>Bike</t>
  </si>
  <si>
    <t>Inputs from BD for Pre-design</t>
  </si>
  <si>
    <t>Site visit report</t>
  </si>
  <si>
    <t>Car</t>
  </si>
  <si>
    <t>Yes, Roof access available</t>
  </si>
  <si>
    <t>Truck/Bus</t>
  </si>
  <si>
    <t>No, Roof access is not available</t>
  </si>
  <si>
    <t xml:space="preserve">Collected </t>
  </si>
  <si>
    <t>Yes, Client allows mobile usage inside their premises</t>
  </si>
  <si>
    <t>No,Client doesn’t allows mobile usage inside their premises</t>
  </si>
  <si>
    <t>No, As Per 4PEL Std</t>
  </si>
  <si>
    <t>400mm</t>
  </si>
  <si>
    <t>Yes</t>
  </si>
  <si>
    <t>500mm</t>
  </si>
  <si>
    <t>600mm</t>
  </si>
  <si>
    <t>1000mm</t>
  </si>
  <si>
    <t>Opex</t>
  </si>
  <si>
    <t>Capex/Opex</t>
  </si>
  <si>
    <t xml:space="preserve">Online </t>
  </si>
  <si>
    <t>Yes, Client allows puncturing of roofing sheet.</t>
  </si>
  <si>
    <t>No, Adhesive technology to be used</t>
  </si>
  <si>
    <t>Yes, Client allows anchoring for RCC</t>
  </si>
  <si>
    <t>No, Client dosen't allows anchoring for RCC</t>
  </si>
  <si>
    <t>Mono-crystalline</t>
  </si>
  <si>
    <t>Poly-crystalline</t>
  </si>
  <si>
    <t>String</t>
  </si>
  <si>
    <t>States</t>
  </si>
  <si>
    <t>map values</t>
  </si>
  <si>
    <t>Column1</t>
  </si>
  <si>
    <t>distance</t>
  </si>
  <si>
    <t>Andhra Pradesh</t>
  </si>
  <si>
    <t>Arunachal Pradesh</t>
  </si>
  <si>
    <t>Assam</t>
  </si>
  <si>
    <t>Bihar</t>
  </si>
  <si>
    <t>Jharkhand</t>
  </si>
  <si>
    <t>Chhattisgarh</t>
  </si>
  <si>
    <t>Karnataka</t>
  </si>
  <si>
    <t>Goa</t>
  </si>
  <si>
    <t>Kerala</t>
  </si>
  <si>
    <t>Gujarat</t>
  </si>
  <si>
    <t>Manipur</t>
  </si>
  <si>
    <t>Haryana</t>
  </si>
  <si>
    <t>Meghalaya</t>
  </si>
  <si>
    <t>Himachal Pradesh</t>
  </si>
  <si>
    <t>Mizoram</t>
  </si>
  <si>
    <t>Jammu and Kashmir</t>
  </si>
  <si>
    <t>Nagaland</t>
  </si>
  <si>
    <t>Odisha</t>
  </si>
  <si>
    <t>Sikkim</t>
  </si>
  <si>
    <t>Tamil Nadu</t>
  </si>
  <si>
    <t>Madhya Pradesh</t>
  </si>
  <si>
    <t>Telangana</t>
  </si>
  <si>
    <t>West Bengal</t>
  </si>
  <si>
    <t>Pondicherry</t>
  </si>
  <si>
    <t>Punjab</t>
  </si>
  <si>
    <t>Rajasthan</t>
  </si>
  <si>
    <t>Tripura</t>
  </si>
  <si>
    <t>Uttar Pradesh</t>
  </si>
  <si>
    <t>Uttarakhand</t>
  </si>
  <si>
    <t>Daman &amp; Diu</t>
  </si>
  <si>
    <t>Dadra &amp; Nagar Haveli</t>
  </si>
  <si>
    <t>Delhi</t>
  </si>
  <si>
    <t xml:space="preserve">                Fourth Partner Energy Pvt. Ltd</t>
  </si>
  <si>
    <r>
      <t>DOC. No:</t>
    </r>
    <r>
      <rPr>
        <sz val="14"/>
        <color theme="1"/>
        <rFont val="Calibri"/>
        <family val="2"/>
        <scheme val="minor"/>
      </rPr>
      <t xml:space="preserve"> 4PEL/DES-CA/555 #I01, R00.</t>
    </r>
  </si>
  <si>
    <r>
      <t xml:space="preserve">Issue Date: </t>
    </r>
    <r>
      <rPr>
        <sz val="14"/>
        <color theme="1"/>
        <rFont val="Calibri"/>
        <family val="2"/>
        <scheme val="minor"/>
      </rPr>
      <t>11/12/2023.</t>
    </r>
  </si>
  <si>
    <r>
      <t xml:space="preserve">Control Copy No. </t>
    </r>
    <r>
      <rPr>
        <sz val="14"/>
        <color theme="1"/>
        <rFont val="Calibri"/>
        <family val="2"/>
        <scheme val="minor"/>
      </rPr>
      <t>02</t>
    </r>
    <r>
      <rPr>
        <b/>
        <sz val="14"/>
        <color theme="1"/>
        <rFont val="Calibri"/>
        <family val="2"/>
        <scheme val="minor"/>
      </rPr>
      <t>.</t>
    </r>
  </si>
  <si>
    <t>Consumption Analysis</t>
  </si>
  <si>
    <t>A)</t>
  </si>
  <si>
    <t>E Bill Parameters</t>
  </si>
  <si>
    <t>Months</t>
  </si>
  <si>
    <t>Total Monthly consumption from DISCOM</t>
  </si>
  <si>
    <t>Generation at 277kWp</t>
  </si>
  <si>
    <t>Energy Per kWp (kWh)</t>
  </si>
  <si>
    <t>Capacity (kWP) as per day time consumption</t>
  </si>
  <si>
    <t>Difference of Consumption vs Generation (kWH)</t>
  </si>
  <si>
    <t xml:space="preserve">Banking Charges </t>
  </si>
  <si>
    <t>Note -
1. TOD zone will differ as per state regulatories norms, State DISCOM's
2.Yield will differ as per location &amp; type of installation, module type.
3. Actual proposed size is based on shadow free area on roof/ground , state regulatories norms</t>
  </si>
  <si>
    <t>Total</t>
  </si>
  <si>
    <t>Considering Day time consumption only</t>
  </si>
  <si>
    <t>Considering Overall consumption</t>
  </si>
  <si>
    <r>
      <t xml:space="preserve">Monthly </t>
    </r>
    <r>
      <rPr>
        <sz val="11"/>
        <color rgb="FFFF0000"/>
        <rFont val="Calibri"/>
        <family val="2"/>
        <scheme val="minor"/>
      </rPr>
      <t>Min</t>
    </r>
    <r>
      <rPr>
        <sz val="11"/>
        <color theme="1"/>
        <rFont val="Calibri"/>
        <family val="2"/>
        <scheme val="minor"/>
      </rPr>
      <t xml:space="preserve"> Consumption</t>
    </r>
  </si>
  <si>
    <r>
      <t xml:space="preserve">Monthly </t>
    </r>
    <r>
      <rPr>
        <sz val="11"/>
        <color rgb="FFFF0000"/>
        <rFont val="Calibri"/>
        <family val="2"/>
        <scheme val="minor"/>
      </rPr>
      <t>Avg</t>
    </r>
    <r>
      <rPr>
        <sz val="11"/>
        <color theme="1"/>
        <rFont val="Calibri"/>
        <family val="2"/>
        <scheme val="minor"/>
      </rPr>
      <t xml:space="preserve"> Consumption</t>
    </r>
  </si>
  <si>
    <t xml:space="preserve">Minimum Capacity (kWP) considering 12 months </t>
  </si>
  <si>
    <t>Min offtake Guarantee to Discom (If any)</t>
  </si>
  <si>
    <t>*March , April'2020 not considered due to COVID</t>
  </si>
  <si>
    <t>Net consumption available for offset by Solar</t>
  </si>
  <si>
    <t>Daily Avg Consumption</t>
  </si>
  <si>
    <t>Yield</t>
  </si>
  <si>
    <t>SPP Size based on consumption (kWp)</t>
  </si>
  <si>
    <t>Actual Proposed SPP size (kWp)</t>
  </si>
  <si>
    <t>% day time consumption replaced</t>
  </si>
  <si>
    <t>% overall consumption replaced</t>
  </si>
  <si>
    <t>B)</t>
  </si>
  <si>
    <t>Operational Parameters</t>
  </si>
  <si>
    <t>What is manufactured/Processed? Any heat / exhaust issues?</t>
  </si>
  <si>
    <t>Describe the load pattern? Constant/Seasonal/Order based</t>
  </si>
  <si>
    <t>Check the feasibility of obtaining 15 min load profile from client?</t>
  </si>
  <si>
    <t>No. of days per week plant is operational</t>
  </si>
  <si>
    <t>No. of shifts in which plant is operational</t>
  </si>
  <si>
    <t>Age of facility</t>
  </si>
  <si>
    <t>If ToD data not available, what is % day time consumption as per client input/experience</t>
  </si>
  <si>
    <t>C)</t>
  </si>
  <si>
    <t>Capacity assesment</t>
  </si>
  <si>
    <t>Parameters</t>
  </si>
  <si>
    <t>Maximum Installed Capacity (kWp)</t>
  </si>
  <si>
    <t>Based on G-Map</t>
  </si>
  <si>
    <t>Based on Consumption 
analysis</t>
  </si>
  <si>
    <t>Based on State regulatory norms (Net Metering or Min offtake commitment to Discom)</t>
  </si>
  <si>
    <t>Proposed Capacity</t>
  </si>
  <si>
    <t>D)</t>
  </si>
  <si>
    <t>Bill Analysis</t>
  </si>
  <si>
    <t>Billing Month</t>
  </si>
  <si>
    <t>March</t>
  </si>
  <si>
    <t>Particulars</t>
  </si>
  <si>
    <t>Units</t>
  </si>
  <si>
    <t>Rate</t>
  </si>
  <si>
    <t>Amount</t>
  </si>
  <si>
    <t>Total Charges</t>
  </si>
  <si>
    <t>Less : Demand Charges/Fixed Charges</t>
  </si>
  <si>
    <t>Grid Variable cost/ Landed cost of power</t>
  </si>
  <si>
    <t>Breakup of LCOP</t>
  </si>
  <si>
    <t>Energy Cost</t>
  </si>
  <si>
    <t>Meter Rent</t>
  </si>
  <si>
    <t>ED</t>
  </si>
  <si>
    <t>Delayed Payment Surcharge</t>
  </si>
  <si>
    <t>IDF</t>
  </si>
  <si>
    <t>TCS Rate</t>
  </si>
  <si>
    <t>PF Incentive</t>
  </si>
  <si>
    <t>Customer Service Charge</t>
  </si>
  <si>
    <t>Incentive on TODs</t>
  </si>
  <si>
    <t>for check 1</t>
  </si>
  <si>
    <t>E)</t>
  </si>
  <si>
    <t>Savings</t>
  </si>
  <si>
    <t>Annual Energy Consumption (kWh)</t>
  </si>
  <si>
    <t>Est Variable Grid Tariff (₹/kWh)</t>
  </si>
  <si>
    <t>Proposed Rooftop Capacity (kWp)</t>
  </si>
  <si>
    <t>Est Annual Solar Generation (kWh)</t>
  </si>
  <si>
    <t>% savngs in Variable Grid Tariff</t>
  </si>
  <si>
    <t>Annual Savings Per Site (₹)</t>
  </si>
  <si>
    <t>Overall Savings %</t>
  </si>
  <si>
    <t>Onsite</t>
  </si>
  <si>
    <t>Offsite</t>
  </si>
  <si>
    <t>INITIAL SITE SURVEY – ESG CHECKLIST</t>
  </si>
  <si>
    <r>
      <t xml:space="preserve">DOC. No: </t>
    </r>
    <r>
      <rPr>
        <sz val="11"/>
        <color theme="1"/>
        <rFont val="Calibri"/>
        <family val="2"/>
        <scheme val="minor"/>
      </rPr>
      <t>4PEL/DES-ISS/554 #I01, R00.</t>
    </r>
  </si>
  <si>
    <r>
      <t xml:space="preserve">Issue Date: </t>
    </r>
    <r>
      <rPr>
        <sz val="11"/>
        <color theme="1"/>
        <rFont val="Calibri"/>
        <family val="2"/>
        <scheme val="minor"/>
      </rPr>
      <t>11/12/2023.</t>
    </r>
  </si>
  <si>
    <r>
      <t xml:space="preserve">Control Copy No.: </t>
    </r>
    <r>
      <rPr>
        <sz val="11"/>
        <color theme="1"/>
        <rFont val="Calibri"/>
        <family val="2"/>
        <scheme val="minor"/>
      </rPr>
      <t>02.</t>
    </r>
    <r>
      <rPr>
        <b/>
        <sz val="11"/>
        <color theme="1"/>
        <rFont val="Calibri"/>
        <family val="2"/>
        <scheme val="minor"/>
      </rPr>
      <t xml:space="preserve"> </t>
    </r>
  </si>
  <si>
    <t>Name of Project Site</t>
  </si>
  <si>
    <t>Location/Address</t>
  </si>
  <si>
    <t>Country</t>
  </si>
  <si>
    <t>India</t>
  </si>
  <si>
    <t xml:space="preserve">Name of Surveyor </t>
  </si>
  <si>
    <t xml:space="preserve">Date </t>
  </si>
  <si>
    <t>Department of Surveyor</t>
  </si>
  <si>
    <t xml:space="preserve">Name of Verifier </t>
  </si>
  <si>
    <t xml:space="preserve">Department of Verifier </t>
  </si>
  <si>
    <t>Aspects to check</t>
  </si>
  <si>
    <t>NA</t>
  </si>
  <si>
    <t xml:space="preserve">Key safety checks (evidence shall be provided against each significant check point with appropriate remark) </t>
  </si>
  <si>
    <t>Is suitable instrument available for taking actual measurements?</t>
  </si>
  <si>
    <r>
      <t xml:space="preserve">Is any other technology other than manual measurement being used? </t>
    </r>
    <r>
      <rPr>
        <i/>
        <sz val="14"/>
        <color theme="1"/>
        <rFont val="Calibri"/>
        <family val="2"/>
        <scheme val="minor"/>
      </rPr>
      <t>(Ex. Drone etc.)</t>
    </r>
  </si>
  <si>
    <t>Is proper roof access available for roof?</t>
  </si>
  <si>
    <t>If yes, what type of access is available, Monkey ladder, Step ladder or other? (Provide details in remark)</t>
  </si>
  <si>
    <t>If monkey ladder height is more than 10 meters, then is/are the rest platforms provided?</t>
  </si>
  <si>
    <t>(After every 10 meters there shall be minimum 10 meters gap between two platforms)</t>
  </si>
  <si>
    <t>Is ladder extended 1 meter above the roof?</t>
  </si>
  <si>
    <t xml:space="preserve">Is/are skylight(s) available on the roof? </t>
  </si>
  <si>
    <t>(If yes, please mention quantity and dimensions of the skylight)</t>
  </si>
  <si>
    <t xml:space="preserve">Is/are existing lifeline(s) available? </t>
  </si>
  <si>
    <t xml:space="preserve">If yes, please provide details. (Attach photographs) </t>
  </si>
  <si>
    <t xml:space="preserve">If 2 or more roofs are interconnected, is safe access available for roof-to-roof access?           </t>
  </si>
  <si>
    <t>Please provide the access details.</t>
  </si>
  <si>
    <t xml:space="preserve">Is/are Turbo wind ventilator(s) available on roof? </t>
  </si>
  <si>
    <t>(If yes, please provide total numbers)</t>
  </si>
  <si>
    <t>Is alternative access available for the roof?</t>
  </si>
  <si>
    <t xml:space="preserve">Has client provided Wire mesh below/above skylights for fall protection? </t>
  </si>
  <si>
    <t>If yes, does all the skylights on the roof are being covered?</t>
  </si>
  <si>
    <t>Is there any chemical / Hazardous waste emission on top of the roof?</t>
  </si>
  <si>
    <t xml:space="preserve">Is there any Electric cables/ Pipes/Unprojected pipes routed on the roof? </t>
  </si>
  <si>
    <t>Is lightning arrester available? If yes, does it cover all the roof area?</t>
  </si>
  <si>
    <t>Are guard rails provided on the roof?</t>
  </si>
  <si>
    <t>Are any measures of water harvesting provided on the roof?</t>
  </si>
  <si>
    <t>Does client/off-taker has existing waste management policy?</t>
  </si>
  <si>
    <t>Is the client ready to provide material storage area during the development phase of plant?</t>
  </si>
  <si>
    <t>Is any scrap yard available in client’s premises?</t>
  </si>
  <si>
    <t>Is the structural stability of the roof rust &amp; prominent?</t>
  </si>
  <si>
    <t>Please mention: If any other Unsafe conditions observed on site</t>
  </si>
  <si>
    <t>Fourth Partner Energy Pvt. Ltd</t>
  </si>
  <si>
    <r>
      <t>DOC. No:</t>
    </r>
    <r>
      <rPr>
        <sz val="14"/>
        <color theme="1"/>
        <rFont val="Calibri"/>
        <family val="2"/>
        <scheme val="minor"/>
      </rPr>
      <t xml:space="preserve"> 4PEL/DES-ISS/110 #I01, R02.</t>
    </r>
  </si>
  <si>
    <t>Inputs - Site Survey Form</t>
  </si>
  <si>
    <t>DETAILED PROJECT SITE SURVEY REPORT</t>
  </si>
  <si>
    <t>Client address</t>
  </si>
  <si>
    <t>Contract demand *</t>
  </si>
  <si>
    <t>Contact person name</t>
  </si>
  <si>
    <t>Incommer trans. rating*</t>
  </si>
  <si>
    <t xml:space="preserve">GPS Cordinates </t>
  </si>
  <si>
    <t>Netmetring voltage level</t>
  </si>
  <si>
    <t>Voltage level in kV</t>
  </si>
  <si>
    <t>No. of Transformer</t>
  </si>
  <si>
    <t>Voltage ratio</t>
  </si>
  <si>
    <t>Mob. No.</t>
  </si>
  <si>
    <t>Metering cubical (Class)</t>
  </si>
  <si>
    <t>ceig report</t>
  </si>
  <si>
    <t>Proposed Kwp</t>
  </si>
  <si>
    <t>Locked Cell</t>
  </si>
  <si>
    <t>plant  SLD cad file</t>
  </si>
  <si>
    <t>Editable cell</t>
  </si>
  <si>
    <t>Power Consumptions                          (Min.)</t>
  </si>
  <si>
    <t>Max.</t>
  </si>
  <si>
    <t>Hand sketch SLD</t>
  </si>
  <si>
    <t>*Mandatory</t>
  </si>
  <si>
    <t>APFC availability</t>
  </si>
  <si>
    <t>Solar termination</t>
  </si>
  <si>
    <t>After Site Visit.</t>
  </si>
  <si>
    <t>Drop Down</t>
  </si>
  <si>
    <t>CT input for PFC</t>
  </si>
  <si>
    <t>Best Network operator</t>
  </si>
  <si>
    <t>&lt;mention best oprator&gt;</t>
  </si>
  <si>
    <t>Min &amp; Max. Weather Temp.</t>
  </si>
  <si>
    <t>Plant Holiday/Power Holidays*</t>
  </si>
  <si>
    <t>DG capacities *</t>
  </si>
  <si>
    <t>No. of service connection*</t>
  </si>
  <si>
    <t>No. of DGs *</t>
  </si>
  <si>
    <t>PF maintaining</t>
  </si>
  <si>
    <t>Reverse Protections</t>
  </si>
  <si>
    <t>Any exsiting Plants</t>
  </si>
  <si>
    <t>If yes</t>
  </si>
  <si>
    <t>Metering  class</t>
  </si>
  <si>
    <t>rating, make ,model no.</t>
  </si>
  <si>
    <t>Plant details</t>
  </si>
  <si>
    <t>Plant 1</t>
  </si>
  <si>
    <t>Plant 2</t>
  </si>
  <si>
    <t>Plant 3</t>
  </si>
  <si>
    <t>Plant 4</t>
  </si>
  <si>
    <t>Plant 5</t>
  </si>
  <si>
    <t>Plant 6</t>
  </si>
  <si>
    <t>Plant 7</t>
  </si>
  <si>
    <t>Plant 8</t>
  </si>
  <si>
    <t>Plant 9</t>
  </si>
  <si>
    <t>Plant 10</t>
  </si>
  <si>
    <t>Plant 11</t>
  </si>
  <si>
    <t>Plant 12</t>
  </si>
  <si>
    <t>Plant 13</t>
  </si>
  <si>
    <t>Plant 14</t>
  </si>
  <si>
    <t>Plant 15</t>
  </si>
  <si>
    <t>Type of plant *</t>
  </si>
  <si>
    <t>Shed</t>
  </si>
  <si>
    <t>Metal Sheet Profile Diagram</t>
  </si>
  <si>
    <t>Metal Sheet &amp; Purlin Pictures</t>
  </si>
  <si>
    <t>Floating</t>
  </si>
  <si>
    <t>SITE PHOTOS CAPTURED</t>
  </si>
  <si>
    <t>Site photos from all four directions</t>
  </si>
  <si>
    <t xml:space="preserve">Photos of objects giving shadow </t>
  </si>
  <si>
    <t xml:space="preserve">Photos of LT room </t>
  </si>
  <si>
    <t xml:space="preserve">Observation / Remark for BD Team - </t>
  </si>
  <si>
    <t>Documents to be collected</t>
  </si>
  <si>
    <t>1. SLD of the facility</t>
  </si>
  <si>
    <t>3. DG Running Data</t>
  </si>
  <si>
    <t>2. Roof Plan / Roof Structure Drawings</t>
  </si>
  <si>
    <t>4. Electricity Bills</t>
  </si>
  <si>
    <t>5. Soil test report</t>
  </si>
  <si>
    <t>6. CEIG approved Existing drawings</t>
  </si>
  <si>
    <t>7. SEZ/ SEZ approval</t>
  </si>
  <si>
    <t xml:space="preserve">8. Structure Stability report </t>
  </si>
  <si>
    <t>9. HSE/Safety Policy</t>
  </si>
  <si>
    <t>Minutes of the Meeting</t>
  </si>
  <si>
    <t>Key Action Points</t>
  </si>
  <si>
    <t xml:space="preserve">Name of the Surveyor &amp; Signature </t>
  </si>
  <si>
    <t>Client scope</t>
  </si>
  <si>
    <t>Already exist</t>
  </si>
  <si>
    <t>PUF sheet</t>
  </si>
  <si>
    <t>Tin sheet</t>
  </si>
  <si>
    <t>CT&amp;PT Required</t>
  </si>
  <si>
    <t>RCC</t>
  </si>
  <si>
    <t>CT&amp;PT Not Required</t>
  </si>
  <si>
    <t>CT&amp;PT Indoor type</t>
  </si>
  <si>
    <t>CT&amp;PT Outdoor type</t>
  </si>
  <si>
    <t>4PEL scope</t>
  </si>
  <si>
    <t>Aluminium(Al)</t>
  </si>
  <si>
    <t>Copper(Cu)</t>
  </si>
  <si>
    <t>Before APFC</t>
  </si>
  <si>
    <t>UG Trench</t>
  </si>
  <si>
    <t>After APFC</t>
  </si>
  <si>
    <t>Wet soil</t>
  </si>
  <si>
    <t>Dry soil</t>
  </si>
  <si>
    <t>Hard rock</t>
  </si>
  <si>
    <t>Fussured rock</t>
  </si>
  <si>
    <t xml:space="preserve">No </t>
  </si>
  <si>
    <t>Client Will Arrange</t>
  </si>
  <si>
    <t>Client will send by mail</t>
  </si>
  <si>
    <t>Fourth Partner Energy Pvt. Ltd.</t>
  </si>
  <si>
    <t>DOC. No:</t>
  </si>
  <si>
    <t>4PEL/DES-SSR/553 #I01, R00.</t>
  </si>
  <si>
    <t>Issue Date :</t>
  </si>
  <si>
    <t>11/12/2023.</t>
  </si>
  <si>
    <t xml:space="preserve">Control Copy No : </t>
  </si>
  <si>
    <t xml:space="preserve">SITE SURVEY REPORT </t>
  </si>
  <si>
    <t xml:space="preserve">Survey Date : </t>
  </si>
  <si>
    <t>General Information</t>
  </si>
  <si>
    <t>Name of the Customer</t>
  </si>
  <si>
    <t xml:space="preserve">Contact Person's Name &amp; Designation </t>
  </si>
  <si>
    <t xml:space="preserve">Mobile No </t>
  </si>
  <si>
    <t>Email Id</t>
  </si>
  <si>
    <t xml:space="preserve">Site Address : </t>
  </si>
  <si>
    <t xml:space="preserve">Nearest Railway Station </t>
  </si>
  <si>
    <t xml:space="preserve">Nearest Highway </t>
  </si>
  <si>
    <t xml:space="preserve">Industry Type </t>
  </si>
  <si>
    <t xml:space="preserve">Type of business operation at site </t>
  </si>
  <si>
    <t>Manufacturing</t>
  </si>
  <si>
    <t>Warehousing</t>
  </si>
  <si>
    <t xml:space="preserve">Packaging </t>
  </si>
  <si>
    <t>Retail</t>
  </si>
  <si>
    <t>Service</t>
  </si>
  <si>
    <t>Type of Installation</t>
  </si>
  <si>
    <t>Ownership</t>
  </si>
  <si>
    <t xml:space="preserve">Owned </t>
  </si>
  <si>
    <t xml:space="preserve">Leased </t>
  </si>
  <si>
    <t>Lease expiry after  yrs</t>
  </si>
  <si>
    <t>Right to Install SPP --&gt;</t>
  </si>
  <si>
    <t xml:space="preserve">Customer RE Requirement </t>
  </si>
  <si>
    <t>Expected Solar PV / Storage Capacity</t>
  </si>
  <si>
    <t>kWp
MwH</t>
  </si>
  <si>
    <t>CT</t>
  </si>
  <si>
    <t xml:space="preserve">Gross Metering </t>
  </si>
  <si>
    <t>Captive</t>
  </si>
  <si>
    <t>On Grid</t>
  </si>
  <si>
    <t>Off Grid</t>
  </si>
  <si>
    <t>Proposed SPP Evacuation Voltage</t>
  </si>
  <si>
    <t>0.45 kV</t>
  </si>
  <si>
    <t>(If Evacuation Voltage &gt;=11 KV, check space available to construct substation)</t>
  </si>
  <si>
    <t xml:space="preserve">Existing Electrical Infrastructure </t>
  </si>
  <si>
    <t>Discom Name</t>
  </si>
  <si>
    <t xml:space="preserve">Contract Demand </t>
  </si>
  <si>
    <t xml:space="preserve">Total Connected Load </t>
  </si>
  <si>
    <t xml:space="preserve"> kW</t>
  </si>
  <si>
    <t>Distribution Transformer (DT) Details</t>
  </si>
  <si>
    <t>Rating-                kVA</t>
  </si>
  <si>
    <t>Voltage Ratio - ___/____</t>
  </si>
  <si>
    <t xml:space="preserve">Vector Group- _______ </t>
  </si>
  <si>
    <t>Shortcircuit Level (HT VCB Level) - _______ Kv</t>
  </si>
  <si>
    <t xml:space="preserve">Make &amp; Model for each transformer - </t>
  </si>
  <si>
    <t>Sources of Power Available for synchronizing</t>
  </si>
  <si>
    <t>EB Supply</t>
  </si>
  <si>
    <t>DG Supply</t>
  </si>
  <si>
    <t>CPP</t>
  </si>
  <si>
    <t>Others (specify)</t>
  </si>
  <si>
    <t>Synchronisation</t>
  </si>
  <si>
    <t>Grid Outage Data</t>
  </si>
  <si>
    <t>No. of Hours/day :__________</t>
  </si>
  <si>
    <t>Operational Days in a Year</t>
  </si>
  <si>
    <t xml:space="preserve"> Days</t>
  </si>
  <si>
    <t>Grid Frequency/Voltage Fluctuations (Yes/No)</t>
  </si>
  <si>
    <t>No. of times/Day: ______________</t>
  </si>
  <si>
    <t>No of Off Days for Maintenance &amp; Load</t>
  </si>
  <si>
    <t>kW</t>
  </si>
  <si>
    <t>Operational Hours in a Day: ________</t>
  </si>
  <si>
    <t>No of Shifts/Day: __________</t>
  </si>
  <si>
    <t>No of Off Days for Holidays &amp; Load</t>
  </si>
  <si>
    <t>Days</t>
  </si>
  <si>
    <t xml:space="preserve">Installed DG Set  </t>
  </si>
  <si>
    <t>Existing Solar Capacity in KWp (DC capacity)</t>
  </si>
  <si>
    <t xml:space="preserve">Is the existing plant Net Metered? </t>
  </si>
  <si>
    <t>(Yes/No)</t>
  </si>
  <si>
    <t>Is the existing plant installed with RPR?</t>
  </si>
  <si>
    <t xml:space="preserve">EB Meter Details </t>
  </si>
  <si>
    <t>Class _____________</t>
  </si>
  <si>
    <t>Make: ___________________</t>
  </si>
  <si>
    <t>STC Rating ____________</t>
  </si>
  <si>
    <t>APFC Panel (Location &amp; Rating) type( automatice/manual)</t>
  </si>
  <si>
    <t>No. of service connection (Qty.)</t>
  </si>
  <si>
    <t>Metering CT&amp; PT Details / Class</t>
  </si>
  <si>
    <t>Earth resistivity &amp; Standards/Specifications</t>
  </si>
  <si>
    <t>2 ohm- convetional type/ chemical</t>
  </si>
  <si>
    <t>Electrical Details</t>
  </si>
  <si>
    <t xml:space="preserve">Name of the building 
(As per customer's nomenclature) </t>
  </si>
  <si>
    <t>Location wise Exisiting LT panel breker capacity</t>
  </si>
  <si>
    <t>Incomer Cable runs and size</t>
  </si>
  <si>
    <t>Termination distance in mtrs</t>
  </si>
  <si>
    <t>Tentative location of inverter &amp; LT Panel</t>
  </si>
  <si>
    <t xml:space="preserve">Spare feeder avilability (mention as rating) </t>
  </si>
  <si>
    <t>Bus bar extensions required? Scope?</t>
  </si>
  <si>
    <t>Existing Bus Bar Size Material- Al/Cu./Type</t>
  </si>
  <si>
    <t>Main Incomer Rating</t>
  </si>
  <si>
    <t>Transmission method/ Method of Cable laying</t>
  </si>
  <si>
    <t>Termination LT Panel image</t>
  </si>
  <si>
    <t>Common Inputs</t>
  </si>
  <si>
    <t>Commen inputs</t>
  </si>
  <si>
    <t>Distance from the sea shore? In Km</t>
  </si>
  <si>
    <t>Earth pit location identification</t>
  </si>
  <si>
    <t xml:space="preserve">Availability of water system/Water tank for module cleaning </t>
  </si>
  <si>
    <t>Type of Water / Quality of water PPM (TDS Level)</t>
  </si>
  <si>
    <t>Permanent Access to roof location
(None / Monkey Ladder / Step or Staricage Ladder)</t>
  </si>
  <si>
    <t>Scope of Roof Access</t>
  </si>
  <si>
    <t>Exisiting Lightening protection system &amp; Coverage radius</t>
  </si>
  <si>
    <t>Parapet wall availability and Height</t>
  </si>
  <si>
    <t xml:space="preserve">Presence of intermediate column, if yes, height, spacing &amp; dimension of the column </t>
  </si>
  <si>
    <t>Water harvesting availability</t>
  </si>
  <si>
    <t>Roof penetration is allowed or not (penetration if any shall be sealed properly)</t>
  </si>
  <si>
    <t>Any Observations/Remarks</t>
  </si>
  <si>
    <t>RCC Roof Details</t>
  </si>
  <si>
    <t>RCC Roof details</t>
  </si>
  <si>
    <t>Water proofing type &amp; Thickness in mm</t>
  </si>
  <si>
    <t>Waterproofing removal permission (Yes/No)</t>
  </si>
  <si>
    <t>Height of Building in mtrs</t>
  </si>
  <si>
    <t>Permission for chipping</t>
  </si>
  <si>
    <t xml:space="preserve">Year of construction </t>
  </si>
  <si>
    <t xml:space="preserve">Roof Area (Sqm) </t>
  </si>
  <si>
    <t>Roof area available for solar installation (Sqm)</t>
  </si>
  <si>
    <t>Near by obj. moving shadow</t>
  </si>
  <si>
    <t>Thickness of slab in mm</t>
  </si>
  <si>
    <t xml:space="preserve">Proposed structure height in mm </t>
  </si>
  <si>
    <t>Shed Roof Details</t>
  </si>
  <si>
    <t>Shed Roof details</t>
  </si>
  <si>
    <t>Height of the building at edge in mtrs</t>
  </si>
  <si>
    <t>Height of the building at ridge in mtrs</t>
  </si>
  <si>
    <t>Type of  Shed Asbestos/Trapezoidal sheet/Puff Sheet/Standing seam</t>
  </si>
  <si>
    <t>Thickness of roof sheet (mm)</t>
  </si>
  <si>
    <t>Tilt/Angle of shed</t>
  </si>
  <si>
    <t>Railing required ?</t>
  </si>
  <si>
    <t>Activities under the roof 
(Manufacturing, Heating work, Chemical Emission, Paint shop, others) 
(Capture specific activity having impact on the generation)</t>
  </si>
  <si>
    <t>Distance between Machinery &amp; Shed?
Any heating furnace operations below the shed?</t>
  </si>
  <si>
    <t>Last major refurbishment (sheet change, leakage repairs, water proofing etc)</t>
  </si>
  <si>
    <t>Shadow Casting Objects on or near to the roof 
(Trees,Buildings,Water tank, Exhaust pipes, chillers, Turbo Fan, etc)</t>
  </si>
  <si>
    <t>Roof Condition (Good/Leakages / repairs / others)</t>
  </si>
  <si>
    <t>Skylight Nos &amp; Dimensions in mm</t>
  </si>
  <si>
    <t>Sky light to sky light distance in mm</t>
  </si>
  <si>
    <t>Existing Gutter length in mtrs</t>
  </si>
  <si>
    <t>Turbo vent dimensions in mm</t>
  </si>
  <si>
    <t>Turbo vent to turbo vent distance in mm</t>
  </si>
  <si>
    <t>Any level difference in roof location (indicate location on Roof plan)</t>
  </si>
  <si>
    <r>
      <t xml:space="preserve">Additional load bearing capacity of the roof for Solar PV &amp; installation / maintenance
</t>
    </r>
    <r>
      <rPr>
        <b/>
        <sz val="15"/>
        <color theme="4"/>
        <rFont val="Calibri"/>
        <family val="2"/>
        <scheme val="minor"/>
      </rPr>
      <t>(Indicative distributed load capacity of 20kg/m2, point load capacity 80 kg/m2.)</t>
    </r>
  </si>
  <si>
    <t>Exisiting Lifeline / Walkway availability (indicate location on Roof plan)</t>
  </si>
  <si>
    <t>Diagram --&gt;</t>
  </si>
  <si>
    <t>Photo 1 --&gt;</t>
  </si>
  <si>
    <t>Photo 2 --&gt;</t>
  </si>
  <si>
    <t>Ground Details</t>
  </si>
  <si>
    <t>Is Land Clear? (Yes/No)</t>
  </si>
  <si>
    <t>If No then please mention type of obstacles</t>
  </si>
  <si>
    <t>Available Ground area in acres</t>
  </si>
  <si>
    <t xml:space="preserve">Land Levelling required? (Yes/No) </t>
  </si>
  <si>
    <t>Scope of Vegetation/Trees/obstacle clearing.</t>
  </si>
  <si>
    <t>Perminsion of Vegetation/Trees/obstacle clearing.</t>
  </si>
  <si>
    <t xml:space="preserve">Soil test report available? (Yes/No) </t>
  </si>
  <si>
    <t>Scope of  Soil test</t>
  </si>
  <si>
    <t>Specify soil type (if possible) Wet soil/Dry soil/Hard rock/Fissured rock)</t>
  </si>
  <si>
    <t>Whether Rock area? At what depth</t>
  </si>
  <si>
    <t>Undulations if any?</t>
  </si>
  <si>
    <t>Near by Lake/River passing?</t>
  </si>
  <si>
    <t>Area within client boundary (Yes/No)</t>
  </si>
  <si>
    <t>Does the client require boundary/fencing (Yes/No)</t>
  </si>
  <si>
    <t>Are there trees/obstacles outside client boundary causing shadows? (Yes/No)</t>
  </si>
  <si>
    <t>Is there any water body/patches in land area?</t>
  </si>
  <si>
    <t>Flooding Area? Yes/No. If Yes, at what height and Period of Flooding</t>
  </si>
  <si>
    <t xml:space="preserve">Remark (If any) :- </t>
  </si>
  <si>
    <t>Car Parking Details</t>
  </si>
  <si>
    <t>Type of Ground Whether Tiles/ PCC/ RCC/ soil Ground</t>
  </si>
  <si>
    <t>If RCC, Client is ready to Anchoring / Isolated foundation?</t>
  </si>
  <si>
    <t>No of Cars Parking</t>
  </si>
  <si>
    <t>Any transmission lines passing over Parking area?</t>
  </si>
  <si>
    <t>If yellow parking markings available, Length and width of markings</t>
  </si>
  <si>
    <t>Floating Details</t>
  </si>
  <si>
    <t>Type of Pond for Floating (Natural/Constructed)</t>
  </si>
  <si>
    <t>Depth of Pond? In mtrs</t>
  </si>
  <si>
    <t>Minimum Water Level that can be maintained?</t>
  </si>
  <si>
    <t>Water Source</t>
  </si>
  <si>
    <t>Water Quality</t>
  </si>
  <si>
    <t>History of drought in last 10 Yrs</t>
  </si>
  <si>
    <t>Bathymetric survey available? (Yes/No)</t>
  </si>
  <si>
    <t>Anchoring (Bottom/Side)</t>
  </si>
  <si>
    <t>Logistic, Storage &amp; Execution Details</t>
  </si>
  <si>
    <t xml:space="preserve">Is Site reachable through road? </t>
  </si>
  <si>
    <t>Storage Space for materials        (L x W)</t>
  </si>
  <si>
    <t>Place</t>
  </si>
  <si>
    <t>Distance</t>
  </si>
  <si>
    <t>Can a truck of 40 feet container reach site?
(Observation/Dimension/Photo)</t>
  </si>
  <si>
    <t xml:space="preserve">Can a Hydra or Crane can move around structures on side 
(Yes/No)
East ____, West ___, North ___, South ___
Attach Photos </t>
  </si>
  <si>
    <t>No of Working Hours allowed for execution?</t>
  </si>
  <si>
    <t>No of Workers allowed at Site?</t>
  </si>
  <si>
    <t>Any other restrictions related to execution</t>
  </si>
  <si>
    <t>Site Captured Photos</t>
  </si>
  <si>
    <t>Name of the Documents</t>
  </si>
  <si>
    <t>Collected (Yes/No)</t>
  </si>
  <si>
    <t>Minutes of Meeting</t>
  </si>
  <si>
    <t xml:space="preserve">Name of Customer &amp; Signature </t>
  </si>
  <si>
    <t>Parking</t>
  </si>
  <si>
    <t>Other</t>
  </si>
  <si>
    <t>Initial Design Sheet</t>
  </si>
  <si>
    <t>DETAILED INITIAL DESIGN REPORT</t>
  </si>
  <si>
    <t>Inputs for initial design from BD</t>
  </si>
  <si>
    <t>Information Sheet 
(String Inv. LT)</t>
  </si>
  <si>
    <t>Availability of RFP/RFQ</t>
  </si>
  <si>
    <t>Is Design prepared According to RFP/RFQ</t>
  </si>
  <si>
    <t>Site Name &amp; State</t>
  </si>
  <si>
    <t>Comment</t>
  </si>
  <si>
    <t>Address &amp; Lat Long</t>
  </si>
  <si>
    <t>Long Rail</t>
  </si>
  <si>
    <t>Approval Details</t>
  </si>
  <si>
    <t>Name of the Person</t>
  </si>
  <si>
    <t>Approval Date</t>
  </si>
  <si>
    <t>Initial Design Done By</t>
  </si>
  <si>
    <t>Date:</t>
  </si>
  <si>
    <t>Roof Puncturing permission from client</t>
  </si>
  <si>
    <t>RCC Raised</t>
  </si>
  <si>
    <t>Initial Design Approved By</t>
  </si>
  <si>
    <t>RCC Raised on Pillars</t>
  </si>
  <si>
    <t>Ground Mounted</t>
  </si>
  <si>
    <t>Revision No.</t>
  </si>
  <si>
    <t>DR1 *</t>
  </si>
  <si>
    <t>DR2 *</t>
  </si>
  <si>
    <t>DR3 *</t>
  </si>
  <si>
    <t>DR4 *</t>
  </si>
  <si>
    <t>DR5 *</t>
  </si>
  <si>
    <t>DR6 *</t>
  </si>
  <si>
    <t>Notes for Design from BD</t>
  </si>
  <si>
    <t>Walkway Dimension (W)</t>
  </si>
  <si>
    <t>Parking- Car/Bike</t>
  </si>
  <si>
    <t xml:space="preserve">Receive date </t>
  </si>
  <si>
    <t xml:space="preserve">Parking-Truck/Bus </t>
  </si>
  <si>
    <t>Reason for Revision</t>
  </si>
  <si>
    <t>Total Capacity</t>
  </si>
  <si>
    <t>Date of Sent</t>
  </si>
  <si>
    <t xml:space="preserve">Inverter Over loading indication </t>
  </si>
  <si>
    <t>NIL</t>
  </si>
  <si>
    <t>0 to 1</t>
  </si>
  <si>
    <t>1 to 1.25</t>
  </si>
  <si>
    <t>1.25-1.4</t>
  </si>
  <si>
    <t>1.4-1.45</t>
  </si>
  <si>
    <t>Above 1.45</t>
  </si>
  <si>
    <t>String Inverter Initial Design</t>
  </si>
  <si>
    <t>Module Make &amp; Origin</t>
  </si>
  <si>
    <t>Select the Optimazer Model for Solar edge inverter</t>
  </si>
  <si>
    <t>Optimizers- Model-S 1400/ S 1500</t>
  </si>
  <si>
    <t>Module Tilt</t>
  </si>
  <si>
    <t>&lt; 5</t>
  </si>
  <si>
    <t>&lt; 8</t>
  </si>
  <si>
    <t>&gt; 8</t>
  </si>
  <si>
    <t>Click to check the Earth strip selection</t>
  </si>
  <si>
    <t>Module Wattage</t>
  </si>
  <si>
    <t>Wp</t>
  </si>
  <si>
    <t>Sl.No</t>
  </si>
  <si>
    <t>Building/Location Name</t>
  </si>
  <si>
    <t xml:space="preserve">Type of sheet </t>
  </si>
  <si>
    <t>Available Modules</t>
  </si>
  <si>
    <t>No. of Modules Utilized</t>
  </si>
  <si>
    <t>DC Capacity in kWp</t>
  </si>
  <si>
    <t>Siening</t>
  </si>
  <si>
    <t>AC Capacity in kW</t>
  </si>
  <si>
    <t>Inverter Overloading DC/AC Ratio</t>
  </si>
  <si>
    <t>Common item for Rooftop and Ground mounted</t>
  </si>
  <si>
    <t>For Rooftop site's</t>
  </si>
  <si>
    <t>For Ground Mounted Site's</t>
  </si>
  <si>
    <t>Total No. of strings</t>
  </si>
  <si>
    <t>Module Tilt in Degree</t>
  </si>
  <si>
    <t>Structure clearance in mm</t>
  </si>
  <si>
    <t>Earth strip Length in Mtrs (MMS)</t>
  </si>
  <si>
    <t>Earth strip size (MMS)</t>
  </si>
  <si>
    <t>Earth strip Length in Mtrs (INV)</t>
  </si>
  <si>
    <t>Earth strip size (INV)</t>
  </si>
  <si>
    <t>Earth strip Length in Mtrs (ACCB PANEL)</t>
  </si>
  <si>
    <t>Earth strip size (ACCB PANEL)</t>
  </si>
  <si>
    <t>Earth strip Length in Mtrs (LA)</t>
  </si>
  <si>
    <t>Earth strip size (LA)</t>
  </si>
  <si>
    <t>Type of Lightening Arrestor</t>
  </si>
  <si>
    <t>No. of LA's (Qty.)</t>
  </si>
  <si>
    <t>Water pipe line in Mtrs</t>
  </si>
  <si>
    <t>Walkway in Mtrs</t>
  </si>
  <si>
    <t>Railings in Mtrs</t>
  </si>
  <si>
    <t>Lifeline Rope in Rmtrs</t>
  </si>
  <si>
    <t xml:space="preserve">No. of Lifeline Post (Qty.) </t>
  </si>
  <si>
    <t xml:space="preserve">DC Cable Length in Mtrs 4 Sqmm </t>
  </si>
  <si>
    <t xml:space="preserve">DC Cable Length in Mtrs 6 Sqmm </t>
  </si>
  <si>
    <t>DC cable tray length in Mtrs 50x50x2mm</t>
  </si>
  <si>
    <t>DC cable tray length in Mtrs 100x50x2mm</t>
  </si>
  <si>
    <t>Zero Degree Walkways in Mtrs</t>
  </si>
  <si>
    <t>Step Walkway  in Mtrs</t>
  </si>
  <si>
    <t>Gutter length for harvesting in Mtrs</t>
  </si>
  <si>
    <t>Skylight 
Width in mm</t>
  </si>
  <si>
    <t>Skylight Length in Run. Mtrs</t>
  </si>
  <si>
    <t>Turbo Vent Qty.</t>
  </si>
  <si>
    <t>Roof monitor cross over (Qty.)</t>
  </si>
  <si>
    <t>Ladder for Roof to roof Height in Mtrs</t>
  </si>
  <si>
    <t>Type of Ladder</t>
  </si>
  <si>
    <t>Building Height in Mtrs</t>
  </si>
  <si>
    <t>Total Plant 
Area in Acrs</t>
  </si>
  <si>
    <t>DWC pipe for DC cable in Mtrs</t>
  </si>
  <si>
    <t>Approach Road in Mtrs</t>
  </si>
  <si>
    <t>Internal 
Road in Mtrs</t>
  </si>
  <si>
    <t>Strom Water Drainage in Mtrs</t>
  </si>
  <si>
    <t>Peripheral
Length in Mtrs</t>
  </si>
  <si>
    <t>Peripheral Road in Mtrs</t>
  </si>
  <si>
    <t xml:space="preserve">Trapezoidal </t>
  </si>
  <si>
    <t>25x3mm</t>
  </si>
  <si>
    <t>25x6mm</t>
  </si>
  <si>
    <t>ESE 107 Mtrs Radius</t>
  </si>
  <si>
    <t>500-1000mm</t>
  </si>
  <si>
    <t>Air Ligthing Terminal</t>
  </si>
  <si>
    <t>Per Wp cost of Inverter</t>
  </si>
  <si>
    <t xml:space="preserve"> IN :</t>
  </si>
  <si>
    <t>1 OUT</t>
  </si>
  <si>
    <t>AC cable length from INV. To ACCB Panel</t>
  </si>
  <si>
    <t>Inv count</t>
  </si>
  <si>
    <t>Inv. Combination (reference)</t>
  </si>
  <si>
    <t>AC Capacity in KW</t>
  </si>
  <si>
    <t>Termination Distance as per site survey report</t>
  </si>
  <si>
    <t>No. of Runs</t>
  </si>
  <si>
    <t>Total running mtrs.</t>
  </si>
  <si>
    <t>Selected Cable Size</t>
  </si>
  <si>
    <t>Cable transmission method</t>
  </si>
  <si>
    <t>ACCB Panels Details</t>
  </si>
  <si>
    <t>Distance/Runs/
Cable Size</t>
  </si>
  <si>
    <t>Inverter-1</t>
  </si>
  <si>
    <t>Inverter-2</t>
  </si>
  <si>
    <t>Inverter-3</t>
  </si>
  <si>
    <t>Inverter-4</t>
  </si>
  <si>
    <t>Inverter-5</t>
  </si>
  <si>
    <t>Inverter-6</t>
  </si>
  <si>
    <t>Inverter-7</t>
  </si>
  <si>
    <t>Inverter-8</t>
  </si>
  <si>
    <t>Inverter-9</t>
  </si>
  <si>
    <t>Inverter-10</t>
  </si>
  <si>
    <t>Inverter-11</t>
  </si>
  <si>
    <t>Inverter-12</t>
  </si>
  <si>
    <t>Inverter-13</t>
  </si>
  <si>
    <t>Inverter-14</t>
  </si>
  <si>
    <t>Inverter-15</t>
  </si>
  <si>
    <t>Cable tray From Inv. To ACCB Panel in mtrs</t>
  </si>
  <si>
    <t>LT combination count</t>
  </si>
  <si>
    <t>Note: If no match pls increase runs</t>
  </si>
  <si>
    <t>New cable tray in mtrs</t>
  </si>
  <si>
    <t>Soil trench in mtrs</t>
  </si>
  <si>
    <t>Road Crossing</t>
  </si>
  <si>
    <t>Existing cable tray in mtrs</t>
  </si>
  <si>
    <t>Cable Gantry in mtrs</t>
  </si>
  <si>
    <t>Sl.
No.</t>
  </si>
  <si>
    <t>Name of the Locations (Building)</t>
  </si>
  <si>
    <t>Inv. Combination IN &amp; OUT</t>
  </si>
  <si>
    <t>ACCB Panel
Capacity</t>
  </si>
  <si>
    <t>ACCB Panel Current rating</t>
  </si>
  <si>
    <t>ACCB Panel 
 Quantity</t>
  </si>
  <si>
    <t>Cable length in mtrs</t>
  </si>
  <si>
    <t>1 IN : 1 OUT</t>
  </si>
  <si>
    <t>10/15/20/25/30/33/50/60/66KW</t>
  </si>
  <si>
    <t>15A-90A</t>
  </si>
  <si>
    <t>Cable size in sqmm</t>
  </si>
  <si>
    <t>3.5CX120Sqmm</t>
  </si>
  <si>
    <t>3.5CX150Sqmm</t>
  </si>
  <si>
    <t>3.5CX185Sqmm</t>
  </si>
  <si>
    <t>3.5CX95Sqmm</t>
  </si>
  <si>
    <t>500x75x2mm</t>
  </si>
  <si>
    <t>600x75x2mm</t>
  </si>
  <si>
    <t>2 IN : 1 OUT</t>
  </si>
  <si>
    <t>10/15/20/25/30/50/60/66KW</t>
  </si>
  <si>
    <t>3 IN : 1 OUT</t>
  </si>
  <si>
    <t>15/30/35/50/60/70/80/90/99KW</t>
  </si>
  <si>
    <t>25A-130A</t>
  </si>
  <si>
    <t xml:space="preserve">Soil Trench </t>
  </si>
  <si>
    <t>110A-155A</t>
  </si>
  <si>
    <t>100/110/120KW</t>
  </si>
  <si>
    <t>100KW</t>
  </si>
  <si>
    <t>135A- 165A</t>
  </si>
  <si>
    <t>110/120/130/133/150/160/170KW</t>
  </si>
  <si>
    <t>155A- 230A</t>
  </si>
  <si>
    <t>150KW</t>
  </si>
  <si>
    <t>265A- 300A</t>
  </si>
  <si>
    <t>330A- 370A</t>
  </si>
  <si>
    <t>400A- 450A</t>
  </si>
  <si>
    <t>4 IN : 1 OUT</t>
  </si>
  <si>
    <t>330-370KW</t>
  </si>
  <si>
    <t>450A- 500A</t>
  </si>
  <si>
    <t>400-440KW</t>
  </si>
  <si>
    <t>500A- 600A</t>
  </si>
  <si>
    <t>5 IN : 1 OUT</t>
  </si>
  <si>
    <t>450-490KW</t>
  </si>
  <si>
    <t>600A- 650A</t>
  </si>
  <si>
    <t>500-550KW</t>
  </si>
  <si>
    <t>670A- 730A</t>
  </si>
  <si>
    <t>6 IN : 1 OUT</t>
  </si>
  <si>
    <t>560-600KW</t>
  </si>
  <si>
    <t>740A- 800A</t>
  </si>
  <si>
    <t>600-660KW</t>
  </si>
  <si>
    <t>800A- 880A</t>
  </si>
  <si>
    <t>7 IN : 1 OUT</t>
  </si>
  <si>
    <t>670-710KW</t>
  </si>
  <si>
    <t>900A- 950A</t>
  </si>
  <si>
    <t>700-770KW</t>
  </si>
  <si>
    <t>950A-1050A</t>
  </si>
  <si>
    <t>8 IN : 1 OUT</t>
  </si>
  <si>
    <t>780-820KW</t>
  </si>
  <si>
    <t>1050A-1100A</t>
  </si>
  <si>
    <t>800-880KW</t>
  </si>
  <si>
    <t>1100A- 1200A</t>
  </si>
  <si>
    <t>9 IN : 1 OUT</t>
  </si>
  <si>
    <t>890-940KW</t>
  </si>
  <si>
    <t>1200A- 1250A</t>
  </si>
  <si>
    <t>900-990KW</t>
  </si>
  <si>
    <t>1250A-  1300A</t>
  </si>
  <si>
    <t>10 IN : 1 OUT</t>
  </si>
  <si>
    <t>1000-1100KW</t>
  </si>
  <si>
    <t>1320A- 1450A</t>
  </si>
  <si>
    <t>1000-1150KW</t>
  </si>
  <si>
    <t>1320A- 1500A</t>
  </si>
  <si>
    <t>11 IN : 1 OUT</t>
  </si>
  <si>
    <t>1100-1210KW</t>
  </si>
  <si>
    <t>1450A- 1600A</t>
  </si>
  <si>
    <t>1220-1260KW</t>
  </si>
  <si>
    <t>1600A-1660A</t>
  </si>
  <si>
    <t>12 IN : 1 OUT</t>
  </si>
  <si>
    <t>1200-1320KW</t>
  </si>
  <si>
    <t>1600A-1750A</t>
  </si>
  <si>
    <t>1330-1370KW</t>
  </si>
  <si>
    <t>1750A- 1800A</t>
  </si>
  <si>
    <t>13 IN : 1 OUT</t>
  </si>
  <si>
    <t>1300-1430KW</t>
  </si>
  <si>
    <t>1750A- 1900A</t>
  </si>
  <si>
    <t>1440-1480KW</t>
  </si>
  <si>
    <t>1900A- 2000A</t>
  </si>
  <si>
    <t>14 IN : 1 OUT</t>
  </si>
  <si>
    <t>1400-1540KW</t>
  </si>
  <si>
    <t>2000A- 2100A</t>
  </si>
  <si>
    <t>1550-1590KW</t>
  </si>
  <si>
    <t>2100A- 2150A</t>
  </si>
  <si>
    <t>15 IN : 1 OUT</t>
  </si>
  <si>
    <t>1500-1650KW</t>
  </si>
  <si>
    <t>2100A- 2200A</t>
  </si>
  <si>
    <t>1660-1700KW</t>
  </si>
  <si>
    <t>2200A-2300A</t>
  </si>
  <si>
    <t>Total ACCB Qty.</t>
  </si>
  <si>
    <t>Inv. To ACCB Panel Cable Calculation</t>
  </si>
  <si>
    <t xml:space="preserve">Inverter Capacity </t>
  </si>
  <si>
    <t>Inv. To ACCB Panel Distance</t>
  </si>
  <si>
    <t>No.of Runs</t>
  </si>
  <si>
    <t>Suitable Cable Size</t>
  </si>
  <si>
    <t>Command if any:</t>
  </si>
  <si>
    <t>Type of installation</t>
  </si>
  <si>
    <t>Structure clearance</t>
  </si>
  <si>
    <t>Earth Strip Qty (MMS)</t>
  </si>
  <si>
    <t>LT PANEL prices</t>
  </si>
  <si>
    <t>100 mm</t>
  </si>
  <si>
    <t>Price per 
LT Panel</t>
  </si>
  <si>
    <t>Total Price</t>
  </si>
  <si>
    <t>500 mm</t>
  </si>
  <si>
    <t>40x6mm</t>
  </si>
  <si>
    <t>3000 mm</t>
  </si>
  <si>
    <t>50x6mm</t>
  </si>
  <si>
    <t>Earth Strip Qty (INV)</t>
  </si>
  <si>
    <t>6000 mm</t>
  </si>
  <si>
    <t>0 mm</t>
  </si>
  <si>
    <t>Earth Strip Qty (LT panel)</t>
  </si>
  <si>
    <t>Skylight mesh details</t>
  </si>
  <si>
    <t>&lt;500mm</t>
  </si>
  <si>
    <t>1000-1500mm</t>
  </si>
  <si>
    <t>1500-2000mm</t>
  </si>
  <si>
    <t>Earth Strip Qty (LA )</t>
  </si>
  <si>
    <t>AC Cable tray total Qty(INV TO ACCB)</t>
  </si>
  <si>
    <t>100x75x2mm</t>
  </si>
  <si>
    <t>150x75x2mm</t>
  </si>
  <si>
    <t>200x75x2mm</t>
  </si>
  <si>
    <t>300x75x2mm</t>
  </si>
  <si>
    <t>400x75x2mm</t>
  </si>
  <si>
    <t>DC/AC Cable tray &amp; Earth strip Total Qty</t>
  </si>
  <si>
    <t>AC Cable tray total Qty(ACCB TO CLTP)</t>
  </si>
  <si>
    <t>4 Sqmm</t>
  </si>
  <si>
    <t>6 Sqmm</t>
  </si>
  <si>
    <t>per watt Cost</t>
  </si>
  <si>
    <t>50X50x2mm</t>
  </si>
  <si>
    <t>Soil trench (INV to ACCB)</t>
  </si>
  <si>
    <t>Soil trench (ACCB to CLTP)</t>
  </si>
  <si>
    <t>Origin</t>
  </si>
  <si>
    <t>Cost</t>
  </si>
  <si>
    <t>Cable length (INV to LT panel)</t>
  </si>
  <si>
    <t>Cable length (ACCB to CLTP)</t>
  </si>
  <si>
    <t>Indian ALMM</t>
  </si>
  <si>
    <t>Count of selection</t>
  </si>
  <si>
    <t>Size (sqmm)</t>
  </si>
  <si>
    <t>Length (Mtrs)</t>
  </si>
  <si>
    <t>No. or Run</t>
  </si>
  <si>
    <t>Indian ALCM</t>
  </si>
  <si>
    <t>4CX16Sqmm</t>
  </si>
  <si>
    <t>3.5CX16Sqmm</t>
  </si>
  <si>
    <t>3.5CX25Sqmm</t>
  </si>
  <si>
    <t>3.5CX35Sqmm</t>
  </si>
  <si>
    <t>3.5CX50Sqmm</t>
  </si>
  <si>
    <t>3.5CX70Sqmm</t>
  </si>
  <si>
    <t>3.5CX240Sqmm</t>
  </si>
  <si>
    <t>3.5CX300Sqmm</t>
  </si>
  <si>
    <t>DC cable break up</t>
  </si>
  <si>
    <t>4 Sqmm possitive</t>
  </si>
  <si>
    <t>4 Sqmm negative</t>
  </si>
  <si>
    <t>6 Sqmm possitive</t>
  </si>
  <si>
    <t>ACCB to CLTP</t>
  </si>
  <si>
    <t>Base 24 mm - ECO 70</t>
  </si>
  <si>
    <t>Lightning Arrester Summary</t>
  </si>
  <si>
    <t>Type</t>
  </si>
  <si>
    <t>Qty.</t>
  </si>
  <si>
    <t>Land scape - 250 MM</t>
  </si>
  <si>
    <t>Land scape - 300 MM</t>
  </si>
  <si>
    <t>Standing seam</t>
  </si>
  <si>
    <t>Kliplock</t>
  </si>
  <si>
    <t>SSB6 Profiles-120MM</t>
  </si>
  <si>
    <t>SSB2 Profiles-50MM</t>
  </si>
  <si>
    <t>RCC &amp; RCC raised</t>
  </si>
  <si>
    <t>Ground &amp; Parking</t>
  </si>
  <si>
    <t>Total Qty</t>
  </si>
  <si>
    <t>CEIG, NET Metering &amp; Approvals Summary Sheet</t>
  </si>
  <si>
    <t>State Name</t>
  </si>
  <si>
    <t>Total Capcity (String Inverter LT) (DC &amp; AC)</t>
  </si>
  <si>
    <t>Exisiting Plant capacity in Kwp</t>
  </si>
  <si>
    <t>Approvals</t>
  </si>
  <si>
    <t>Price</t>
  </si>
  <si>
    <t>per Wp</t>
  </si>
  <si>
    <t>CEIG for new plant</t>
  </si>
  <si>
    <t>NET metering Liaisoning fee NOC</t>
  </si>
  <si>
    <t>NET metering material &amp; Installation</t>
  </si>
  <si>
    <t>Cubicle</t>
  </si>
  <si>
    <t>Statutory</t>
  </si>
  <si>
    <t>RPO</t>
  </si>
  <si>
    <t xml:space="preserve">Net Metering </t>
  </si>
  <si>
    <t>CEIG</t>
  </si>
  <si>
    <t>Grand Total</t>
  </si>
  <si>
    <t>Per Wp</t>
  </si>
  <si>
    <t xml:space="preserve">HT CT/PT Installation </t>
  </si>
  <si>
    <t xml:space="preserve">Renewable Purchase Obligation </t>
  </si>
  <si>
    <t>A</t>
  </si>
  <si>
    <t>B</t>
  </si>
  <si>
    <t>C</t>
  </si>
  <si>
    <t>D=B+C</t>
  </si>
  <si>
    <t>E</t>
  </si>
  <si>
    <t>F=A+E</t>
  </si>
  <si>
    <t>G=D+E</t>
  </si>
  <si>
    <t>L=F/wp</t>
  </si>
  <si>
    <t>M</t>
  </si>
  <si>
    <t>N</t>
  </si>
  <si>
    <t>O=M+N</t>
  </si>
  <si>
    <t>M= G+O</t>
  </si>
  <si>
    <t>Sr.No</t>
  </si>
  <si>
    <t>Capacity</t>
  </si>
  <si>
    <t>NET metering Liaisoning fee
(Discom NOC)</t>
  </si>
  <si>
    <t>Material</t>
  </si>
  <si>
    <t>Installation</t>
  </si>
  <si>
    <t>Statutory
Application Fee for NET Meter/CEIG Nodal Agency _Material  testing fee</t>
  </si>
  <si>
    <t xml:space="preserve">Total cost of NET Metering inst. work                                </t>
  </si>
  <si>
    <t>CEIG liasoning</t>
  </si>
  <si>
    <t xml:space="preserve">NET Metering and CEIG liaisoning </t>
  </si>
  <si>
    <t xml:space="preserve">Total cost of NET Metering work  and CEIG liaisoning </t>
  </si>
  <si>
    <t>P/Wp</t>
  </si>
  <si>
    <t>Rate for one HT Kiosk(voltage level-11kV,22kV &amp;33kV)                  *Earthing and othe installation work not included</t>
  </si>
  <si>
    <t xml:space="preserve"> Installtion/testing laisoning/Statutory</t>
  </si>
  <si>
    <t xml:space="preserve">NET Metering and CEIG liaisoning  Including HT and LT Material Cost-Cost For Single Qty    </t>
  </si>
  <si>
    <t>RPO                                               (1. Project Approval from Nodaloffice/State Energy Development Agency                   2.Grid Connectivity &amp; Metering approval from SEDCL                   3.Solar Plant Commissioning Approval from SEDCL HO</t>
  </si>
  <si>
    <t>25-100 KWp</t>
  </si>
  <si>
    <t>101-250 KWp</t>
  </si>
  <si>
    <t>251-500 KWp</t>
  </si>
  <si>
    <t>501- 1000 KWp</t>
  </si>
  <si>
    <t>Satutaryfee</t>
  </si>
  <si>
    <t>1 kWp-50 KW</t>
  </si>
  <si>
    <t>100-200  KW</t>
  </si>
  <si>
    <t>201-500 KW</t>
  </si>
  <si>
    <t>501-1000 KW</t>
  </si>
  <si>
    <t>Upto 200 KW</t>
  </si>
  <si>
    <t>200 to 500 KW</t>
  </si>
  <si>
    <t>500 to 750 KW</t>
  </si>
  <si>
    <t>750 to 1000 KW</t>
  </si>
  <si>
    <t>1000 to 2000 KW</t>
  </si>
  <si>
    <t>51 kWp-100 KW</t>
  </si>
  <si>
    <t>101 kWp-500 KW</t>
  </si>
  <si>
    <t>501 kWp-1000 KW</t>
  </si>
  <si>
    <t>1 kWp-50 KWp</t>
  </si>
  <si>
    <t>51 kWp-100 KWp</t>
  </si>
  <si>
    <t>101 kWp-500 KWp</t>
  </si>
  <si>
    <t>501 kWp-1000 KWp</t>
  </si>
  <si>
    <t>1 kW-50 KW</t>
  </si>
  <si>
    <t>51 kW-100 KW</t>
  </si>
  <si>
    <t>101 kW-500 KW</t>
  </si>
  <si>
    <t>501 kW-1000 KW</t>
  </si>
  <si>
    <t>above 1000 KW</t>
  </si>
  <si>
    <t>NOC</t>
  </si>
  <si>
    <t>,\</t>
  </si>
  <si>
    <t>more then 1MWp</t>
  </si>
  <si>
    <t>Earthing Calculation</t>
  </si>
  <si>
    <t>LT Panel capacity</t>
  </si>
  <si>
    <t>No. of earthing</t>
  </si>
  <si>
    <t>Total earthing</t>
  </si>
  <si>
    <t>Rating</t>
  </si>
  <si>
    <t>Panel price</t>
  </si>
  <si>
    <t>Total price</t>
  </si>
  <si>
    <t>10-50kw</t>
  </si>
  <si>
    <t xml:space="preserve">100A </t>
  </si>
  <si>
    <t>50-100kw</t>
  </si>
  <si>
    <t xml:space="preserve">200A </t>
  </si>
  <si>
    <t>150-499kw</t>
  </si>
  <si>
    <t>400A</t>
  </si>
  <si>
    <t>500-999kw</t>
  </si>
  <si>
    <t>500A</t>
  </si>
  <si>
    <t>1000-1500kw</t>
  </si>
  <si>
    <t>630A</t>
  </si>
  <si>
    <t>Total no of earthing</t>
  </si>
  <si>
    <t>800A</t>
  </si>
  <si>
    <t>1000A</t>
  </si>
  <si>
    <t>1200A</t>
  </si>
  <si>
    <t>RPR /UVR/NVR</t>
  </si>
  <si>
    <t>1600A</t>
  </si>
  <si>
    <t>S.No</t>
  </si>
  <si>
    <t>Rating(Amps)</t>
  </si>
  <si>
    <t>Material price</t>
  </si>
  <si>
    <t>Enclosure price</t>
  </si>
  <si>
    <t>Total cost</t>
  </si>
  <si>
    <t>2000A</t>
  </si>
  <si>
    <t>630/700</t>
  </si>
  <si>
    <t>800/1000 upto 4000A</t>
  </si>
  <si>
    <t>Spare feeder calculation</t>
  </si>
  <si>
    <t>Breaker type</t>
  </si>
  <si>
    <t>Price for breaker</t>
  </si>
  <si>
    <t>Price for BB</t>
  </si>
  <si>
    <t>Conductor/ ACCB Panel for AP</t>
  </si>
  <si>
    <t>MCCB</t>
  </si>
  <si>
    <t>Panel Price</t>
  </si>
  <si>
    <t>International</t>
  </si>
  <si>
    <t>ACB</t>
  </si>
  <si>
    <t>Generation meter Required state are:</t>
  </si>
  <si>
    <t>1250/65kA</t>
  </si>
  <si>
    <t>&gt;2000</t>
  </si>
  <si>
    <t>No. of Sevice connection</t>
  </si>
  <si>
    <t>Total no. of profile</t>
  </si>
  <si>
    <t xml:space="preserve">Capacity
(kWp)  </t>
  </si>
  <si>
    <t>BOM Cost (₹/Wp)</t>
  </si>
  <si>
    <t>Using soil Trench</t>
  </si>
  <si>
    <t>Using New Cable Tray 300 mm</t>
  </si>
  <si>
    <t xml:space="preserve">Calculation of Cost of BG </t>
  </si>
  <si>
    <t>Trench Available, new cable tray 300 mm</t>
  </si>
  <si>
    <t>Project Cost</t>
  </si>
  <si>
    <t>Using Existing Cable Tray</t>
  </si>
  <si>
    <t>PBG Amount</t>
  </si>
  <si>
    <t>Using New Cable Tray 600 mm</t>
  </si>
  <si>
    <t>% of PBG Amount as Margin Money to be kept with Bank</t>
  </si>
  <si>
    <t>Trench Available, new cable tray 600 mm</t>
  </si>
  <si>
    <t xml:space="preserve">FD interest gain on margin money </t>
  </si>
  <si>
    <t xml:space="preserve">Opportunity cost of margin money </t>
  </si>
  <si>
    <t>Loss</t>
  </si>
  <si>
    <t>Annual cost of BG</t>
  </si>
  <si>
    <t xml:space="preserve">Total Cost To Company </t>
  </si>
  <si>
    <t>No of Yrs BG is required to be maintained</t>
  </si>
  <si>
    <t>Per Wp Cost of BG with Plant capacity</t>
  </si>
  <si>
    <t>AC Capacity Ranges</t>
  </si>
  <si>
    <t>Selection of Earthstrips</t>
  </si>
  <si>
    <t>Item</t>
  </si>
  <si>
    <t>Strip Size</t>
  </si>
  <si>
    <t>Rooftop</t>
  </si>
  <si>
    <t>Ground/Parking</t>
  </si>
  <si>
    <t>Upto 0-50kW AC</t>
  </si>
  <si>
    <t>Module</t>
  </si>
  <si>
    <t>25X3</t>
  </si>
  <si>
    <t>25X6</t>
  </si>
  <si>
    <t>MMS</t>
  </si>
  <si>
    <t>Inverter</t>
  </si>
  <si>
    <t>ACCB Panel</t>
  </si>
  <si>
    <t>AC Cable tray</t>
  </si>
  <si>
    <t>LA</t>
  </si>
  <si>
    <t>Upto 51-150kW AC</t>
  </si>
  <si>
    <t>Cable tray</t>
  </si>
  <si>
    <t>151-500kW AC</t>
  </si>
  <si>
    <t>Back to top the of sheet</t>
  </si>
  <si>
    <t>501kW to 1MW AC</t>
  </si>
  <si>
    <t>Structure</t>
  </si>
  <si>
    <t>25X6/40x6</t>
  </si>
  <si>
    <t>40X6</t>
  </si>
  <si>
    <t>1MW to 2MW AC</t>
  </si>
  <si>
    <t>50X6</t>
  </si>
  <si>
    <t>2MW to 5MW AC</t>
  </si>
  <si>
    <t>String Inverter LT list</t>
  </si>
  <si>
    <t>Locked cell</t>
  </si>
  <si>
    <t>Sl.no.</t>
  </si>
  <si>
    <t>Make</t>
  </si>
  <si>
    <t>Delta</t>
  </si>
  <si>
    <t>Model</t>
  </si>
  <si>
    <t>Solis</t>
  </si>
  <si>
    <t>Hitachi</t>
  </si>
  <si>
    <t>SMA</t>
  </si>
  <si>
    <t>Solar Edge</t>
  </si>
  <si>
    <t>Huawei</t>
  </si>
  <si>
    <t>ABB</t>
  </si>
  <si>
    <t>Growatt</t>
  </si>
  <si>
    <t>Inverter Costings</t>
  </si>
  <si>
    <t>Total Inv Costing</t>
  </si>
  <si>
    <t>per Watt Costing</t>
  </si>
  <si>
    <t>Al. CABLE CAPACITY(3.5Core) in Sq.mm</t>
  </si>
  <si>
    <t>3x 16+16</t>
  </si>
  <si>
    <t>3x25+16</t>
  </si>
  <si>
    <t>3x35+16</t>
  </si>
  <si>
    <t>3x50+25</t>
  </si>
  <si>
    <t>3x70+35</t>
  </si>
  <si>
    <t>3x95+50</t>
  </si>
  <si>
    <t>3x120+70</t>
  </si>
  <si>
    <t>3x150+70</t>
  </si>
  <si>
    <t>3x185+95</t>
  </si>
  <si>
    <t>3x240+120</t>
  </si>
  <si>
    <t>3x300+150</t>
  </si>
  <si>
    <t>3x400+185</t>
  </si>
  <si>
    <t>Cable Amps in Al. Cond. Run in Ground</t>
  </si>
  <si>
    <t>Cable Amps in Al. Cond. Run in Air</t>
  </si>
  <si>
    <t>Total Derating factorb (K1*K2*K3*K4*K5*K6*K7)</t>
  </si>
  <si>
    <t>Derated Current in Ground</t>
  </si>
  <si>
    <t>Derated Current in Air</t>
  </si>
  <si>
    <t>Resistance @ 90 degrees in ohm/Km</t>
  </si>
  <si>
    <t>Reactance @ 50HZ in ohm/Km</t>
  </si>
  <si>
    <t>No.of amps need to carry on each phase (Amp)</t>
  </si>
  <si>
    <t>No.of meters for run (Mtrs)</t>
  </si>
  <si>
    <t>No.of runs</t>
  </si>
  <si>
    <t>Operating Voltage</t>
  </si>
  <si>
    <t>Voltage drop of cable</t>
  </si>
  <si>
    <t>Voltage drop of cable%</t>
  </si>
  <si>
    <t>If feasable in Ground</t>
  </si>
  <si>
    <t>If feasable in Air</t>
  </si>
  <si>
    <t>Amps</t>
  </si>
  <si>
    <t>Sqmm.</t>
  </si>
  <si>
    <t>Fourth Partner Energy Pvt Ltd</t>
  </si>
  <si>
    <t>BID Cell BOM</t>
  </si>
  <si>
    <t>SALES BOM (415V LT Level)</t>
  </si>
  <si>
    <t>Sales BOM Summary</t>
  </si>
  <si>
    <t>Client Name</t>
  </si>
  <si>
    <t>Module &amp; Inverters</t>
  </si>
  <si>
    <t>ACCB Panel, DCDB, Optimazer &amp; Spare feeder</t>
  </si>
  <si>
    <t xml:space="preserve">Module Mounting Structure </t>
  </si>
  <si>
    <t>DC, AC, Control &amp; Communication Cables</t>
  </si>
  <si>
    <t>Earthing &amp; LA, RMS and BOS</t>
  </si>
  <si>
    <t>Rooftop Infra. (Walkways, cable tray, Ladder &amp; Etc.)</t>
  </si>
  <si>
    <t>Ground Infra. (Fencing &amp; Plant lighting)</t>
  </si>
  <si>
    <t>I&amp;C and Civil works, Spare &amp; Additional Requirements</t>
  </si>
  <si>
    <t xml:space="preserve">Liaisoning, Net metering </t>
  </si>
  <si>
    <t>AMC &amp; Module cleaning</t>
  </si>
  <si>
    <t>Total summary break-up</t>
  </si>
  <si>
    <t>Plant Cost (Total-A)</t>
  </si>
  <si>
    <t>Total Plant Capacity</t>
  </si>
  <si>
    <t>Plant Cost (Total-A ) without Module</t>
  </si>
  <si>
    <t>RFP/RFQ Details</t>
  </si>
  <si>
    <t>Plant Cost (Total-B)</t>
  </si>
  <si>
    <t>Selling Cost Excluding of GST (For Capex)</t>
  </si>
  <si>
    <t>Is Design According RFP/RFQ</t>
  </si>
  <si>
    <t>Selling Cost Including of GST (For Opex)</t>
  </si>
  <si>
    <t>Is BOM According To RFP/RFQ</t>
  </si>
  <si>
    <t>Name</t>
  </si>
  <si>
    <t>Version no.</t>
  </si>
  <si>
    <t>Sale BOM Reviewed By</t>
  </si>
  <si>
    <t>Sale BOM Approved By</t>
  </si>
  <si>
    <t>Bidcell BOM Cost valid for 7 days from the date of Approval</t>
  </si>
  <si>
    <t>Name of the Item's</t>
  </si>
  <si>
    <t>Unit Cost</t>
  </si>
  <si>
    <t>Qty</t>
  </si>
  <si>
    <t>UOM</t>
  </si>
  <si>
    <t>Total Cost</t>
  </si>
  <si>
    <t>Item's Spec./Scope of Works</t>
  </si>
  <si>
    <t>Suggested Makes</t>
  </si>
  <si>
    <t>Remarks/Marketing Comment</t>
  </si>
  <si>
    <t>SPV Module</t>
  </si>
  <si>
    <t>Solar Photovoltaic Module</t>
  </si>
  <si>
    <t>kWp</t>
  </si>
  <si>
    <t>Total Cost for PV Module</t>
  </si>
  <si>
    <t>String Inverters</t>
  </si>
  <si>
    <t xml:space="preserve">String Inverter Model </t>
  </si>
  <si>
    <t>No's</t>
  </si>
  <si>
    <t>Inverter extension warranty (6-10 yrars)</t>
  </si>
  <si>
    <t>Total Cost for String Inverters</t>
  </si>
  <si>
    <t xml:space="preserve">Module Mounting Stucture (MMS) with Hardware </t>
  </si>
  <si>
    <t>Module Mounting Structure Lord type</t>
  </si>
  <si>
    <t>Trapezoidal</t>
  </si>
  <si>
    <t>120mm Short Profile with make of SMS/MTE/Suncon/RPK/sunrack</t>
  </si>
  <si>
    <t>Profiles selected as per Designer inputs</t>
  </si>
  <si>
    <t>Module Mounting Structure Standing seam type</t>
  </si>
  <si>
    <t>Mid and end Clamp with Hardware</t>
  </si>
  <si>
    <t>Long Rail Type (Rooftop) with hardware</t>
  </si>
  <si>
    <t>100mm Clearance</t>
  </si>
  <si>
    <t>RCC type (Rooftop) with hardware</t>
  </si>
  <si>
    <t>Tons</t>
  </si>
  <si>
    <t>Fixed Tilt with 500mm Ground Clearance</t>
  </si>
  <si>
    <t>FPEL- Std. 
HDG /GI (min. 80 mic thick)with 180kmph 
(Steel-TATA, JSW,Jindal)
(Tubes -Appolo)</t>
  </si>
  <si>
    <t>RCC Raised Structure type (Rooftop) with hardware</t>
  </si>
  <si>
    <t>Anchoring with 3000mm Ground Clearance</t>
  </si>
  <si>
    <t>RCC Raised on Pillar Structure type with hardware</t>
  </si>
  <si>
    <t>Ground Mounting type with hardware</t>
  </si>
  <si>
    <t>Ground Raised Structure type (Car/ Bike Parking)</t>
  </si>
  <si>
    <t>J Bold Mounting with 3000mm Ground Clearance</t>
  </si>
  <si>
    <t>Ground Raised Structure type (Bus/Truck Parking)</t>
  </si>
  <si>
    <t>J Bold Mounting with 6000mm Ground Clearance</t>
  </si>
  <si>
    <t>Floating Structure Along with cable Trays</t>
  </si>
  <si>
    <t>Reputed make</t>
  </si>
  <si>
    <t>Hardware for RCC/RCC Raised/ Ground mounted/ Parking</t>
  </si>
  <si>
    <t xml:space="preserve">Total Cost for Module Mounting Stucture (MMS) with Hardware </t>
  </si>
  <si>
    <t>Junction BOX, DCBD &amp; Optimizers</t>
  </si>
  <si>
    <t>DCDB with Fuse &amp; SPD</t>
  </si>
  <si>
    <t>ACDB with Breaker &amp; SPD</t>
  </si>
  <si>
    <t>Optimizers for Solar Edge Inverter</t>
  </si>
  <si>
    <t>DC/AC side fuse with SPD only for Kerala site's</t>
  </si>
  <si>
    <t>Applicable only on Kerala state</t>
  </si>
  <si>
    <t>IP 65 Box of DCDB &amp; ACJB</t>
  </si>
  <si>
    <t>ACJB for below 50kw Inverter</t>
  </si>
  <si>
    <t>For Below 50KW Solis inverters</t>
  </si>
  <si>
    <t>IP 65 Box with Cu.busbar</t>
  </si>
  <si>
    <t>Total Cost for Junction BOX, DCBD &amp; Optimizers</t>
  </si>
  <si>
    <t>ACCB Panel &amp; Spare Feeder</t>
  </si>
  <si>
    <t>Total cost of Spare Feeder Along with Al.Bus Bar Extension</t>
  </si>
  <si>
    <t>Lot</t>
  </si>
  <si>
    <t>Breakers- ABB/ Schneider/ Equilent and Panel from Sri Venkateswara Power Systems/Bhagyashree/ Accupanels/ JVS/Alnico/ DB  electrical</t>
  </si>
  <si>
    <t>Total cost of ACCB Panel at Plant End</t>
  </si>
  <si>
    <t>NVR/UVR Panel (Applicable only on Gujarat state)</t>
  </si>
  <si>
    <t>Contactor/ ACCB Panel(Applicable only on Andhra Pradesh state)</t>
  </si>
  <si>
    <t>Isolation Panel</t>
  </si>
  <si>
    <t>Total Cost for ACCB Panel &amp; Spare Feeder</t>
  </si>
  <si>
    <t xml:space="preserve">1000V/1500V DC Cu.Cable </t>
  </si>
  <si>
    <t>1CX4 Sqmm DC solar cable 1.8kV  XLPO</t>
  </si>
  <si>
    <t>Mtr's</t>
  </si>
  <si>
    <t>Siechem</t>
  </si>
  <si>
    <t>1CX6 Sqmm DC solar cable 1.8kV  XLPO</t>
  </si>
  <si>
    <t xml:space="preserve"> Total Cost for 1000V/1500V DC Cu.Cable </t>
  </si>
  <si>
    <t>AC Cu. Cable from Inv. to ACJB for below 50kw inverters</t>
  </si>
  <si>
    <t>4CX16Sqmm Cu. XLPE Copper Un- Armoured  Cable-1.1kV</t>
  </si>
  <si>
    <t>Polycab/ Equilent</t>
  </si>
  <si>
    <t>3.5CX25Sqmm Cu. XLPE Copper Un- Armoured  Cable-1.1kV</t>
  </si>
  <si>
    <t>Total Cost for Cu. Cable from Inv. to ACJB for below 50kw inverter</t>
  </si>
  <si>
    <t>AC AL. XLPE Cable from Inv. to ACCB Panel</t>
  </si>
  <si>
    <t>4CX16Sqmm XLPE Al. Armoured  Cable-1.1kV</t>
  </si>
  <si>
    <t>3.5CX25Sqmm XLPE Al. Armoured  Cable -1.1kV</t>
  </si>
  <si>
    <t>3.5CX35Sqmm XLPE Al. Armoured  Cable -1.1kV</t>
  </si>
  <si>
    <t>3.5CX50Sqmm XLPE Al. Armoured  Cable -1.1kV</t>
  </si>
  <si>
    <t>3.5CX70Sqmm XLPE Al. Armoured  Cable -1.1kV</t>
  </si>
  <si>
    <t>3.5CX95Sqmm XLPE Al. Armoured  Cable -1.1kV</t>
  </si>
  <si>
    <t>3.5CX120Sqmm XLPE Al. Armoured  Cable -1.1kV</t>
  </si>
  <si>
    <t>3.5CX150Sqmm XLPE Al. Armoured  Cable -1.1kV</t>
  </si>
  <si>
    <t>3.5CX185Sqmm XLPE Al. Armoured  Cable -1.1kV</t>
  </si>
  <si>
    <t>3.5CX240Sqmm XLPE Al. Armoured  Cable -1.1kV</t>
  </si>
  <si>
    <t>3.5CX300Sqmm XLPE Al. Armoured  Cable -1.1kV</t>
  </si>
  <si>
    <t>Total Cost for AL. XLPE Cable from Inv. to ACCB Panel</t>
  </si>
  <si>
    <t>AC Al.cable From ACCB Panel to Client Termination</t>
  </si>
  <si>
    <t>4CX16Sqmm XLPE AC Al. Armoured  Cable-1.1kV</t>
  </si>
  <si>
    <t xml:space="preserve">Total Cost for AL.XLPE Cable from LT Panel to client Termination </t>
  </si>
  <si>
    <t>Earthing, Power supply &amp; Communication Cables</t>
  </si>
  <si>
    <t xml:space="preserve">1Cx4sqmm cable for Module Frame earthing </t>
  </si>
  <si>
    <t>1Cx16sqmm Inverter Earthing</t>
  </si>
  <si>
    <t>TN 38 DQ 2683</t>
  </si>
  <si>
    <t>TN 38 CK 2698</t>
  </si>
  <si>
    <t>1Cx25sqmm Inverter Earthing</t>
  </si>
  <si>
    <t>1Cx35sqmm Inverter Earthing</t>
  </si>
  <si>
    <t>1CX50sqmm for LA Earthing &amp; Inverter Earthing</t>
  </si>
  <si>
    <t>1CX70sqmm for LA Earthing &amp; Inverter Earthing</t>
  </si>
  <si>
    <t>10CX2.5sqmm for DGPD &amp; ZFD</t>
  </si>
  <si>
    <t>3CX2.5sqmm for motor wiring</t>
  </si>
  <si>
    <t>5CX2.5sqmm for motor wiring</t>
  </si>
  <si>
    <t xml:space="preserve">Communication cable RS 485 cable 2Px2Px0.5sqmm </t>
  </si>
  <si>
    <t>Cat-6 cable for wattmon wiring</t>
  </si>
  <si>
    <t>4Cx16sqmm Al. Ar. XLPE Cable-(LV Wiring of for periphery)</t>
  </si>
  <si>
    <t>4Cx16sqmm Al. Cable Multicolour</t>
  </si>
  <si>
    <t>Total Cost for Earthing, Power supply &amp; Communication Cables</t>
  </si>
  <si>
    <t>Chemical Earthing &amp; Lighting Arrester (LA)</t>
  </si>
  <si>
    <t>Early Streamer Emmision LA- 107m Radius</t>
  </si>
  <si>
    <t>LPI/ Equilent</t>
  </si>
  <si>
    <t>Air Lighting Terminal LA's</t>
  </si>
  <si>
    <t>Set's</t>
  </si>
  <si>
    <t>Air Lighting Terminal</t>
  </si>
  <si>
    <t>3 mtrs GI Earthing Electrode</t>
  </si>
  <si>
    <t>Indelec/ Equilent</t>
  </si>
  <si>
    <t>Earthpit chamber cover</t>
  </si>
  <si>
    <t xml:space="preserve">Bentonite powder </t>
  </si>
  <si>
    <t>Pakage</t>
  </si>
  <si>
    <t>25X3mm GI Earth strip</t>
  </si>
  <si>
    <t>kg's</t>
  </si>
  <si>
    <t>per mtr is equal to 0.6 kg's</t>
  </si>
  <si>
    <t>GI/HDG/ Equilent</t>
  </si>
  <si>
    <t>25X6mm GI Earth strip</t>
  </si>
  <si>
    <t>per mtr is equal to 1.18 kg's</t>
  </si>
  <si>
    <t>40X6mm GI Earth strip</t>
  </si>
  <si>
    <t>per mtr is equal to 2 kg's</t>
  </si>
  <si>
    <t>50X6mm GI Earth strip</t>
  </si>
  <si>
    <t>per mtr is equal to 2.34 kg's</t>
  </si>
  <si>
    <t>Total Cost for Chemical Earthing &amp; Lighting Arrester (LA)</t>
  </si>
  <si>
    <t>Walkways</t>
  </si>
  <si>
    <t>L:1000xW:300xT:25 mm</t>
  </si>
  <si>
    <t>Step Walkways width size 500mm</t>
  </si>
  <si>
    <t>Zero degree Walkways with size 300 mm</t>
  </si>
  <si>
    <t xml:space="preserve">Total Cost for Walkways </t>
  </si>
  <si>
    <t>DC Cable Tray</t>
  </si>
  <si>
    <t>Cable Trays from Module to Inverter for Rooftop</t>
  </si>
  <si>
    <t>50x50x2mm</t>
  </si>
  <si>
    <t>100x50x2mm</t>
  </si>
  <si>
    <t xml:space="preserve">Total Cost for DC Cable Tray </t>
  </si>
  <si>
    <t>AC Cable Tray from Inverter to ACCB Panel</t>
  </si>
  <si>
    <t>100x75x2mm ladder Type Cable Tray</t>
  </si>
  <si>
    <t>GI/HDG/ Powder coated material Ladder type cable trays</t>
  </si>
  <si>
    <t>150x75x2mm ladder Type Cable Tray</t>
  </si>
  <si>
    <t xml:space="preserve">200x75x2mm ladder Type Cable Tray </t>
  </si>
  <si>
    <t xml:space="preserve">300X75X2mm Ladder Type Cable Tray </t>
  </si>
  <si>
    <t>400X75X2mm Ladder Type Cable Tray</t>
  </si>
  <si>
    <t>500X75X2mm Ladder Type Cable Tray</t>
  </si>
  <si>
    <t xml:space="preserve">600x75x2mm Ladder Type Cable Tray </t>
  </si>
  <si>
    <t>Total Cost for AC Cable Tray from Inverter to ACCB Panel</t>
  </si>
  <si>
    <t>AC Cable Tray from ACCB Panel to Client LT Panel</t>
  </si>
  <si>
    <t>Total Cost for AC Cable Tray from ACCB Panel to Client LT Panel</t>
  </si>
  <si>
    <t>Roof Access &amp; Rooftop Accessories</t>
  </si>
  <si>
    <t>Monkey Ladder for Roof Access</t>
  </si>
  <si>
    <t>HDG mesh type material with Installation BOQ.</t>
  </si>
  <si>
    <t>Staircase-Step ladder for Roof Access</t>
  </si>
  <si>
    <t>Movable Ladder for Parking structures</t>
  </si>
  <si>
    <t>Roof monitor cross over</t>
  </si>
  <si>
    <t>Ladder for Roof to Roof</t>
  </si>
  <si>
    <t>Railings on Roof Edge's  with toe guard - 1 Mtr Height</t>
  </si>
  <si>
    <t xml:space="preserve">Mesh Over the Skylight width &lt;600mm </t>
  </si>
  <si>
    <t>Rmtr's</t>
  </si>
  <si>
    <t>GI/ Equilent</t>
  </si>
  <si>
    <t xml:space="preserve">Mesh Over the Skylight width 600-1200mm </t>
  </si>
  <si>
    <t xml:space="preserve">Mesh Over the Skylight width 1200-1700mm </t>
  </si>
  <si>
    <t xml:space="preserve">Mesh Over the Skylight width 1700-2200mm </t>
  </si>
  <si>
    <t>Lifeline (Rope &amp; Acc. ) Along with Installion charge</t>
  </si>
  <si>
    <t>Lifegear safetech private limited</t>
  </si>
  <si>
    <t>Karam/Lifegear/Omkar Safety and Power Pvt Ltd/ Equilent</t>
  </si>
  <si>
    <t>Lifeline (Post) Along with Installion charge</t>
  </si>
  <si>
    <t>Runner &gt; Removable runner made of SS 316</t>
  </si>
  <si>
    <t>Vertical Lifeline for Monkey ladder</t>
  </si>
  <si>
    <t>Mtrs</t>
  </si>
  <si>
    <t>Gutter length for Cleaning / Rain water harvesting</t>
  </si>
  <si>
    <t>Gutters Dropdown for every 10 mtrs length</t>
  </si>
  <si>
    <t>Total Cost for Roof Access &amp; Rooftop Accessories</t>
  </si>
  <si>
    <t>Remote Monitoring &amp; Weather Monitoring</t>
  </si>
  <si>
    <t>Remote monitoring system by using 4PEL server</t>
  </si>
  <si>
    <t>Wattmon / Equilent</t>
  </si>
  <si>
    <t>SCADA Cloud based/ PLC based</t>
  </si>
  <si>
    <t>Cloud Based</t>
  </si>
  <si>
    <t>Irradiation sensor</t>
  </si>
  <si>
    <t>Surya Logics/Any Reputed Make</t>
  </si>
  <si>
    <t>Pyranometer Horizontal</t>
  </si>
  <si>
    <t>Kipp &amp; Zonen/ Equilent</t>
  </si>
  <si>
    <t xml:space="preserve">Pyranometer Module tilted </t>
  </si>
  <si>
    <t>Module Temperature Sensor</t>
  </si>
  <si>
    <t>To Measure the module Temperature</t>
  </si>
  <si>
    <t>Ambient Temperature Sensor</t>
  </si>
  <si>
    <t>To Measure the external temperature</t>
  </si>
  <si>
    <t>Anemometer</t>
  </si>
  <si>
    <t>To Measure the wind speed</t>
  </si>
  <si>
    <t>Rain gauge Sensor</t>
  </si>
  <si>
    <t>To Measure rainfall</t>
  </si>
  <si>
    <t>Weather Station Tripod Mounting Stand with junction box</t>
  </si>
  <si>
    <t>Mounting Stand</t>
  </si>
  <si>
    <t>Data Logger</t>
  </si>
  <si>
    <t>Humidity Sensor</t>
  </si>
  <si>
    <t>To Measures the Moisture and Air Temperature</t>
  </si>
  <si>
    <t>DG Protection device for LT supply</t>
  </si>
  <si>
    <t>DG Protection Device by Using Wattmon</t>
  </si>
  <si>
    <t>Total Cost for Remote Monitoring &amp; Weather Monitoring</t>
  </si>
  <si>
    <t>Plant Fancing with Lighting works</t>
  </si>
  <si>
    <t>Boundary wall alongwith protection on top (6 ft's)</t>
  </si>
  <si>
    <t>Main Gate</t>
  </si>
  <si>
    <t>Pole (Min. 5.4 meter pole HDG lighting Pole)</t>
  </si>
  <si>
    <t>Street Light (20 Watts LED with Enclosure IP65,JB &amp; Cable)</t>
  </si>
  <si>
    <t>CG/Philips/ Equilent make</t>
  </si>
  <si>
    <t>Total Cost for Plant Fancing with Lighting works</t>
  </si>
  <si>
    <t>Balance of System (BOS)</t>
  </si>
  <si>
    <t>Rooftop BOM Item's</t>
  </si>
  <si>
    <t>Lord Chemical-400ML Catridge 810 for MMS</t>
  </si>
  <si>
    <t>for MMS</t>
  </si>
  <si>
    <t>Parker- Lord</t>
  </si>
  <si>
    <t>Lord Chemical-400ML Catridge 810 for Others</t>
  </si>
  <si>
    <t>for Walkways,DC cable trays &amp; Skylight mesh</t>
  </si>
  <si>
    <t>Earth Strip Clamps</t>
  </si>
  <si>
    <t>M8X25 Self triding screw and wooden Gutties</t>
  </si>
  <si>
    <t>STR/SANA/ Equilent</t>
  </si>
  <si>
    <t>M8x25mm for Earth Strip and cable tray</t>
  </si>
  <si>
    <t>Base clamp 100mm</t>
  </si>
  <si>
    <t>M-clamp SS - Walkway clamps</t>
  </si>
  <si>
    <t>SSP 1045 Profile 75mm for lord type inst.</t>
  </si>
  <si>
    <t>Walkway and skylight mesh only for Lord fixing</t>
  </si>
  <si>
    <t>SMS/Equilent</t>
  </si>
  <si>
    <t>SSP 5 - 50mm for Sanding seam or Kliplock type</t>
  </si>
  <si>
    <t>Walkway and skylight mesh only for standing seam fixing</t>
  </si>
  <si>
    <t xml:space="preserve">M8x15mm Walkway jointer with hardware </t>
  </si>
  <si>
    <t>FLU-con/Tibro</t>
  </si>
  <si>
    <t>Step and Zero degree walkway Supports GI raised Leg</t>
  </si>
  <si>
    <t>Bus Insulators for LA strip</t>
  </si>
  <si>
    <t>32mm Flexible Pipe used for module to cable Tray</t>
  </si>
  <si>
    <t>Elettro/ Equilent</t>
  </si>
  <si>
    <t>Common BOS Item's</t>
  </si>
  <si>
    <t>Industrial wall socket box with MCB (Single phase two pole)</t>
  </si>
  <si>
    <t>Industrial wall socket box with MCB</t>
  </si>
  <si>
    <t>Exora/ Equilent</t>
  </si>
  <si>
    <t>Industrial wall socket box with MCB (Three phase four pole)</t>
  </si>
  <si>
    <t>Module water drainage clips</t>
  </si>
  <si>
    <t>For Module tilt &lt; 5, other than shed</t>
  </si>
  <si>
    <t>For Module tilt &lt; 8, for shed</t>
  </si>
  <si>
    <t>Cable Ties  -Nylon 150mm</t>
  </si>
  <si>
    <t>Packet's</t>
  </si>
  <si>
    <t>FLU-con/Tibro/ Equilent</t>
  </si>
  <si>
    <t>Cable Ties  -Nylon 200mm</t>
  </si>
  <si>
    <t>Cable Ties  -Nylon 300mm</t>
  </si>
  <si>
    <t>Cable Ties  -Nylon 450mm</t>
  </si>
  <si>
    <t>Cable Ties  -SS 200mm</t>
  </si>
  <si>
    <t>Cable Ties  -SS 300mm</t>
  </si>
  <si>
    <t>Cable Ties  -SS 500mm</t>
  </si>
  <si>
    <t>LA support- 5 mtrs GI pipe</t>
  </si>
  <si>
    <t>Stay wires for LA</t>
  </si>
  <si>
    <t>MC4 connector Male and Female</t>
  </si>
  <si>
    <t>Elmex/ Equilent</t>
  </si>
  <si>
    <t>Inline Fuse Male &amp; Female</t>
  </si>
  <si>
    <t>DC cable dressing clips</t>
  </si>
  <si>
    <t>Araymond/ Equilent</t>
  </si>
  <si>
    <t>Fire extinguisher CO2</t>
  </si>
  <si>
    <t>Safe Pro Fire Services Pvt Ltd</t>
  </si>
  <si>
    <t>Fire extinguisher ABC type</t>
  </si>
  <si>
    <t>Fire Bucket with Stand and canopy</t>
  </si>
  <si>
    <t>Conduit pipe fixing(joining) Solvent (1000 ml)</t>
  </si>
  <si>
    <t>Birla/ Equilent</t>
  </si>
  <si>
    <t>Pu sealant for closing the opening of the pipes/conduits</t>
  </si>
  <si>
    <t>ABRO Industries/ Reputed make</t>
  </si>
  <si>
    <t>Sleeves each colour 250mm length Inv. To ACCB panel</t>
  </si>
  <si>
    <t>WOER Tube/ Equilent</t>
  </si>
  <si>
    <t>Sleeves each colour 250mm ACCB panel to Termination</t>
  </si>
  <si>
    <t>Insulation PVC Tape (R, Y, B, B, G)</t>
  </si>
  <si>
    <t>ABRO/Biocon/Equilent</t>
  </si>
  <si>
    <t>Ferrules</t>
  </si>
  <si>
    <t>M4x20mm for module frame earthing</t>
  </si>
  <si>
    <t>M8x15mm for walkways</t>
  </si>
  <si>
    <t>Hose pipe for water</t>
  </si>
  <si>
    <t>Champion (Savera)/Equilent</t>
  </si>
  <si>
    <t>25 mm CPVC Pipe for Water piping &amp; array looping purpose</t>
  </si>
  <si>
    <t>25 mm CPVC T-bend</t>
  </si>
  <si>
    <t>25 mm CPVC L-bend</t>
  </si>
  <si>
    <t>25 mm CPVC Ball value</t>
  </si>
  <si>
    <t>25 mm CPVC Coupler</t>
  </si>
  <si>
    <t>CVPC Solution 934ml</t>
  </si>
  <si>
    <t>CPVC Pipe C Clamp</t>
  </si>
  <si>
    <t>CPVC Pipe End cap</t>
  </si>
  <si>
    <t>25mm CPVC MTA and FTA</t>
  </si>
  <si>
    <t>25mm CPVC Union</t>
  </si>
  <si>
    <t>600 KVA UPS</t>
  </si>
  <si>
    <t>i-Ball/ Equilent</t>
  </si>
  <si>
    <t>Communication SPD one for wattman &amp; Irradiation Sensor</t>
  </si>
  <si>
    <t>Citel/ Equilent</t>
  </si>
  <si>
    <t>Earthing name plates</t>
  </si>
  <si>
    <t xml:space="preserve">Danger board  AC 415V and DC 1500V </t>
  </si>
  <si>
    <t>Fourthpartner Name Plant</t>
  </si>
  <si>
    <t>LT Cable Route marker</t>
  </si>
  <si>
    <t>Insulation mats 1Mtrx1Mtr for Inverter &amp; ACCB 3.3kv</t>
  </si>
  <si>
    <t>Hume Pipe 300mm Dia</t>
  </si>
  <si>
    <t>DWC Pipe for Ground Mounted Type</t>
  </si>
  <si>
    <t>Nagarjuna polymers / Equilent</t>
  </si>
  <si>
    <t>DWC Pipe T bend</t>
  </si>
  <si>
    <t>DWC Pipe L bend</t>
  </si>
  <si>
    <t>DWC Pipe Coupler</t>
  </si>
  <si>
    <t>PVC Water Tank 5000 Ltrs</t>
  </si>
  <si>
    <t>Sintex/ Equilent</t>
  </si>
  <si>
    <t>PVC Water Tank 2000 Ltrs</t>
  </si>
  <si>
    <t xml:space="preserve">1 HP Water pump </t>
  </si>
  <si>
    <t>Crompton Greaves/ Equilent</t>
  </si>
  <si>
    <t xml:space="preserve">1.5 HP Water pump </t>
  </si>
  <si>
    <t>PL</t>
  </si>
  <si>
    <t>Total loan amount</t>
  </si>
  <si>
    <t>Tenure</t>
  </si>
  <si>
    <t>ROI</t>
  </si>
  <si>
    <t xml:space="preserve">EMI </t>
  </si>
  <si>
    <t>Repayment</t>
  </si>
  <si>
    <t>Booster Water pump</t>
  </si>
  <si>
    <t>Old</t>
  </si>
  <si>
    <t>Water flow meter</t>
  </si>
  <si>
    <t>Kranti/ Equilent</t>
  </si>
  <si>
    <t>New</t>
  </si>
  <si>
    <t>Water Pressure release Value</t>
  </si>
  <si>
    <t>Aqua/ Equilent</t>
  </si>
  <si>
    <t>2.5 Sqmm Cu. &amp; Bimetallic Lug's Pin &amp; Ring type</t>
  </si>
  <si>
    <t>Dowell's/ Equilent</t>
  </si>
  <si>
    <t>4 Sqmm Cu. Lug's Round type</t>
  </si>
  <si>
    <t>16 Sqmm Cu. &amp; Bimetallic Lug's Pin &amp; Ring type</t>
  </si>
  <si>
    <t>Old Vs new</t>
  </si>
  <si>
    <t>25 Sqmm Cu. &amp; Bimetallic Lug's Pin &amp; Ring type</t>
  </si>
  <si>
    <t>old</t>
  </si>
  <si>
    <t>2L add.</t>
  </si>
  <si>
    <t>35 Sqmm Cu. &amp; Bimetallic Lug's Pin &amp; Ring type</t>
  </si>
  <si>
    <t>new</t>
  </si>
  <si>
    <t>Diff.</t>
  </si>
  <si>
    <t>50 Sqmm Cu. &amp; Bimetallic Lug's Pin &amp; Ring type</t>
  </si>
  <si>
    <t>service charge</t>
  </si>
  <si>
    <t>70 Sqmm Cu. &amp; Bimetallic Lug's Pin &amp; Ring type</t>
  </si>
  <si>
    <t>additial pay</t>
  </si>
  <si>
    <t>16 Sqmm Bimetallic Lug's Pin type</t>
  </si>
  <si>
    <t>25 Sqmm Bimetallic Lug's Pin type</t>
  </si>
  <si>
    <t>35 Sqmm Bimetallic Lug's Pin type</t>
  </si>
  <si>
    <t>50 Sqmm Bimetallic Lug's Pin type</t>
  </si>
  <si>
    <t>70 Sqmm Bimetallic Lug's Pin type</t>
  </si>
  <si>
    <t>95 Sqmm Bimetallic Lug's Pin type</t>
  </si>
  <si>
    <t>120 Sqmm Bimetallic Lug's Pin type</t>
  </si>
  <si>
    <t>185 Sqmm Bimetallic Lug's Pin type</t>
  </si>
  <si>
    <t>240 Sqmm Bimetallic Lug's Pin type</t>
  </si>
  <si>
    <t>300 Sqmm Bimetallic Lug's Pin type</t>
  </si>
  <si>
    <t>16 Sqmm AL. Lug's Ring type</t>
  </si>
  <si>
    <t>25 Sqmm AL. Lug's Ring type</t>
  </si>
  <si>
    <t>35 Sqmm AL. Lug's Ring type</t>
  </si>
  <si>
    <t>50 Sqmm AL. Lug's Ring type</t>
  </si>
  <si>
    <t>70 Sqmm AL. Lug's Ring type</t>
  </si>
  <si>
    <t>95 Sqmm AL. Lug's Ring type</t>
  </si>
  <si>
    <t>120 Sqmm AL. Lug's Ring type</t>
  </si>
  <si>
    <t>150 Sqmm AL. Lug's Ring type</t>
  </si>
  <si>
    <t>185 Sqmm AL. Lug's Ring type</t>
  </si>
  <si>
    <t>240 Sqmm AL. Lug's Ring type</t>
  </si>
  <si>
    <t>300 Sqmm AL. Lug's Ring type</t>
  </si>
  <si>
    <t>Freight &amp; Handling By Road</t>
  </si>
  <si>
    <t>Truck</t>
  </si>
  <si>
    <t>Goods Transportation (Only BOS)</t>
  </si>
  <si>
    <t>Total Cost for Balance of the System (BOS)</t>
  </si>
  <si>
    <t>Spare List for O&amp;M  and Plant Insurance of BOS</t>
  </si>
  <si>
    <t>Spare list cost</t>
  </si>
  <si>
    <t>Percentage</t>
  </si>
  <si>
    <t>Total Plant Insurance for BOS</t>
  </si>
  <si>
    <t>Yr's</t>
  </si>
  <si>
    <t>Total Cost for Spare List for O&amp;M  and Plant Insurance of BOS</t>
  </si>
  <si>
    <t>Addinatinal Item's (Requirement) for ITC Sites</t>
  </si>
  <si>
    <t>Thermography test &amp; Power analyser</t>
  </si>
  <si>
    <t>GI Conduit</t>
  </si>
  <si>
    <t>ABG Making</t>
  </si>
  <si>
    <t>Kwp</t>
  </si>
  <si>
    <t>Fourth Partner Energy</t>
  </si>
  <si>
    <t>Module to Module earthing 6 sqmm cable</t>
  </si>
  <si>
    <t>Load flow ananlysys by ETAP</t>
  </si>
  <si>
    <t>no's</t>
  </si>
  <si>
    <t>Display 43 inch</t>
  </si>
  <si>
    <t>Total Cost for Addinatinal Item's (Requirement) for ITC Sites</t>
  </si>
  <si>
    <t>Additional Requirements - D mart Sites</t>
  </si>
  <si>
    <t>Total Cost for Addinatinal Item's (Requirement) for Dmart Sites</t>
  </si>
  <si>
    <t>Additional Requirements (If any)</t>
  </si>
  <si>
    <t>Total Cost for Additional Requirements</t>
  </si>
  <si>
    <t>I&amp;C, Project Management &amp; Safety officer</t>
  </si>
  <si>
    <t xml:space="preserve">Project Management </t>
  </si>
  <si>
    <t>Special Safty Officer While I&amp;C works</t>
  </si>
  <si>
    <t>Shed (Rooftop) All Civil  &amp; I&amp;C works.</t>
  </si>
  <si>
    <t>KWp</t>
  </si>
  <si>
    <t>Long Rail Type (Rooftop) All Civil &amp; I&amp;C works.</t>
  </si>
  <si>
    <t>RCC (Rooftop) All Civil &amp; I&amp;C works.</t>
  </si>
  <si>
    <t>RCC Raised Structure (Rooftop) All Civil &amp; I&amp;C works.</t>
  </si>
  <si>
    <t>RCC Raised on Pillar Str. type All Civil &amp; I&amp;C works.</t>
  </si>
  <si>
    <t>Ground  All Civil &amp; I&amp;C works.</t>
  </si>
  <si>
    <t>GRS (Parking- Car/ Bike)All Civil &amp; I&amp;C works.</t>
  </si>
  <si>
    <t>GRS (Parking- Bus/ Truck)All Civil &amp; I&amp;C works.</t>
  </si>
  <si>
    <t>Floating Structure All Civil &amp; I&amp;C works.</t>
  </si>
  <si>
    <t>Supply &amp; Installation of inverter stand with canopy</t>
  </si>
  <si>
    <t>Supply &amp; Installation of ACCB panel stand with canopy</t>
  </si>
  <si>
    <t>Using Soil Trench( AC Cable From ACCB panel to CLTP)</t>
  </si>
  <si>
    <t>Applicable for Kerala state</t>
  </si>
  <si>
    <t>RCC/ Bitamin road Etc.</t>
  </si>
  <si>
    <t>Cable Gantry</t>
  </si>
  <si>
    <t>3 mtrs Height Gantry</t>
  </si>
  <si>
    <t>Ground mounted Plant Civil Works</t>
  </si>
  <si>
    <t>Soil Test/Pullout Test (for Ground &amp; Car Parking)</t>
  </si>
  <si>
    <t>Sample</t>
  </si>
  <si>
    <t>Civil work</t>
  </si>
  <si>
    <t>Land Leveling (for Ground &amp; Car Parking)</t>
  </si>
  <si>
    <t>Acres</t>
  </si>
  <si>
    <t>Bathymetry test</t>
  </si>
  <si>
    <t>Computational Fluid Dynamics (CFD) study</t>
  </si>
  <si>
    <t xml:space="preserve">Approach Road width- 3.5m with 0.5m shoulders </t>
  </si>
  <si>
    <t>Internal Road 3 mtrs wide with 0.5mtrs shoulders</t>
  </si>
  <si>
    <t>Peripheral road 2.5 mtrs wide with 0.5mtrs shoulders</t>
  </si>
  <si>
    <t>Inverter control room</t>
  </si>
  <si>
    <t>Sq. ft.</t>
  </si>
  <si>
    <t>Cabin type</t>
  </si>
  <si>
    <t>Total Cost for I&amp;C, Project Management &amp; Safety officer</t>
  </si>
  <si>
    <t>No Row Inclusion Beyond This</t>
  </si>
  <si>
    <t>Total - A</t>
  </si>
  <si>
    <t>Plant Cost W/O Liaisoning &amp; EPC</t>
  </si>
  <si>
    <t>States Vs Net Metering Limit table</t>
  </si>
  <si>
    <t>CEIG, Discom NOC, Liaisoning &amp; Net Metering</t>
  </si>
  <si>
    <t>CEIG/ Minister cost</t>
  </si>
  <si>
    <t>With Respect to State</t>
  </si>
  <si>
    <t>Net metering (ABT Meter) Materials &amp; Installation</t>
  </si>
  <si>
    <t>Secure / L&amp;T/Equilent</t>
  </si>
  <si>
    <t>Statutory Fees</t>
  </si>
  <si>
    <t>Metering Cubicle (CT&amp;PT) with Installtion along Testing Fee</t>
  </si>
  <si>
    <t>Kalpa/Kappa/ Equilent</t>
  </si>
  <si>
    <t xml:space="preserve">GOK only applicable for Karnataka </t>
  </si>
  <si>
    <t>Only for Karnataka State</t>
  </si>
  <si>
    <t>Minister cost for tamil nadu state</t>
  </si>
  <si>
    <t>Only for Tamil nadu State</t>
  </si>
  <si>
    <t>GEIG &amp; NOC cost for tamil nadu state</t>
  </si>
  <si>
    <t>Total cost of Generation Panel before client termination</t>
  </si>
  <si>
    <t>Generation Panel with breaker before client termination for MH</t>
  </si>
  <si>
    <t>MWp</t>
  </si>
  <si>
    <t>RTU Installation for Madhya Pradesh</t>
  </si>
  <si>
    <t>Applicable only on MP State</t>
  </si>
  <si>
    <t>Only for MP State</t>
  </si>
  <si>
    <t>Running Cost for RTU Madhya Pradesh</t>
  </si>
  <si>
    <t>Applicable only capex model</t>
  </si>
  <si>
    <t>DISCOM NOC, Nodal Agency &amp; Grid conn. Approval + Cable</t>
  </si>
  <si>
    <t>Only for AP State</t>
  </si>
  <si>
    <t>RTU &amp; SLDC Communication System for AP state</t>
  </si>
  <si>
    <t>Discom Meter with CT's w.r.t No. of LT panel</t>
  </si>
  <si>
    <t xml:space="preserve">No's </t>
  </si>
  <si>
    <t>Total Cost for CEIG, Discom NOC, Liaisoning &amp; Net Metering</t>
  </si>
  <si>
    <t>Total - B</t>
  </si>
  <si>
    <t>Plant Cost with Liaisoning &amp; W/O EPC</t>
  </si>
  <si>
    <t>EPC Margin, Marketing Commission</t>
  </si>
  <si>
    <t>Engineering Procurement and Construction (EPC) Margin</t>
  </si>
  <si>
    <t>Decided by BD</t>
  </si>
  <si>
    <t>Marketing or Channel Partner Commission</t>
  </si>
  <si>
    <t>Total cost of EPC Margin, Marketing Commission</t>
  </si>
  <si>
    <t xml:space="preserve">AMC and Module Cleaning </t>
  </si>
  <si>
    <t>Annual Maintenance Contract (AMC) &amp; Module Cleaning</t>
  </si>
  <si>
    <t>CAMC for ITC sites</t>
  </si>
  <si>
    <t>Only for ITC sites</t>
  </si>
  <si>
    <t>Total Cost for AMC &amp; Module Cleaning</t>
  </si>
  <si>
    <t/>
  </si>
  <si>
    <t xml:space="preserve"> Total Selling Cost Excluding of GST (For Capex)</t>
  </si>
  <si>
    <t>Plant Cost w/o GST</t>
  </si>
  <si>
    <t>Total Cost of BG with Plant Capacity</t>
  </si>
  <si>
    <t xml:space="preserve"> Total Selling Cost Including of BG Value</t>
  </si>
  <si>
    <t>Your Capex Cost is Here</t>
  </si>
  <si>
    <t>Goods and Services Tax (GST)</t>
  </si>
  <si>
    <t>Your GST Cost is Here</t>
  </si>
  <si>
    <t>Total Selling Cost Including of All GST (For Opex)</t>
  </si>
  <si>
    <t>Your Opex Cost is Here</t>
  </si>
  <si>
    <t>End Of Statement ( Best of luck )</t>
  </si>
  <si>
    <t>Name of the state</t>
  </si>
  <si>
    <t>CEIG Applicability</t>
  </si>
  <si>
    <t>NM Applicability</t>
  </si>
  <si>
    <t>Above NM Limit</t>
  </si>
  <si>
    <t>Return value of NM limit</t>
  </si>
  <si>
    <t>Item's</t>
  </si>
  <si>
    <t>Cost Exlus.Tax/Wp</t>
  </si>
  <si>
    <t>%</t>
  </si>
  <si>
    <t>DC Capacity</t>
  </si>
  <si>
    <t>AC Capacity</t>
  </si>
  <si>
    <t>Modules</t>
  </si>
  <si>
    <t>BTM</t>
  </si>
  <si>
    <t>on DC - 500 KWp NM, till 1MWp NB, above BTM</t>
  </si>
  <si>
    <t>Inverters</t>
  </si>
  <si>
    <t>500 KWp DC</t>
  </si>
  <si>
    <t>on DC - 500 KWp NM, above BTM</t>
  </si>
  <si>
    <t>&gt;100 KWp</t>
  </si>
  <si>
    <t>upto 1 MW</t>
  </si>
  <si>
    <t>on DC - 1 MWp NM, above captive</t>
  </si>
  <si>
    <t>upto 500 kWp NM</t>
  </si>
  <si>
    <t>on AC - 500 KW NM, above captive</t>
  </si>
  <si>
    <t>CMD max of 4MW NM</t>
  </si>
  <si>
    <t>on DC - CMD max of 4MWp NM, above captive</t>
  </si>
  <si>
    <t>upto 1 MWp</t>
  </si>
  <si>
    <t>on AC - 1 MW NM, above BTM</t>
  </si>
  <si>
    <t>500KW NM</t>
  </si>
  <si>
    <t>Net billing</t>
  </si>
  <si>
    <t>on AC - 500KW NM,above captive</t>
  </si>
  <si>
    <t>Ground Infra. (Fencing, road, soil test, land lavelling)</t>
  </si>
  <si>
    <t>upto 500 kWp</t>
  </si>
  <si>
    <t>I&amp;C and Civil works, Spare &amp; Additional item's</t>
  </si>
  <si>
    <t>till 50KWp NM, till 1MW NB</t>
  </si>
  <si>
    <t>on DC - 50KWp NM, till 1MWp NB, above captive</t>
  </si>
  <si>
    <t>Liaisoning, Net metering &amp; AMC</t>
  </si>
  <si>
    <t>upto 2 MWp DC</t>
  </si>
  <si>
    <t>on DC - 2 MWp NM, above captive</t>
  </si>
  <si>
    <t>Total per watt cost</t>
  </si>
  <si>
    <t>Eql. To CMD</t>
  </si>
  <si>
    <t>on DC - Eql. To CMD NM, above NB</t>
  </si>
  <si>
    <t>CMD</t>
  </si>
  <si>
    <t>Net metering compulsory</t>
  </si>
  <si>
    <t>on AC - CMD NM, above captive</t>
  </si>
  <si>
    <t>upto 1 MW AC</t>
  </si>
  <si>
    <t>&gt;1 MWp</t>
  </si>
  <si>
    <t>on DC - 500 KWp NM, above captive</t>
  </si>
  <si>
    <t>Captive/Net billing</t>
  </si>
  <si>
    <t>on AC - 500KW NM,above captive/NB</t>
  </si>
  <si>
    <t>&lt;1MW NB &amp; &gt;1MW captive</t>
  </si>
  <si>
    <t>on AC - 1 MW NB, above captive</t>
  </si>
  <si>
    <t>500 KWp NM</t>
  </si>
  <si>
    <t>Netbilling on 2 MW</t>
  </si>
  <si>
    <t>upto 1 MWp DC</t>
  </si>
  <si>
    <t>&gt;50 KWp</t>
  </si>
  <si>
    <t xml:space="preserve">upto 500KWp </t>
  </si>
  <si>
    <t>&gt;500KWp Net billing</t>
  </si>
  <si>
    <t>on AC - 500 KW NM, above NB</t>
  </si>
  <si>
    <t>ESE Type LA with Counter</t>
  </si>
  <si>
    <t>ESE Type LA with out Counter</t>
  </si>
  <si>
    <t xml:space="preserve">With Anchoring </t>
  </si>
  <si>
    <t>With out Anchoring</t>
  </si>
  <si>
    <t>345+6+32+20</t>
  </si>
  <si>
    <t>Ballast</t>
  </si>
  <si>
    <t>Sesonal tilt</t>
  </si>
  <si>
    <t>Fixed tilt</t>
  </si>
  <si>
    <t>Base Clamp and Hardware</t>
  </si>
  <si>
    <t>Tracking</t>
  </si>
  <si>
    <t>Lord for Cable tray</t>
  </si>
  <si>
    <t>Existing plant capacity</t>
  </si>
  <si>
    <t>Brick wall</t>
  </si>
  <si>
    <t>Prefab wall</t>
  </si>
  <si>
    <t>Profile</t>
  </si>
  <si>
    <t>Booster pump</t>
  </si>
  <si>
    <t>M-clamp and Hardware</t>
  </si>
  <si>
    <t>PVC Water Tank 2000 Liters</t>
  </si>
  <si>
    <t>Lord for walkways</t>
  </si>
  <si>
    <t>55 profile for catrage</t>
  </si>
  <si>
    <t>PVC Water Tank 5000 Liters</t>
  </si>
  <si>
    <t>1 HP Motor</t>
  </si>
  <si>
    <t>1.5HP Motor</t>
  </si>
  <si>
    <t>Unit price</t>
  </si>
  <si>
    <t>MMS Profile</t>
  </si>
  <si>
    <t>End and mid clamp with Hardware</t>
  </si>
  <si>
    <t>CIF</t>
  </si>
  <si>
    <t>Lord for MMS</t>
  </si>
  <si>
    <t>SGD</t>
  </si>
  <si>
    <t>Clearence</t>
  </si>
  <si>
    <t>SMP5</t>
  </si>
  <si>
    <t xml:space="preserve"> for 1-2.999 MWp</t>
  </si>
  <si>
    <t xml:space="preserve">mms Profile calculation </t>
  </si>
  <si>
    <t>SMP10</t>
  </si>
  <si>
    <t>for 3-4.999MWp</t>
  </si>
  <si>
    <t>(No. of module Row +1)*2* (No. of module in coloum)</t>
  </si>
  <si>
    <t>CMP11</t>
  </si>
  <si>
    <t>for &gt;=5Mwp</t>
  </si>
  <si>
    <t>Lord calculation</t>
  </si>
  <si>
    <t>per profile area is 120mm x 30mm for both sides</t>
  </si>
  <si>
    <t>per profile area is 7200Sqmm</t>
  </si>
  <si>
    <t>so, per profile consuming 12 mlts of lord clue</t>
  </si>
  <si>
    <t>per catrage size is 400ml</t>
  </si>
  <si>
    <t>per one catrage we can use to fix the profile is Apx. 33 nos</t>
  </si>
  <si>
    <t>1K400734010</t>
  </si>
  <si>
    <t>PLC Based</t>
  </si>
  <si>
    <t>ABB/ Honeywell/ Equilent</t>
  </si>
  <si>
    <t>4PEL Make</t>
  </si>
  <si>
    <t>$</t>
  </si>
  <si>
    <t>Need to update</t>
  </si>
  <si>
    <t>Aluminium for sheds-W/O lord chemical</t>
  </si>
  <si>
    <t>1CX4Sqmm DC Cable</t>
  </si>
  <si>
    <t>Polycab</t>
  </si>
  <si>
    <t>Leoni</t>
  </si>
  <si>
    <t>Aluminium for sheds-W lord chemical</t>
  </si>
  <si>
    <t>LAPP</t>
  </si>
  <si>
    <t>Base 24 mm -ECO 70</t>
  </si>
  <si>
    <t>1CX6 Sqmm DC Cable</t>
  </si>
  <si>
    <t>Base 40 mm - SSP 1032</t>
  </si>
  <si>
    <t>I&amp;C (590 &amp; 7200wp)</t>
  </si>
  <si>
    <t>Capacities</t>
  </si>
  <si>
    <t>Land scape - 300MM</t>
  </si>
  <si>
    <t>1-100</t>
  </si>
  <si>
    <t>101-250</t>
  </si>
  <si>
    <t>251-500</t>
  </si>
  <si>
    <t>501-1000</t>
  </si>
  <si>
    <t>&gt;1000</t>
  </si>
  <si>
    <t>Land scape - 250MM</t>
  </si>
  <si>
    <t>Plant
 Type</t>
  </si>
  <si>
    <t xml:space="preserve">shed </t>
  </si>
  <si>
    <t>Raised Shed</t>
  </si>
  <si>
    <t>SMS Aluminium</t>
  </si>
  <si>
    <t>On Pillar</t>
  </si>
  <si>
    <t>Karam safety private limited</t>
  </si>
  <si>
    <t xml:space="preserve">Conventional type LA costing </t>
  </si>
  <si>
    <t>Omkar safety &amp; power pvt ltd.</t>
  </si>
  <si>
    <t>Module watt peak</t>
  </si>
  <si>
    <t>540wp</t>
  </si>
  <si>
    <t>Capacity Ranges</t>
  </si>
  <si>
    <t>per watt cost</t>
  </si>
  <si>
    <t>Industrial socket box with MCB (Three phase four pole)</t>
  </si>
  <si>
    <t>3 mtrs CU Earthing Electode</t>
  </si>
  <si>
    <t>Pyranometer and Module Temp. sensor</t>
  </si>
  <si>
    <t>Irradiation Sensor</t>
  </si>
  <si>
    <t>Surya logics</t>
  </si>
  <si>
    <t>SMP 3 (Kipp&amp; Zonen) &amp; Module Temp sensor &gt;1MW</t>
  </si>
  <si>
    <t>Kipp&amp; Zonen</t>
  </si>
  <si>
    <t>FRPL:1000xW:300xT:25 mm</t>
  </si>
  <si>
    <t>SMP 5 (Kipp&amp; Zonen) &amp; Module Temp sensor&gt; 2.5MW</t>
  </si>
  <si>
    <t>FRPL:1000xW:600xT:25 mm</t>
  </si>
  <si>
    <t>SMP 10 (Kipp&amp; Zonen) &amp; Module Temp sensor &gt; 5 MW</t>
  </si>
  <si>
    <t>GIL:1000xW:300xT:25 mm</t>
  </si>
  <si>
    <t>GIL:1000xW:600xT:25 mm</t>
  </si>
  <si>
    <t>HDGL:1000xW:300xT:25 mm</t>
  </si>
  <si>
    <t>HDGL:1000xW:600xT:25 mm</t>
  </si>
  <si>
    <t>Optimizers (Solar Edge Inverter) model-S 1200</t>
  </si>
  <si>
    <t>Optimizers (Solar Edge Inverter) model-S 1500</t>
  </si>
  <si>
    <t>Zero degree Walkways</t>
  </si>
  <si>
    <t>Optimizers- Model-S 1200</t>
  </si>
  <si>
    <t>Step Walkways</t>
  </si>
  <si>
    <t>DC</t>
  </si>
  <si>
    <t>AC</t>
  </si>
  <si>
    <t>DC cable tray</t>
  </si>
  <si>
    <t>FRP50X50X2MM</t>
  </si>
  <si>
    <t>FRP100X50X2MM</t>
  </si>
  <si>
    <t>GI50X50X2MM</t>
  </si>
  <si>
    <t>GI100X50X2MM</t>
  </si>
  <si>
    <t>HDG50X50X2MM</t>
  </si>
  <si>
    <t>HDG100X50X2MM</t>
  </si>
  <si>
    <t>HDG Cable Trays from ACJB to LT Panel for Shed (Ladder type)</t>
  </si>
  <si>
    <t>per mtrs</t>
  </si>
  <si>
    <t xml:space="preserve">100x75x2mm ladder type Cable Tray </t>
  </si>
  <si>
    <t>Using Soil Trench</t>
  </si>
  <si>
    <t xml:space="preserve">150x75x2mm ladder type Cable Tray </t>
  </si>
  <si>
    <t xml:space="preserve">200x75x2mm ladder type Cable Tray </t>
  </si>
  <si>
    <t>300X75X2mm Ladder Type Cable Tray</t>
  </si>
  <si>
    <t>600x75x2mm Ladder Type Cable Tray</t>
  </si>
  <si>
    <t>FRP Cable Trays from Module to Inverter for Shed</t>
  </si>
  <si>
    <t>Cost per mtrs</t>
  </si>
  <si>
    <t>FRP Cable Trays from Module to Inverter for RCC</t>
  </si>
  <si>
    <t xml:space="preserve">50x50x2mm  </t>
  </si>
  <si>
    <t xml:space="preserve">100x50x2mm  </t>
  </si>
  <si>
    <t xml:space="preserve">150x50x2mm  </t>
  </si>
  <si>
    <t xml:space="preserve">200x50x2mm  </t>
  </si>
  <si>
    <t xml:space="preserve">300x50x2mm  </t>
  </si>
  <si>
    <t>GI Cable Trays Required (Internal wiring purpose) for Shed</t>
  </si>
  <si>
    <t>GI Cable Tray-RCC</t>
  </si>
  <si>
    <t>HDG Cable Trays Required (Internal wiring purpose) for shed</t>
  </si>
  <si>
    <t>HDG Cable Trays Required (Internal wiring purpose) for RCC</t>
  </si>
  <si>
    <t>Step Walkways Calculation for 300mm walways</t>
  </si>
  <si>
    <t>Walkways 500 mm</t>
  </si>
  <si>
    <t>Supports</t>
  </si>
  <si>
    <t>Walkways fixing clamps and Hardware</t>
  </si>
  <si>
    <t>Walkways fixing Hardware</t>
  </si>
  <si>
    <t xml:space="preserve">Lord clue </t>
  </si>
  <si>
    <t>Per pices cost</t>
  </si>
  <si>
    <t xml:space="preserve">per mtr we need 2.2 Pieces </t>
  </si>
  <si>
    <t>Walkways 300 mm</t>
  </si>
  <si>
    <t>Walkways fixing clamps &amp; Hardware</t>
  </si>
  <si>
    <t>Zero degree Walkways Calculation for 300mm walways</t>
  </si>
  <si>
    <t>Lord clue</t>
  </si>
  <si>
    <t>Walkways fixing clamps</t>
  </si>
  <si>
    <t>per mtr running cost</t>
  </si>
  <si>
    <t>100x75x2mm ladder type Cable Tray with 1.6mm Cover</t>
  </si>
  <si>
    <t>150x75x2mm ladder type Cable Tray with 1.6mm Cover</t>
  </si>
  <si>
    <t xml:space="preserve">500X75X2mm Ladder Type Cable Tray With 1.6mm Cover </t>
  </si>
  <si>
    <t>200x75x2mm ladder type Cable Tray with 1.6mm Cover</t>
  </si>
  <si>
    <t>300X75X2mm Ladder Type Cable Tray with 1.6mm  Cover</t>
  </si>
  <si>
    <t xml:space="preserve">400X75X2mm Ladder Type Cable Tray With 1.6mm Cover </t>
  </si>
  <si>
    <t>600x75x2mm Ladder Type Cable Tray with 1.6mm cover</t>
  </si>
  <si>
    <t>Sl no.</t>
  </si>
  <si>
    <t>Items</t>
  </si>
  <si>
    <t>Makes</t>
  </si>
  <si>
    <t>Railings on Roof Edge's  with toe guard</t>
  </si>
  <si>
    <t>Any Reputed Make</t>
  </si>
  <si>
    <t>LA support- 3 mtrs GI pipe</t>
  </si>
  <si>
    <t>Inlie Fuse Male &amp; Female</t>
  </si>
  <si>
    <t>Elmax/ Equilent</t>
  </si>
  <si>
    <t>PVC Tape (R, Y, B, B, G)</t>
  </si>
  <si>
    <t>0.5 HP</t>
  </si>
  <si>
    <t>1 HP</t>
  </si>
  <si>
    <t>g488</t>
  </si>
  <si>
    <t>1.5 HP</t>
  </si>
  <si>
    <t>g489</t>
  </si>
  <si>
    <t xml:space="preserve">Trapezoidal or curve type </t>
  </si>
  <si>
    <t>2 HP</t>
  </si>
  <si>
    <t>g490</t>
  </si>
  <si>
    <t>booster</t>
  </si>
  <si>
    <t>g491</t>
  </si>
  <si>
    <t>g492</t>
  </si>
  <si>
    <t>Sr.no.</t>
  </si>
  <si>
    <t>4PEL Standard Make's</t>
  </si>
  <si>
    <t xml:space="preserve">MMS for Shed </t>
  </si>
  <si>
    <t>SMS, EPDM gasket (bimettalic)</t>
  </si>
  <si>
    <t xml:space="preserve">MMS for RCC &amp; Ground </t>
  </si>
  <si>
    <t>Fourth Partner Energy- 
MS Hot dip galvanization (min. 80 micron thickness) 
with 180kmph (Steel-TATA, JSW,Jindal)(Tubes -Appolo)</t>
  </si>
  <si>
    <t>LT Panel</t>
  </si>
  <si>
    <t>Indus, Bhagyashree, Accupanels, Sanjay tec, LS power</t>
  </si>
  <si>
    <t>Switch Gears</t>
  </si>
  <si>
    <t>Schneider, L&amp;T, ABB</t>
  </si>
  <si>
    <t>Chemical Earthing</t>
  </si>
  <si>
    <t>Indelec/ LPI</t>
  </si>
  <si>
    <t>DC Cu. Cable</t>
  </si>
  <si>
    <t>Branch Connectors (Inland fuse)</t>
  </si>
  <si>
    <t>Elmax</t>
  </si>
  <si>
    <t>AC Cable</t>
  </si>
  <si>
    <t>Lightening Arrestor</t>
  </si>
  <si>
    <t>LPI</t>
  </si>
  <si>
    <t>Water Pipe</t>
  </si>
  <si>
    <t>Astral</t>
  </si>
  <si>
    <t>Harizonal Walkways</t>
  </si>
  <si>
    <t>MOC/FRP</t>
  </si>
  <si>
    <t>GI/FRP</t>
  </si>
  <si>
    <t>DWC Pipe</t>
  </si>
  <si>
    <t>Nagarjuna polymers/dura.line</t>
  </si>
  <si>
    <t>Lifeline</t>
  </si>
  <si>
    <t>Joykco/Life Gear</t>
  </si>
  <si>
    <t>Remote monitoring system</t>
  </si>
  <si>
    <t xml:space="preserve">Wattmon </t>
  </si>
  <si>
    <t>Ingenieurburo</t>
  </si>
  <si>
    <t>Pyranometer</t>
  </si>
  <si>
    <t>Kripp Zonen</t>
  </si>
  <si>
    <t>Zero Feeding device</t>
  </si>
  <si>
    <t>DG Protection device</t>
  </si>
  <si>
    <t>Generation Panel before client</t>
  </si>
  <si>
    <t>Net metering Materials</t>
  </si>
  <si>
    <t>Secure / L&amp;T</t>
  </si>
  <si>
    <t>Metering Cubicle (CT&amp;PT)</t>
  </si>
  <si>
    <t>Kalpa/Kappa</t>
  </si>
  <si>
    <t>stamp</t>
  </si>
  <si>
    <t>reg. fees</t>
  </si>
  <si>
    <t>other</t>
  </si>
  <si>
    <t>office exp.</t>
  </si>
  <si>
    <t>fees</t>
  </si>
  <si>
    <t>Current price</t>
  </si>
  <si>
    <t>Updated Price</t>
  </si>
  <si>
    <t>Price Diviation</t>
  </si>
  <si>
    <t>1CX4 Sqmm DC solar cable 1.8kV  XLPO, FRLS</t>
  </si>
  <si>
    <t>1CX6 Sqmm DC solar cable 1.8kV  XLPO, FRLS</t>
  </si>
  <si>
    <t>4CX16Sqmm Cu XLPE AC Copper Un- Armoured  Cable-1.1kV</t>
  </si>
  <si>
    <t>4CX25Sqmm Cu XLPE AC Copper Un- Armoured  Cable-1.1kV</t>
  </si>
  <si>
    <t>4CX16Sqmm Al XLPE AC Aluminium Armoured  Cable-1.1kV</t>
  </si>
  <si>
    <t>3.5CX25Sqmm Al XLPE AC Aluminium Armoured  Cable -1.1kV</t>
  </si>
  <si>
    <t>3.5CX35Sqmm Al XLPE AC Aluminium Armoured  Cable-1.1kV</t>
  </si>
  <si>
    <t>3.5CX50Sqmm Al XLPE AC Aluminium Armoured  Cable -1.1kV</t>
  </si>
  <si>
    <t>3.5CX70Sqmm Al XLPE AC Aluminium Armoured  Cable -1.1kV</t>
  </si>
  <si>
    <t>3.5CX95Sqmm Al XLPE AC Aluminium Armoured  Cable -1.1kV</t>
  </si>
  <si>
    <t>total</t>
  </si>
  <si>
    <t>3.5CX120Sqmm Al XLPE AC Aluminium Armoured  Cable-1.1kV</t>
  </si>
  <si>
    <t>DD</t>
  </si>
  <si>
    <t>3.5CX150Sqmm Al XLPE AC Aluminium Armoured  Cable -1.1kV</t>
  </si>
  <si>
    <t>cash</t>
  </si>
  <si>
    <t>3.5CX185Sqmm Al XLPE AC Aluminium Armoured  Cable -1.1kV</t>
  </si>
  <si>
    <t>3.5CX240Sqmm Al XLPE AC Aluminium Armoured  Cable-1.1kV</t>
  </si>
  <si>
    <t>3.5CX300Sqmm Al XLPE AC Aluminium Armoured  Cable -1.1kV</t>
  </si>
  <si>
    <t>docu.</t>
  </si>
  <si>
    <t>SC</t>
  </si>
  <si>
    <t>80/125/150KW</t>
  </si>
  <si>
    <t>Base clamp 200mm</t>
  </si>
  <si>
    <t>Base clamp 300mm</t>
  </si>
  <si>
    <t>Ladder 1.5 mtrs height for RCC type inst.</t>
  </si>
  <si>
    <t>Ladder 2.5 mtrs height for Carparking type inst.</t>
  </si>
  <si>
    <t>Structure Stability Report</t>
  </si>
  <si>
    <t>Local Union Labour Charges for Kerala</t>
  </si>
  <si>
    <t>Road Crossing work</t>
  </si>
  <si>
    <r>
      <t xml:space="preserve">DOC. No: </t>
    </r>
    <r>
      <rPr>
        <sz val="11"/>
        <color theme="1"/>
        <rFont val="Calibri"/>
        <family val="2"/>
        <scheme val="minor"/>
      </rPr>
      <t>4PEL/DES-BCB/662 #I01, R00.</t>
    </r>
  </si>
  <si>
    <r>
      <t xml:space="preserve">Issue Date: </t>
    </r>
    <r>
      <rPr>
        <sz val="11"/>
        <color theme="1"/>
        <rFont val="Calibri"/>
        <family val="2"/>
        <scheme val="minor"/>
      </rPr>
      <t>23/02/2026.</t>
    </r>
  </si>
  <si>
    <r>
      <t xml:space="preserve">DOC. No: </t>
    </r>
    <r>
      <rPr>
        <sz val="11"/>
        <color theme="1"/>
        <rFont val="Calibri"/>
        <family val="2"/>
        <scheme val="minor"/>
      </rPr>
      <t>4PEL/DES-SSR/109 #I01, R05.</t>
    </r>
  </si>
  <si>
    <t>Date of Review/Approval</t>
  </si>
  <si>
    <t>Turbo Vent Mesh</t>
  </si>
  <si>
    <t>25x6</t>
  </si>
  <si>
    <t>200-220KW</t>
  </si>
  <si>
    <t>250-270KW</t>
  </si>
  <si>
    <t>300-330KW</t>
  </si>
  <si>
    <t>500 KWp NM, till 1MWp NB</t>
  </si>
  <si>
    <t>Zero Feeding device for LT (If NO Netmetering)</t>
  </si>
  <si>
    <r>
      <t xml:space="preserve">DOC. No: </t>
    </r>
    <r>
      <rPr>
        <sz val="14"/>
        <color theme="1"/>
        <rFont val="Calibri"/>
        <family val="2"/>
        <scheme val="minor"/>
      </rPr>
      <t>4PEL/DES-IDS/039 #I01, R05.</t>
    </r>
  </si>
  <si>
    <r>
      <t xml:space="preserve">Issue Date: </t>
    </r>
    <r>
      <rPr>
        <sz val="14"/>
        <color theme="1"/>
        <rFont val="Calibri"/>
        <family val="2"/>
        <scheme val="minor"/>
      </rPr>
      <t>23/02/2026.</t>
    </r>
  </si>
  <si>
    <t>May'24</t>
  </si>
  <si>
    <t>April'24</t>
  </si>
  <si>
    <t>Sanctioned Load/CD-  4950KVA</t>
  </si>
  <si>
    <t>Off Peak hrs
(10 PM-05:30 AM)</t>
  </si>
  <si>
    <t>Normal hrs
05:30 AM-05:30 PM)</t>
  </si>
  <si>
    <t xml:space="preserve">Peak Hrs (TOU)
(05:30 PM-10PM) </t>
  </si>
  <si>
    <t>70% of Avergae Consumption to avoid Banking charges</t>
  </si>
  <si>
    <t>Carl Aaron</t>
  </si>
  <si>
    <t>carl.aaron@fourthpartner.co</t>
  </si>
  <si>
    <t>19°13'45.98"N 73°07'23.94"E</t>
  </si>
  <si>
    <t>Metro Junction Mall, Kalyan - Shilphata Rd, Kalyan East, Kalyan, Maharashtra 421306</t>
  </si>
  <si>
    <t>Mr. Anil Kumar</t>
  </si>
  <si>
    <t>595 / 590 / 585</t>
  </si>
  <si>
    <t>ALMM Approved</t>
  </si>
  <si>
    <t>Solis / Sungrow / Equivalent</t>
  </si>
  <si>
    <t>West Pioneer Properties</t>
  </si>
  <si>
    <t>Metro Junction mall</t>
  </si>
  <si>
    <t>Metro Junction mall, Kalyan East</t>
  </si>
  <si>
    <t>Sagar Chavan</t>
  </si>
  <si>
    <t>Design</t>
  </si>
  <si>
    <t>yes</t>
  </si>
  <si>
    <t>under exectuion, may not cover entire roof</t>
  </si>
  <si>
    <t>out door ahu unit, piping &amp; cable crossing etc</t>
  </si>
  <si>
    <t xml:space="preserve">                                   19.229564° N</t>
  </si>
  <si>
    <t xml:space="preserve">                                       73.123271° E</t>
  </si>
  <si>
    <t xml:space="preserve">Kalyan </t>
  </si>
  <si>
    <t>Kalyan-Shil phata</t>
  </si>
  <si>
    <t>Cement/Paint/FMCG/Metal/ITES/Auto &amp; Auto Ancillary/Textile/Pharma/Plastic&amp; Rubber/Infra/Telecom/Financial Srevices/Others (Specify) - Mall</t>
  </si>
  <si>
    <t>Others (Specify) - Mall</t>
  </si>
  <si>
    <t>MSEDCL</t>
  </si>
  <si>
    <t>449 KVA</t>
  </si>
  <si>
    <t>Power Factor: 0.89-0.995</t>
  </si>
  <si>
    <t xml:space="preserve">Qty - _01 Nos </t>
  </si>
  <si>
    <t>NO</t>
  </si>
  <si>
    <t>Manual/Automatic - Automatic</t>
  </si>
  <si>
    <t xml:space="preserve">Qty - __03 Nos </t>
  </si>
  <si>
    <t>Rating  - _1010 kVA</t>
  </si>
  <si>
    <t>Voltage _400 V</t>
  </si>
  <si>
    <t>at terrace level</t>
  </si>
  <si>
    <t>At parking area</t>
  </si>
  <si>
    <t>Attached</t>
  </si>
  <si>
    <t>40km</t>
  </si>
  <si>
    <t>South (front side)</t>
  </si>
  <si>
    <t>Available</t>
  </si>
  <si>
    <t>Client</t>
  </si>
  <si>
    <t>1.2m</t>
  </si>
  <si>
    <t>yes, 10m &amp; 7m</t>
  </si>
  <si>
    <t>intermediate columns, AHU unit, Water tank present at roof</t>
  </si>
  <si>
    <t>2010 around</t>
  </si>
  <si>
    <t>theatre shed, dome, tanks, adjacent building</t>
  </si>
  <si>
    <t>mall buidling</t>
  </si>
  <si>
    <t>3m</t>
  </si>
  <si>
    <t>paver block</t>
  </si>
  <si>
    <t>as per area</t>
  </si>
  <si>
    <t>2500-3000</t>
  </si>
  <si>
    <t>shadow of mall building need to check</t>
  </si>
  <si>
    <t>shadows of adjacent redidential tower might occure in morning hours, need to verify</t>
  </si>
  <si>
    <t>- Total required capacity is 400kWp
- total capacity is to be terminated into 4 diffent panels as below.
i)Block D, ii)Block B, iii)Zingverse iv)Zingeria
- accordingly 4 diff inverters, LT panels, generation meters need to consider</t>
  </si>
  <si>
    <t>Ashish A</t>
  </si>
  <si>
    <t>Renewsys</t>
  </si>
  <si>
    <t>MPPT - 1</t>
  </si>
  <si>
    <t>Str - 1</t>
  </si>
  <si>
    <t>Str - 2</t>
  </si>
  <si>
    <t>Str - 3</t>
  </si>
  <si>
    <t>Str - 4</t>
  </si>
  <si>
    <t>Str - 5</t>
  </si>
  <si>
    <t>Str - 6</t>
  </si>
  <si>
    <t>Str - 7</t>
  </si>
  <si>
    <t>Str - 8</t>
  </si>
  <si>
    <t>Str - 9</t>
  </si>
  <si>
    <t>Str - 10</t>
  </si>
  <si>
    <t>MPPT - 2</t>
  </si>
  <si>
    <t>MPPT - 3</t>
  </si>
  <si>
    <t>MPPT - 4</t>
  </si>
  <si>
    <t>MPPT - 5</t>
  </si>
  <si>
    <t>MPPT - 6</t>
  </si>
  <si>
    <t>MPPT - 7</t>
  </si>
  <si>
    <t>Str - 11</t>
  </si>
  <si>
    <t>Str - 12</t>
  </si>
  <si>
    <t>Str - 13</t>
  </si>
  <si>
    <t>Str - 14</t>
  </si>
  <si>
    <t>Str - 15</t>
  </si>
  <si>
    <t>Str - 16</t>
  </si>
  <si>
    <t>Str - 17</t>
  </si>
  <si>
    <t>Str - 18</t>
  </si>
  <si>
    <t>Str - 19</t>
  </si>
  <si>
    <t>Str - 20</t>
  </si>
  <si>
    <t>Main RCC  D Block at LG</t>
  </si>
  <si>
    <t>Main RCC  B Block at LG</t>
  </si>
  <si>
    <t>Main RCC  B Block at LG South side</t>
  </si>
  <si>
    <t>LT Room B Block at LG Main termination is in Ground floor</t>
  </si>
  <si>
    <t>LT Room D Block at LG Main termination is in Ground floor</t>
  </si>
  <si>
    <t>Initial Design</t>
  </si>
  <si>
    <t>Sankar</t>
  </si>
  <si>
    <t>V1</t>
  </si>
  <si>
    <t>Initial</t>
  </si>
  <si>
    <t>No-As per 4PEL Std</t>
  </si>
  <si>
    <t>MPPT - 8</t>
  </si>
  <si>
    <t>MPPT - 9</t>
  </si>
  <si>
    <t>MPPT - 10</t>
  </si>
  <si>
    <t>Capacity increased</t>
  </si>
  <si>
    <t>Main RCC  B Block at LG South side (2 in 1 out)</t>
  </si>
  <si>
    <t>LT Panel - 2</t>
  </si>
  <si>
    <t>1. Structure height we have considered 4 Mtrs elevated on RCC roof &amp; it is in Client scope conveyed by BD.
2. Designs are made as per Client shared drawings, Google earth pro data reference, actual may get vary. Shadow free timings considered from 10:30AM - 16:00PM.
3. Shadow free area can be seen after 10:30AM - 16:00PM, until shadow impact will be seen completely on the proposed location.
4. Depends on pillars &amp; sheds below the modules, structure beneath capacity may get vary.
5. Ladders of 3 Nos of 4Mtrs height considered for modules cleaning &amp; Other O&amp;M activities, In FPEL scope
6. Anchoring to the master slab permission is mandatory for structure mounting.
7. Two generation panels need to consider at Block - B.
8. Height variations of all the obstacles &amp; blocks on the proposed location area considered tentatively, this may get vary from actual site level.
9. Some installed area modules may get affected to shadow imapact due to this those modules will get hotspot in future, same need to inform to customer &amp; if this project is in capex mode then only we can proceed with this shadow timings. Otherwise not suggestable.
10. As per client requirement modules placed above the Ducts, pipelines &amp; above the sheds according to that client need to arrange for structure foundation.
11. Client need to confirm on Structure erection scope (i.e., in Client scope or in FPEL scope)</t>
  </si>
  <si>
    <t>Sagar C</t>
  </si>
  <si>
    <t>AS per client reuirement layout revised</t>
  </si>
  <si>
    <t>Net meter</t>
  </si>
  <si>
    <t>Almm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</si>
</sst>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6" formatCode="&quot;₹&quot;\ #,##0;[Red]&quot;₹&quot;\ \-#,##0"/>
    <numFmt numFmtId="44" formatCode="_ &quot;₹&quot;\ * #,##0.00_ ;_ &quot;₹&quot;\ * \-#,##0.00_ ;_ &quot;₹&quot;\ * &quot;-&quot;??_ ;_ @_ "/>
    <numFmt numFmtId="43" formatCode="_ * #,##0.00_ ;_ * \-#,##0.00_ ;_ * &quot;-&quot;??_ ;_ @_ "/>
    <numFmt numFmtId="164" formatCode="_ &quot;₹&quot;\ * #,##0_ ;_ &quot;₹&quot;\ * \-#,##0_ ;_ &quot;₹&quot;\ * &quot;-&quot;??_ ;_ @_ "/>
    <numFmt numFmtId="165" formatCode="_ * #,##0_ ;_ * \-#,##0_ ;_ * &quot;-&quot;??_ ;_ @_ "/>
    <numFmt numFmtId="166" formatCode="_ &quot;₹&quot;\ * #,##0.0_ ;_ &quot;₹&quot;\ * \-#,##0.0_ ;_ &quot;₹&quot;\ * &quot;-&quot;??_ ;_ @_ "/>
    <numFmt numFmtId="167" formatCode="0.0"/>
    <numFmt numFmtId="168" formatCode="_ [$₹-4009]\ * #,##0.00_ ;_ [$₹-4009]\ * \-#,##0.00_ ;_ [$₹-4009]\ * &quot;-&quot;??_ ;_ @_ "/>
    <numFmt numFmtId="169" formatCode="0.000000"/>
    <numFmt numFmtId="170" formatCode="_ * #,##0.0_ ;_ * \-#,##0.0_ ;_ * &quot;-&quot;??_ ;_ @_ "/>
    <numFmt numFmtId="171" formatCode="_ [$₹-449]\ * #,##0.00_ ;_ [$₹-449]\ * \-#,##0.00_ ;_ [$₹-449]\ * &quot;-&quot;??_ ;_ @_ "/>
    <numFmt numFmtId="172" formatCode="_ [$₹-449]\ * #,##0_ ;_ [$₹-449]\ * \-#,##0_ ;_ [$₹-449]\ * &quot;-&quot;??_ ;_ @_ "/>
    <numFmt numFmtId="173" formatCode="[$-14009]dddd\,\ d\ mmmm\,\ yyyy;@"/>
    <numFmt numFmtId="174" formatCode="0.0%"/>
    <numFmt numFmtId="175" formatCode="_ [$₹-4009]\ * #,##0_ ;_ [$₹-4009]\ * \-#,##0_ ;_ [$₹-4009]\ * &quot;-&quot;??_ ;_ @_ "/>
    <numFmt numFmtId="176" formatCode="_ &quot;₹&quot;\ * #,##0.0000_ ;_ &quot;₹&quot;\ * \-#,##0.0000_ ;_ &quot;₹&quot;\ * &quot;-&quot;??_ ;_ @_ "/>
  </numFmts>
  <fonts count="112">
    <font>
      <sz val="11"/>
      <color theme="1"/>
      <name val="Calibri"/>
      <family val="2"/>
      <scheme val="minor"/>
    </font>
    <font>
      <sz val="11"/>
      <color theme="1"/>
      <name val="Calibri"/>
      <family val="2"/>
      <scheme val="minor"/>
    </font>
    <font>
      <sz val="11"/>
      <color theme="1"/>
      <name val="Book Antiqua"/>
      <family val="1"/>
    </font>
    <font>
      <b/>
      <sz val="11"/>
      <color theme="1"/>
      <name val="Calibri"/>
      <family val="2"/>
      <scheme val="minor"/>
    </font>
    <font>
      <b/>
      <sz val="12"/>
      <color theme="1"/>
      <name val="Calibri"/>
      <family val="2"/>
      <scheme val="minor"/>
    </font>
    <font>
      <b/>
      <sz val="12"/>
      <color theme="1"/>
      <name val="Book Antiqua"/>
      <family val="1"/>
    </font>
    <font>
      <sz val="12"/>
      <color theme="1"/>
      <name val="Book Antiqua"/>
      <family val="1"/>
    </font>
    <font>
      <b/>
      <sz val="14"/>
      <color theme="1"/>
      <name val="Book Antiqua"/>
      <family val="1"/>
    </font>
    <font>
      <sz val="8"/>
      <name val="Calibri"/>
      <family val="2"/>
      <scheme val="minor"/>
    </font>
    <font>
      <u/>
      <sz val="11"/>
      <color theme="10"/>
      <name val="Calibri"/>
      <family val="2"/>
      <scheme val="minor"/>
    </font>
    <font>
      <sz val="14"/>
      <color theme="1"/>
      <name val="Book Antiqua"/>
      <family val="1"/>
    </font>
    <font>
      <sz val="12"/>
      <color rgb="FF231F20"/>
      <name val="Book Antiqua"/>
      <family val="1"/>
    </font>
    <font>
      <b/>
      <sz val="10"/>
      <color theme="1"/>
      <name val="Calibri"/>
      <family val="2"/>
      <scheme val="minor"/>
    </font>
    <font>
      <b/>
      <sz val="9"/>
      <color indexed="81"/>
      <name val="Tahoma"/>
      <family val="2"/>
    </font>
    <font>
      <sz val="9"/>
      <color indexed="81"/>
      <name val="Tahoma"/>
      <family val="2"/>
    </font>
    <font>
      <b/>
      <sz val="15"/>
      <color theme="1"/>
      <name val="Calibri"/>
      <family val="2"/>
      <scheme val="minor"/>
    </font>
    <font>
      <sz val="11"/>
      <color rgb="FFFF0000"/>
      <name val="Calibri"/>
      <family val="2"/>
      <scheme val="minor"/>
    </font>
    <font>
      <sz val="12"/>
      <color theme="1"/>
      <name val="Calibri"/>
      <family val="2"/>
      <scheme val="minor"/>
    </font>
    <font>
      <b/>
      <sz val="18"/>
      <color theme="1"/>
      <name val="Calibri"/>
      <family val="2"/>
      <scheme val="minor"/>
    </font>
    <font>
      <sz val="18"/>
      <color theme="1"/>
      <name val="Calibri"/>
      <family val="2"/>
      <scheme val="minor"/>
    </font>
    <font>
      <b/>
      <sz val="22"/>
      <color theme="1"/>
      <name val="Calibri"/>
      <family val="2"/>
      <scheme val="minor"/>
    </font>
    <font>
      <b/>
      <sz val="14"/>
      <color theme="1"/>
      <name val="Calibri"/>
      <family val="2"/>
      <scheme val="minor"/>
    </font>
    <font>
      <sz val="14"/>
      <color theme="1"/>
      <name val="Calibri"/>
      <family val="2"/>
      <scheme val="minor"/>
    </font>
    <font>
      <i/>
      <sz val="14"/>
      <color theme="1"/>
      <name val="Calibri"/>
      <family val="2"/>
      <scheme val="minor"/>
    </font>
    <font>
      <sz val="15"/>
      <color theme="1"/>
      <name val="Calibri"/>
      <family val="2"/>
      <scheme val="minor"/>
    </font>
    <font>
      <sz val="11"/>
      <name val="Calibri"/>
      <family val="2"/>
      <scheme val="minor"/>
    </font>
    <font>
      <sz val="11"/>
      <color rgb="FF000000"/>
      <name val="Calibri"/>
      <family val="2"/>
      <scheme val="minor"/>
    </font>
    <font>
      <i/>
      <sz val="11"/>
      <color theme="1"/>
      <name val="Calibri"/>
      <family val="2"/>
      <scheme val="minor"/>
    </font>
    <font>
      <u/>
      <sz val="12"/>
      <color theme="1"/>
      <name val="Calibri"/>
      <family val="2"/>
      <scheme val="minor"/>
    </font>
    <font>
      <b/>
      <sz val="14"/>
      <color rgb="FF7030A0"/>
      <name val="Calibri"/>
      <family val="2"/>
      <scheme val="minor"/>
    </font>
    <font>
      <b/>
      <sz val="11"/>
      <name val="Calibri"/>
      <family val="2"/>
      <scheme val="minor"/>
    </font>
    <font>
      <b/>
      <sz val="13"/>
      <color theme="1"/>
      <name val="Calibri"/>
      <family val="2"/>
      <scheme val="minor"/>
    </font>
    <font>
      <b/>
      <sz val="13"/>
      <name val="Calibri"/>
      <family val="2"/>
      <scheme val="minor"/>
    </font>
    <font>
      <sz val="13"/>
      <color theme="1"/>
      <name val="Calibri"/>
      <family val="2"/>
      <scheme val="minor"/>
    </font>
    <font>
      <sz val="16"/>
      <color theme="1"/>
      <name val="Calibri"/>
      <family val="2"/>
      <scheme val="minor"/>
    </font>
    <font>
      <sz val="11"/>
      <color theme="10"/>
      <name val="Calibri"/>
      <family val="2"/>
      <scheme val="minor"/>
    </font>
    <font>
      <sz val="12"/>
      <name val="Calibri"/>
      <family val="2"/>
      <scheme val="minor"/>
    </font>
    <font>
      <sz val="14"/>
      <color rgb="FFFF0000"/>
      <name val="Calibri"/>
      <family val="2"/>
      <scheme val="minor"/>
    </font>
    <font>
      <sz val="9"/>
      <color rgb="FF333333"/>
      <name val="Calibri"/>
      <family val="2"/>
      <scheme val="minor"/>
    </font>
    <font>
      <b/>
      <sz val="14"/>
      <color rgb="FFFF0000"/>
      <name val="Calibri"/>
      <family val="2"/>
      <scheme val="minor"/>
    </font>
    <font>
      <b/>
      <sz val="14"/>
      <color rgb="FF0070C0"/>
      <name val="Calibri"/>
      <family val="2"/>
      <scheme val="minor"/>
    </font>
    <font>
      <b/>
      <sz val="14"/>
      <name val="Calibri"/>
      <family val="2"/>
      <scheme val="minor"/>
    </font>
    <font>
      <sz val="14"/>
      <name val="Calibri"/>
      <family val="2"/>
      <scheme val="minor"/>
    </font>
    <font>
      <b/>
      <sz val="16"/>
      <color theme="1"/>
      <name val="Calibri"/>
      <family val="2"/>
      <scheme val="minor"/>
    </font>
    <font>
      <b/>
      <sz val="12"/>
      <color theme="0"/>
      <name val="Calibri"/>
      <family val="2"/>
      <scheme val="minor"/>
    </font>
    <font>
      <b/>
      <sz val="20"/>
      <color theme="1"/>
      <name val="Calibri"/>
      <family val="2"/>
      <scheme val="minor"/>
    </font>
    <font>
      <b/>
      <sz val="15"/>
      <name val="Calibri"/>
      <family val="2"/>
      <scheme val="minor"/>
    </font>
    <font>
      <b/>
      <sz val="15"/>
      <color rgb="FF790771"/>
      <name val="Calibri"/>
      <family val="2"/>
      <scheme val="minor"/>
    </font>
    <font>
      <b/>
      <sz val="18"/>
      <color rgb="FF002060"/>
      <name val="Calibri"/>
      <family val="2"/>
      <scheme val="minor"/>
    </font>
    <font>
      <b/>
      <i/>
      <sz val="11"/>
      <color rgb="FFFF0000"/>
      <name val="Calibri"/>
      <family val="2"/>
      <scheme val="minor"/>
    </font>
    <font>
      <b/>
      <sz val="18"/>
      <name val="Calibri"/>
      <family val="2"/>
      <scheme val="minor"/>
    </font>
    <font>
      <sz val="15"/>
      <name val="Calibri"/>
      <family val="2"/>
      <scheme val="minor"/>
    </font>
    <font>
      <b/>
      <i/>
      <sz val="14"/>
      <color theme="1"/>
      <name val="Calibri"/>
      <family val="2"/>
      <scheme val="minor"/>
    </font>
    <font>
      <b/>
      <i/>
      <sz val="14"/>
      <color rgb="FFC00000"/>
      <name val="Calibri"/>
      <family val="2"/>
      <scheme val="minor"/>
    </font>
    <font>
      <b/>
      <i/>
      <sz val="16"/>
      <color theme="1"/>
      <name val="Calibri"/>
      <family val="2"/>
      <scheme val="minor"/>
    </font>
    <font>
      <u/>
      <sz val="14"/>
      <color theme="10"/>
      <name val="Calibri"/>
      <family val="2"/>
      <scheme val="minor"/>
    </font>
    <font>
      <sz val="14"/>
      <color rgb="FF000000"/>
      <name val="Calibri"/>
      <family val="2"/>
      <scheme val="minor"/>
    </font>
    <font>
      <b/>
      <sz val="14"/>
      <color rgb="FFFFFFFF"/>
      <name val="Calibri"/>
      <family val="2"/>
      <scheme val="minor"/>
    </font>
    <font>
      <b/>
      <sz val="48"/>
      <color theme="1"/>
      <name val="Calibri"/>
      <family val="2"/>
      <scheme val="minor"/>
    </font>
    <font>
      <b/>
      <sz val="24"/>
      <color theme="1"/>
      <name val="Calibri"/>
      <family val="2"/>
      <scheme val="minor"/>
    </font>
    <font>
      <sz val="20"/>
      <color theme="1"/>
      <name val="Calibri"/>
      <family val="2"/>
      <scheme val="minor"/>
    </font>
    <font>
      <b/>
      <sz val="15"/>
      <color theme="4"/>
      <name val="Calibri"/>
      <family val="2"/>
      <scheme val="minor"/>
    </font>
    <font>
      <sz val="14.5"/>
      <color theme="1"/>
      <name val="Calibri"/>
      <family val="2"/>
      <scheme val="minor"/>
    </font>
    <font>
      <sz val="14.5"/>
      <name val="Calibri"/>
      <family val="2"/>
      <scheme val="minor"/>
    </font>
    <font>
      <b/>
      <sz val="14.5"/>
      <color theme="1"/>
      <name val="Calibri"/>
      <family val="2"/>
      <scheme val="minor"/>
    </font>
    <font>
      <sz val="17"/>
      <color theme="1"/>
      <name val="Calibri"/>
      <family val="2"/>
      <scheme val="minor"/>
    </font>
    <font>
      <sz val="14"/>
      <color rgb="FFFFFF00"/>
      <name val="Calibri"/>
      <family val="2"/>
      <scheme val="minor"/>
    </font>
    <font>
      <b/>
      <sz val="20"/>
      <name val="Calibri"/>
      <family val="2"/>
      <scheme val="minor"/>
    </font>
    <font>
      <sz val="22"/>
      <color theme="1"/>
      <name val="Calibri"/>
      <family val="2"/>
      <scheme val="minor"/>
    </font>
    <font>
      <b/>
      <sz val="13"/>
      <color theme="1"/>
      <name val="Book Antiqua"/>
      <family val="1"/>
    </font>
    <font>
      <b/>
      <sz val="11"/>
      <color theme="1"/>
      <name val="Book Antiqua"/>
      <family val="1"/>
    </font>
    <font>
      <u/>
      <sz val="14"/>
      <color theme="1"/>
      <name val="Calibri"/>
      <family val="2"/>
      <scheme val="minor"/>
    </font>
    <font>
      <b/>
      <sz val="11"/>
      <color rgb="FFCC00CC"/>
      <name val="Calibri"/>
      <family val="2"/>
      <scheme val="minor"/>
    </font>
    <font>
      <sz val="16"/>
      <color rgb="FFFF0000"/>
      <name val="Calibri"/>
      <family val="2"/>
      <scheme val="minor"/>
    </font>
    <font>
      <sz val="14"/>
      <color theme="8" tint="-0.499984740745262"/>
      <name val="Calibri"/>
      <family val="2"/>
      <scheme val="minor"/>
    </font>
    <font>
      <b/>
      <sz val="13"/>
      <color rgb="FFFF0000"/>
      <name val="Calibri"/>
      <family val="2"/>
      <scheme val="minor"/>
    </font>
    <font>
      <b/>
      <sz val="13"/>
      <color rgb="FFC00000"/>
      <name val="Calibri"/>
      <family val="2"/>
      <scheme val="minor"/>
    </font>
    <font>
      <sz val="13"/>
      <name val="Calibri"/>
      <family val="2"/>
      <scheme val="minor"/>
    </font>
    <font>
      <b/>
      <sz val="13.5"/>
      <color theme="1"/>
      <name val="Calibri"/>
      <family val="2"/>
      <scheme val="minor"/>
    </font>
    <font>
      <sz val="13.5"/>
      <color theme="1"/>
      <name val="Calibri"/>
      <family val="2"/>
      <scheme val="minor"/>
    </font>
    <font>
      <b/>
      <sz val="16"/>
      <color rgb="FFC00000"/>
      <name val="Calibri"/>
      <family val="2"/>
      <scheme val="minor"/>
    </font>
    <font>
      <b/>
      <sz val="15"/>
      <color rgb="FFC00000"/>
      <name val="Calibri"/>
      <family val="2"/>
      <scheme val="minor"/>
    </font>
    <font>
      <sz val="13"/>
      <color theme="1"/>
      <name val="Calibri"/>
      <family val="2"/>
    </font>
    <font>
      <b/>
      <sz val="13"/>
      <color theme="8"/>
      <name val="Calibri"/>
      <family val="2"/>
      <scheme val="minor"/>
    </font>
    <font>
      <sz val="13"/>
      <color theme="5" tint="0.39997558519241921"/>
      <name val="Calibri"/>
      <family val="2"/>
      <scheme val="minor"/>
    </font>
    <font>
      <b/>
      <sz val="13"/>
      <color rgb="FFCC00CC"/>
      <name val="Calibri"/>
      <family val="2"/>
      <scheme val="minor"/>
    </font>
    <font>
      <sz val="12"/>
      <color theme="1"/>
      <name val="Calibri "/>
    </font>
    <font>
      <sz val="11.5"/>
      <color theme="1"/>
      <name val="Calibri"/>
      <family val="2"/>
      <scheme val="minor"/>
    </font>
    <font>
      <sz val="13.5"/>
      <name val="Calibri"/>
      <family val="2"/>
      <scheme val="minor"/>
    </font>
    <font>
      <sz val="11"/>
      <color rgb="FF0070C0"/>
      <name val="Calibri"/>
      <family val="2"/>
      <scheme val="minor"/>
    </font>
    <font>
      <b/>
      <u/>
      <sz val="15"/>
      <color theme="10"/>
      <name val="Calibri"/>
      <family val="2"/>
      <scheme val="minor"/>
    </font>
    <font>
      <b/>
      <sz val="12"/>
      <color rgb="FFFF0000"/>
      <name val="Calibri"/>
      <family val="2"/>
      <scheme val="minor"/>
    </font>
    <font>
      <b/>
      <sz val="14"/>
      <color theme="0"/>
      <name val="Calibri"/>
      <family val="2"/>
      <scheme val="minor"/>
    </font>
    <font>
      <b/>
      <sz val="14"/>
      <color rgb="FFCC00CC"/>
      <name val="Calibri"/>
      <family val="2"/>
      <scheme val="minor"/>
    </font>
    <font>
      <sz val="13"/>
      <color rgb="FFCC00CC"/>
      <name val="Calibri"/>
      <family val="2"/>
      <scheme val="minor"/>
    </font>
    <font>
      <b/>
      <u/>
      <sz val="14"/>
      <color theme="10"/>
      <name val="Calibri"/>
      <family val="2"/>
      <scheme val="minor"/>
    </font>
    <font>
      <sz val="11"/>
      <color rgb="FFC00000"/>
      <name val="Calibri"/>
      <family val="2"/>
      <scheme val="minor"/>
    </font>
    <font>
      <sz val="11"/>
      <color rgb="FFCC00CC"/>
      <name val="Calibri"/>
      <family val="2"/>
      <scheme val="minor"/>
    </font>
    <font>
      <sz val="14"/>
      <color rgb="FFCC00CC"/>
      <name val="Calibri"/>
      <family val="2"/>
      <scheme val="minor"/>
    </font>
    <font>
      <b/>
      <sz val="26"/>
      <color theme="1"/>
      <name val="Calibri"/>
      <family val="2"/>
      <scheme val="minor"/>
    </font>
    <font>
      <b/>
      <sz val="16"/>
      <color rgb="FFFF0000"/>
      <name val="Calibri"/>
      <family val="2"/>
      <scheme val="minor"/>
    </font>
    <font>
      <sz val="11"/>
      <color theme="9" tint="-0.499984740745262"/>
      <name val="Calibri"/>
      <family val="2"/>
      <scheme val="minor"/>
    </font>
    <font>
      <b/>
      <sz val="11.5"/>
      <color rgb="FFFF0000"/>
      <name val="Calibri"/>
      <family val="2"/>
      <scheme val="minor"/>
    </font>
    <font>
      <b/>
      <sz val="15"/>
      <color rgb="FFFF0000"/>
      <name val="Calibri"/>
      <family val="2"/>
      <scheme val="minor"/>
    </font>
    <font>
      <sz val="10.199999999999999"/>
      <color rgb="FFCC00CC"/>
      <name val="Calibri"/>
      <family val="2"/>
      <scheme val="minor"/>
    </font>
    <font>
      <b/>
      <sz val="12"/>
      <color rgb="FF7030A0"/>
      <name val="Calibri"/>
      <family val="2"/>
      <scheme val="minor"/>
    </font>
    <font>
      <b/>
      <sz val="11"/>
      <color rgb="FFFF0000"/>
      <name val="Calibri"/>
      <family val="2"/>
      <scheme val="minor"/>
    </font>
    <font>
      <b/>
      <sz val="11.5"/>
      <color rgb="FF000000"/>
      <name val="Book Antiqua"/>
      <family val="1"/>
    </font>
    <font>
      <sz val="11"/>
      <color rgb="FF000000"/>
      <name val="Book Antiqua"/>
      <family val="1"/>
    </font>
    <font>
      <b/>
      <sz val="13.5"/>
      <color rgb="FFFF0000"/>
      <name val="Calibri"/>
      <family val="2"/>
      <scheme val="minor"/>
    </font>
    <font>
      <u/>
      <sz val="11"/>
      <color theme="10"/>
      <name val="Book Antiqua"/>
      <family val="1"/>
    </font>
    <font>
      <sz val="13"/>
      <color rgb="FF1F1F1F"/>
      <name val="Arial"/>
      <family val="2"/>
    </font>
  </fonts>
  <fills count="4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7"/>
        <bgColor indexed="64"/>
      </patternFill>
    </fill>
    <fill>
      <patternFill patternType="solid">
        <fgColor theme="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0000"/>
        <bgColor indexed="64"/>
      </patternFill>
    </fill>
    <fill>
      <patternFill patternType="solid">
        <fgColor rgb="FFFF9900"/>
        <bgColor indexed="64"/>
      </patternFill>
    </fill>
    <fill>
      <patternFill patternType="solid">
        <fgColor rgb="FFDEFF15"/>
        <bgColor indexed="64"/>
      </patternFill>
    </fill>
    <fill>
      <patternFill patternType="solid">
        <fgColor rgb="FF9CFD6B"/>
        <bgColor indexed="64"/>
      </patternFill>
    </fill>
    <fill>
      <patternFill patternType="solid">
        <fgColor theme="4"/>
        <bgColor indexed="64"/>
      </patternFill>
    </fill>
    <fill>
      <patternFill patternType="solid">
        <fgColor theme="0"/>
        <bgColor rgb="FFFFFFFF"/>
      </patternFill>
    </fill>
    <fill>
      <patternFill patternType="solid">
        <fgColor theme="3" tint="0.59999389629810485"/>
        <bgColor rgb="FFFFFFFF"/>
      </patternFill>
    </fill>
    <fill>
      <patternFill patternType="solid">
        <fgColor rgb="FFFFC000"/>
        <bgColor rgb="FFFBD4B4"/>
      </patternFill>
    </fill>
    <fill>
      <patternFill patternType="solid">
        <fgColor rgb="FFFFC000"/>
        <bgColor rgb="FFFABF8F"/>
      </patternFill>
    </fill>
    <fill>
      <patternFill patternType="solid">
        <fgColor rgb="FFFFFF99"/>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4B084"/>
        <bgColor rgb="FF000000"/>
      </patternFill>
    </fill>
    <fill>
      <patternFill patternType="solid">
        <fgColor theme="0"/>
        <bgColor rgb="FF000000"/>
      </patternFill>
    </fill>
    <fill>
      <patternFill patternType="solid">
        <fgColor theme="8"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6600"/>
        <bgColor indexed="64"/>
      </patternFill>
    </fill>
    <fill>
      <patternFill patternType="solid">
        <fgColor theme="7" tint="0.79995117038483843"/>
        <bgColor indexed="64"/>
      </patternFill>
    </fill>
    <fill>
      <patternFill patternType="solid">
        <fgColor rgb="FFF4B084"/>
        <bgColor indexed="64"/>
      </patternFill>
    </fill>
  </fills>
  <borders count="1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right/>
      <top style="thin">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diagonal/>
    </border>
    <border>
      <left style="thin">
        <color indexed="64"/>
      </left>
      <right/>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rgb="FF000000"/>
      </right>
      <top style="medium">
        <color rgb="FF000000"/>
      </top>
      <bottom/>
      <diagonal/>
    </border>
    <border>
      <left style="medium">
        <color indexed="64"/>
      </left>
      <right style="thin">
        <color indexed="64"/>
      </right>
      <top style="medium">
        <color indexed="64"/>
      </top>
      <bottom style="medium">
        <color rgb="FF000000"/>
      </bottom>
      <diagonal/>
    </border>
    <border>
      <left style="medium">
        <color rgb="FF000000"/>
      </left>
      <right/>
      <top style="medium">
        <color rgb="FF000000"/>
      </top>
      <bottom style="medium">
        <color indexed="64"/>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bottom style="medium">
        <color indexed="64"/>
      </bottom>
      <diagonal/>
    </border>
    <border>
      <left style="medium">
        <color rgb="FF000000"/>
      </left>
      <right style="medium">
        <color indexed="64"/>
      </right>
      <top/>
      <bottom style="medium">
        <color indexed="64"/>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indexed="64"/>
      </left>
      <right/>
      <top style="medium">
        <color indexed="64"/>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right/>
      <top style="thin">
        <color theme="4" tint="0.39997558519241921"/>
      </top>
      <bottom style="thin">
        <color theme="4" tint="0.39997558519241921"/>
      </bottom>
      <diagonal/>
    </border>
    <border>
      <left style="thin">
        <color rgb="FF000000"/>
      </left>
      <right/>
      <top style="thin">
        <color rgb="FF000000"/>
      </top>
      <bottom/>
      <diagonal/>
    </border>
    <border>
      <left style="thin">
        <color rgb="FF000000"/>
      </left>
      <right/>
      <top/>
      <bottom/>
      <diagonal/>
    </border>
    <border>
      <left style="medium">
        <color indexed="64"/>
      </left>
      <right/>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diagonal/>
    </border>
    <border>
      <left style="thin">
        <color indexed="64"/>
      </left>
      <right style="thin">
        <color rgb="FF000000"/>
      </right>
      <top style="medium">
        <color indexed="64"/>
      </top>
      <bottom style="medium">
        <color indexed="64"/>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s>
  <cellStyleXfs count="53">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9" fillId="0" borderId="0" applyNumberForma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3227">
    <xf numFmtId="0" fontId="0" fillId="0" borderId="0" xfId="0"/>
    <xf numFmtId="0" fontId="2" fillId="0" borderId="0" xfId="0" applyFont="1"/>
    <xf numFmtId="0" fontId="2" fillId="0" borderId="34" xfId="0" applyFont="1" applyBorder="1"/>
    <xf numFmtId="0" fontId="2" fillId="0" borderId="6" xfId="0" applyFont="1" applyBorder="1"/>
    <xf numFmtId="0" fontId="10" fillId="0" borderId="0" xfId="0" applyFont="1"/>
    <xf numFmtId="44" fontId="0" fillId="0" borderId="0" xfId="3" applyFont="1"/>
    <xf numFmtId="3" fontId="0" fillId="0" borderId="0" xfId="0" applyNumberFormat="1"/>
    <xf numFmtId="0" fontId="2" fillId="0" borderId="6" xfId="0" applyFont="1" applyBorder="1" applyAlignment="1">
      <alignment wrapText="1"/>
    </xf>
    <xf numFmtId="0" fontId="2" fillId="0" borderId="9" xfId="0" applyFont="1" applyBorder="1"/>
    <xf numFmtId="0" fontId="10" fillId="21" borderId="33" xfId="0" applyFont="1" applyFill="1" applyBorder="1"/>
    <xf numFmtId="0" fontId="6" fillId="0" borderId="0" xfId="0" applyFont="1" applyAlignment="1">
      <alignment horizontal="center"/>
    </xf>
    <xf numFmtId="0" fontId="10" fillId="21" borderId="71" xfId="0" applyFont="1" applyFill="1" applyBorder="1"/>
    <xf numFmtId="0" fontId="2" fillId="22" borderId="60" xfId="0" applyFont="1" applyFill="1" applyBorder="1" applyAlignment="1">
      <alignment horizontal="left" vertical="center"/>
    </xf>
    <xf numFmtId="0" fontId="2" fillId="22" borderId="41" xfId="0" applyFont="1" applyFill="1" applyBorder="1" applyAlignment="1">
      <alignment horizontal="left" vertical="center"/>
    </xf>
    <xf numFmtId="0" fontId="2" fillId="22" borderId="41" xfId="0" applyFont="1" applyFill="1" applyBorder="1"/>
    <xf numFmtId="4" fontId="2" fillId="22" borderId="41" xfId="0" applyNumberFormat="1" applyFont="1" applyFill="1" applyBorder="1"/>
    <xf numFmtId="0" fontId="2" fillId="22" borderId="69" xfId="0" applyFont="1" applyFill="1" applyBorder="1"/>
    <xf numFmtId="0" fontId="10" fillId="21" borderId="47" xfId="0" applyFont="1" applyFill="1" applyBorder="1" applyAlignment="1">
      <alignment horizontal="center"/>
    </xf>
    <xf numFmtId="0" fontId="6" fillId="22" borderId="72" xfId="0" applyFont="1" applyFill="1" applyBorder="1" applyAlignment="1">
      <alignment horizontal="center"/>
    </xf>
    <xf numFmtId="0" fontId="6" fillId="22" borderId="58" xfId="0" applyFont="1" applyFill="1" applyBorder="1" applyAlignment="1">
      <alignment horizontal="center"/>
    </xf>
    <xf numFmtId="0" fontId="6" fillId="22" borderId="57" xfId="0" applyFont="1" applyFill="1" applyBorder="1" applyAlignment="1">
      <alignment horizontal="center"/>
    </xf>
    <xf numFmtId="0" fontId="6" fillId="0" borderId="0" xfId="0" applyFont="1"/>
    <xf numFmtId="0" fontId="5" fillId="0" borderId="0" xfId="0" applyFont="1" applyAlignment="1">
      <alignment horizontal="center"/>
    </xf>
    <xf numFmtId="0" fontId="7" fillId="0" borderId="0" xfId="0" applyFont="1" applyAlignment="1">
      <alignment horizontal="center"/>
    </xf>
    <xf numFmtId="0" fontId="6" fillId="0" borderId="1" xfId="0" applyFont="1" applyBorder="1" applyAlignment="1">
      <alignment horizontal="center" vertical="center"/>
    </xf>
    <xf numFmtId="2" fontId="6" fillId="0" borderId="1" xfId="1" applyNumberFormat="1" applyFont="1" applyBorder="1" applyAlignment="1">
      <alignment horizontal="center" vertical="center"/>
    </xf>
    <xf numFmtId="0" fontId="11" fillId="0" borderId="0" xfId="0" applyFont="1"/>
    <xf numFmtId="44" fontId="6" fillId="0" borderId="0" xfId="0" applyNumberFormat="1" applyFont="1"/>
    <xf numFmtId="0" fontId="6" fillId="9" borderId="1" xfId="0" applyFont="1" applyFill="1" applyBorder="1" applyAlignment="1">
      <alignment horizontal="left" wrapText="1"/>
    </xf>
    <xf numFmtId="0" fontId="5" fillId="9" borderId="1" xfId="0" applyFont="1" applyFill="1" applyBorder="1"/>
    <xf numFmtId="0" fontId="6" fillId="9" borderId="1" xfId="0" applyFont="1" applyFill="1" applyBorder="1"/>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2" fontId="6" fillId="0" borderId="6" xfId="1" applyNumberFormat="1" applyFont="1" applyBorder="1" applyAlignment="1">
      <alignment horizontal="center" vertical="center"/>
    </xf>
    <xf numFmtId="0" fontId="5" fillId="21" borderId="3" xfId="0" applyFont="1" applyFill="1" applyBorder="1" applyAlignment="1">
      <alignment horizontal="center"/>
    </xf>
    <xf numFmtId="0" fontId="5" fillId="21" borderId="3" xfId="0" applyFont="1" applyFill="1" applyBorder="1" applyAlignment="1">
      <alignment horizontal="center" vertical="center"/>
    </xf>
    <xf numFmtId="0" fontId="5" fillId="21" borderId="4" xfId="0" applyFont="1" applyFill="1" applyBorder="1" applyAlignment="1">
      <alignment horizontal="center" vertical="center"/>
    </xf>
    <xf numFmtId="0" fontId="5" fillId="21" borderId="8" xfId="0" applyFont="1" applyFill="1" applyBorder="1" applyAlignment="1">
      <alignment horizontal="center"/>
    </xf>
    <xf numFmtId="0" fontId="5" fillId="21" borderId="8" xfId="0" applyFont="1" applyFill="1" applyBorder="1" applyAlignment="1">
      <alignment horizontal="center" vertical="center"/>
    </xf>
    <xf numFmtId="0" fontId="5" fillId="21" borderId="9" xfId="0" applyFont="1" applyFill="1" applyBorder="1" applyAlignment="1">
      <alignment horizontal="center" vertical="center"/>
    </xf>
    <xf numFmtId="2" fontId="5" fillId="8" borderId="1" xfId="0" applyNumberFormat="1" applyFont="1" applyFill="1" applyBorder="1" applyAlignment="1">
      <alignment horizontal="center" vertical="center"/>
    </xf>
    <xf numFmtId="0" fontId="5" fillId="8" borderId="1" xfId="0" applyFont="1" applyFill="1" applyBorder="1" applyAlignment="1">
      <alignment horizontal="center" vertical="center"/>
    </xf>
    <xf numFmtId="0" fontId="6" fillId="0" borderId="1" xfId="0" applyFont="1" applyBorder="1" applyAlignment="1">
      <alignment horizontal="left"/>
    </xf>
    <xf numFmtId="0" fontId="6" fillId="22" borderId="56" xfId="0" applyFont="1" applyFill="1" applyBorder="1" applyAlignment="1">
      <alignment horizontal="center"/>
    </xf>
    <xf numFmtId="0" fontId="4" fillId="2" borderId="0" xfId="0" applyFont="1" applyFill="1" applyAlignment="1">
      <alignment horizontal="center" vertical="center"/>
    </xf>
    <xf numFmtId="0" fontId="3" fillId="0" borderId="0" xfId="0" applyFont="1"/>
    <xf numFmtId="0" fontId="3" fillId="2" borderId="0" xfId="0" applyFont="1" applyFill="1" applyAlignment="1">
      <alignment horizontal="center" vertical="center"/>
    </xf>
    <xf numFmtId="0" fontId="12"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xf>
    <xf numFmtId="0" fontId="20" fillId="0" borderId="26" xfId="0" applyFont="1" applyBorder="1" applyAlignment="1">
      <alignment vertical="center"/>
    </xf>
    <xf numFmtId="0" fontId="21" fillId="0" borderId="13" xfId="0" applyFont="1" applyBorder="1" applyAlignment="1">
      <alignment vertical="center"/>
    </xf>
    <xf numFmtId="0" fontId="21" fillId="0" borderId="14" xfId="0" applyFont="1" applyBorder="1" applyAlignment="1">
      <alignment vertical="center"/>
    </xf>
    <xf numFmtId="0" fontId="22" fillId="0" borderId="0" xfId="0" applyFont="1"/>
    <xf numFmtId="0" fontId="23" fillId="0" borderId="0" xfId="0" applyFont="1"/>
    <xf numFmtId="0" fontId="20" fillId="0" borderId="28" xfId="0" applyFont="1" applyBorder="1" applyAlignment="1">
      <alignment vertical="center"/>
    </xf>
    <xf numFmtId="0" fontId="21" fillId="0" borderId="38" xfId="0" applyFont="1" applyBorder="1" applyAlignment="1">
      <alignment vertical="center"/>
    </xf>
    <xf numFmtId="0" fontId="21" fillId="0" borderId="42" xfId="0" applyFont="1" applyBorder="1" applyAlignment="1">
      <alignment vertical="center"/>
    </xf>
    <xf numFmtId="0" fontId="21" fillId="0" borderId="66" xfId="0" applyFont="1" applyBorder="1" applyAlignment="1">
      <alignment vertical="center"/>
    </xf>
    <xf numFmtId="0" fontId="21" fillId="0" borderId="73" xfId="0" applyFont="1" applyBorder="1" applyAlignment="1">
      <alignment vertical="center"/>
    </xf>
    <xf numFmtId="0" fontId="18" fillId="0" borderId="1" xfId="0" applyFont="1" applyBorder="1" applyAlignment="1">
      <alignment vertical="center"/>
    </xf>
    <xf numFmtId="0" fontId="3" fillId="2" borderId="0" xfId="0" applyFont="1" applyFill="1" applyAlignment="1">
      <alignment horizontal="left" vertical="center"/>
    </xf>
    <xf numFmtId="0" fontId="0" fillId="2" borderId="0" xfId="0" applyFill="1" applyAlignment="1">
      <alignment horizontal="left" vertical="center"/>
    </xf>
    <xf numFmtId="0" fontId="0" fillId="2" borderId="1" xfId="0" applyFill="1" applyBorder="1" applyAlignment="1">
      <alignment horizontal="left" vertical="center"/>
    </xf>
    <xf numFmtId="0" fontId="0" fillId="4" borderId="31" xfId="0" applyFill="1" applyBorder="1" applyAlignment="1">
      <alignment horizontal="left" vertical="center"/>
    </xf>
    <xf numFmtId="0" fontId="0" fillId="4" borderId="32" xfId="0" applyFill="1" applyBorder="1" applyAlignment="1">
      <alignment horizontal="left" vertical="center" wrapText="1"/>
    </xf>
    <xf numFmtId="0" fontId="0" fillId="4" borderId="33" xfId="0" applyFill="1" applyBorder="1" applyAlignment="1">
      <alignment horizontal="left" vertical="center" wrapText="1"/>
    </xf>
    <xf numFmtId="0" fontId="0" fillId="2" borderId="41" xfId="0" applyFill="1" applyBorder="1" applyAlignment="1">
      <alignment horizontal="left" vertical="center" wrapText="1"/>
    </xf>
    <xf numFmtId="0" fontId="0" fillId="2" borderId="37" xfId="0" applyFill="1" applyBorder="1" applyAlignment="1">
      <alignment horizontal="left" vertical="center" wrapText="1"/>
    </xf>
    <xf numFmtId="0" fontId="0" fillId="2" borderId="1" xfId="0" applyFill="1" applyBorder="1" applyAlignment="1">
      <alignment horizontal="left" vertical="center" wrapText="1"/>
    </xf>
    <xf numFmtId="0" fontId="0" fillId="2" borderId="10" xfId="0" applyFill="1" applyBorder="1" applyAlignment="1">
      <alignment horizontal="left" vertical="center"/>
    </xf>
    <xf numFmtId="165" fontId="0" fillId="2" borderId="11" xfId="0" applyNumberFormat="1" applyFill="1" applyBorder="1" applyAlignment="1">
      <alignment horizontal="left" vertical="center" wrapText="1"/>
    </xf>
    <xf numFmtId="165" fontId="25" fillId="2" borderId="34" xfId="1" applyNumberFormat="1" applyFont="1" applyFill="1" applyBorder="1" applyAlignment="1">
      <alignment horizontal="left" vertical="center"/>
    </xf>
    <xf numFmtId="43" fontId="0" fillId="2" borderId="41" xfId="1" applyFont="1" applyFill="1" applyBorder="1" applyAlignment="1">
      <alignment horizontal="left" vertical="center"/>
    </xf>
    <xf numFmtId="43" fontId="0" fillId="2" borderId="1" xfId="1" applyFont="1" applyFill="1" applyBorder="1" applyAlignment="1">
      <alignment horizontal="left" vertical="center"/>
    </xf>
    <xf numFmtId="170" fontId="0" fillId="2" borderId="1" xfId="1" applyNumberFormat="1" applyFont="1" applyFill="1" applyBorder="1" applyAlignment="1">
      <alignment horizontal="left" vertical="center"/>
    </xf>
    <xf numFmtId="165" fontId="0" fillId="2" borderId="1" xfId="1" applyNumberFormat="1" applyFont="1" applyFill="1" applyBorder="1" applyAlignment="1">
      <alignment horizontal="left" vertical="center"/>
    </xf>
    <xf numFmtId="17" fontId="0" fillId="2" borderId="5" xfId="0" applyNumberFormat="1" applyFill="1" applyBorder="1" applyAlignment="1">
      <alignment horizontal="left" vertical="center"/>
    </xf>
    <xf numFmtId="165" fontId="0" fillId="2" borderId="1" xfId="0" applyNumberFormat="1" applyFill="1" applyBorder="1" applyAlignment="1">
      <alignment horizontal="left" vertical="center" wrapText="1"/>
    </xf>
    <xf numFmtId="165" fontId="25" fillId="2" borderId="6" xfId="1" applyNumberFormat="1" applyFont="1" applyFill="1" applyBorder="1" applyAlignment="1">
      <alignment horizontal="left" vertical="center"/>
    </xf>
    <xf numFmtId="43" fontId="0" fillId="2" borderId="0" xfId="0" applyNumberFormat="1" applyFill="1" applyAlignment="1">
      <alignment horizontal="left" vertical="center"/>
    </xf>
    <xf numFmtId="17" fontId="0" fillId="2" borderId="48" xfId="0" applyNumberFormat="1" applyFill="1" applyBorder="1" applyAlignment="1">
      <alignment horizontal="left" vertical="center"/>
    </xf>
    <xf numFmtId="165" fontId="0" fillId="2" borderId="16" xfId="0" applyNumberFormat="1" applyFill="1" applyBorder="1" applyAlignment="1">
      <alignment horizontal="left" vertical="center"/>
    </xf>
    <xf numFmtId="0" fontId="0" fillId="2" borderId="16" xfId="0" applyFill="1" applyBorder="1" applyAlignment="1">
      <alignment horizontal="left" vertical="center"/>
    </xf>
    <xf numFmtId="165" fontId="25" fillId="2" borderId="35" xfId="1" applyNumberFormat="1" applyFont="1" applyFill="1" applyBorder="1" applyAlignment="1">
      <alignment horizontal="left" vertical="center"/>
    </xf>
    <xf numFmtId="17" fontId="0" fillId="2" borderId="31" xfId="0" applyNumberFormat="1" applyFill="1" applyBorder="1" applyAlignment="1">
      <alignment horizontal="left" vertical="center"/>
    </xf>
    <xf numFmtId="165" fontId="0" fillId="2" borderId="32" xfId="0" applyNumberFormat="1" applyFill="1" applyBorder="1" applyAlignment="1">
      <alignment horizontal="left" vertical="center"/>
    </xf>
    <xf numFmtId="0" fontId="0" fillId="2" borderId="32" xfId="0" applyFill="1" applyBorder="1" applyAlignment="1">
      <alignment horizontal="left" vertical="center"/>
    </xf>
    <xf numFmtId="165" fontId="0" fillId="2" borderId="33" xfId="1" applyNumberFormat="1" applyFont="1" applyFill="1" applyBorder="1" applyAlignment="1">
      <alignment horizontal="left" vertical="center"/>
    </xf>
    <xf numFmtId="165" fontId="0" fillId="2" borderId="0" xfId="1" applyNumberFormat="1" applyFont="1" applyFill="1" applyBorder="1" applyAlignment="1">
      <alignment horizontal="left" vertical="center"/>
    </xf>
    <xf numFmtId="165" fontId="0" fillId="2" borderId="0" xfId="0" applyNumberFormat="1" applyFill="1" applyAlignment="1">
      <alignment horizontal="left" vertical="center"/>
    </xf>
    <xf numFmtId="0" fontId="0" fillId="2" borderId="10" xfId="0" applyFill="1" applyBorder="1" applyAlignment="1">
      <alignment horizontal="left" vertical="center" wrapText="1"/>
    </xf>
    <xf numFmtId="1" fontId="0" fillId="2" borderId="50" xfId="0" applyNumberFormat="1" applyFill="1" applyBorder="1" applyAlignment="1">
      <alignment horizontal="left" vertical="center"/>
    </xf>
    <xf numFmtId="0" fontId="0" fillId="2" borderId="60" xfId="0" applyFill="1" applyBorder="1" applyAlignment="1">
      <alignment horizontal="left" vertical="center" wrapText="1"/>
    </xf>
    <xf numFmtId="165" fontId="0" fillId="2" borderId="34" xfId="1" applyNumberFormat="1" applyFont="1" applyFill="1" applyBorder="1" applyAlignment="1">
      <alignment horizontal="left" vertical="center"/>
    </xf>
    <xf numFmtId="1" fontId="0" fillId="2" borderId="0" xfId="0" applyNumberFormat="1" applyFill="1" applyAlignment="1">
      <alignment horizontal="left" vertical="center"/>
    </xf>
    <xf numFmtId="1" fontId="0" fillId="2" borderId="1" xfId="0" applyNumberFormat="1" applyFill="1" applyBorder="1" applyAlignment="1">
      <alignment horizontal="left" vertical="center" wrapText="1"/>
    </xf>
    <xf numFmtId="0" fontId="0" fillId="2" borderId="5" xfId="0" applyFill="1" applyBorder="1" applyAlignment="1">
      <alignment horizontal="left" vertical="center" wrapText="1"/>
    </xf>
    <xf numFmtId="1" fontId="0" fillId="2" borderId="37" xfId="0" applyNumberFormat="1" applyFill="1" applyBorder="1" applyAlignment="1">
      <alignment horizontal="left" vertical="center"/>
    </xf>
    <xf numFmtId="165" fontId="0" fillId="2" borderId="6" xfId="1" applyNumberFormat="1" applyFont="1" applyFill="1" applyBorder="1" applyAlignment="1">
      <alignment horizontal="left" vertical="center"/>
    </xf>
    <xf numFmtId="0" fontId="0" fillId="2" borderId="5" xfId="0" applyFill="1" applyBorder="1" applyAlignment="1">
      <alignment horizontal="left" vertical="center"/>
    </xf>
    <xf numFmtId="43" fontId="0" fillId="2" borderId="37" xfId="0" applyNumberFormat="1" applyFill="1" applyBorder="1" applyAlignment="1">
      <alignment horizontal="left" vertical="center"/>
    </xf>
    <xf numFmtId="0" fontId="0" fillId="2" borderId="41" xfId="0" applyFill="1" applyBorder="1" applyAlignment="1">
      <alignment horizontal="left" vertical="center"/>
    </xf>
    <xf numFmtId="43" fontId="0" fillId="2" borderId="6" xfId="1" applyFont="1" applyFill="1" applyBorder="1" applyAlignment="1">
      <alignment horizontal="left" vertical="center"/>
    </xf>
    <xf numFmtId="43" fontId="0" fillId="2" borderId="0" xfId="1" applyFont="1" applyFill="1" applyBorder="1" applyAlignment="1">
      <alignment horizontal="left" vertical="center"/>
    </xf>
    <xf numFmtId="0" fontId="0" fillId="2" borderId="7" xfId="0" applyFill="1" applyBorder="1" applyAlignment="1">
      <alignment horizontal="left" vertical="center" wrapText="1"/>
    </xf>
    <xf numFmtId="1" fontId="0" fillId="2" borderId="40" xfId="0" applyNumberFormat="1" applyFill="1" applyBorder="1" applyAlignment="1">
      <alignment horizontal="left" vertical="center"/>
    </xf>
    <xf numFmtId="0" fontId="0" fillId="2" borderId="69" xfId="0" applyFill="1" applyBorder="1" applyAlignment="1">
      <alignment horizontal="left" vertical="center" wrapText="1"/>
    </xf>
    <xf numFmtId="1" fontId="0" fillId="2" borderId="9" xfId="0" applyNumberFormat="1" applyFill="1" applyBorder="1" applyAlignment="1">
      <alignment horizontal="left" vertical="center"/>
    </xf>
    <xf numFmtId="0" fontId="0" fillId="2" borderId="47" xfId="0" applyFill="1" applyBorder="1" applyAlignment="1">
      <alignment horizontal="left" vertical="center"/>
    </xf>
    <xf numFmtId="0" fontId="0" fillId="2" borderId="47" xfId="0" applyFill="1" applyBorder="1" applyAlignment="1">
      <alignment horizontal="left" vertical="center" wrapText="1"/>
    </xf>
    <xf numFmtId="1" fontId="0" fillId="2" borderId="47" xfId="0" applyNumberFormat="1" applyFill="1" applyBorder="1" applyAlignment="1">
      <alignment horizontal="left" vertical="center"/>
    </xf>
    <xf numFmtId="0" fontId="17" fillId="2" borderId="31" xfId="0" applyFont="1" applyFill="1" applyBorder="1" applyAlignment="1">
      <alignment horizontal="left" vertical="center"/>
    </xf>
    <xf numFmtId="0" fontId="17" fillId="2" borderId="32" xfId="0" applyFont="1" applyFill="1" applyBorder="1" applyAlignment="1">
      <alignment horizontal="left" vertical="center"/>
    </xf>
    <xf numFmtId="0" fontId="17" fillId="2" borderId="33" xfId="0" applyFont="1" applyFill="1" applyBorder="1" applyAlignment="1">
      <alignment horizontal="left" vertical="center"/>
    </xf>
    <xf numFmtId="0" fontId="17" fillId="2" borderId="0" xfId="0" applyFont="1" applyFill="1" applyAlignment="1">
      <alignment horizontal="left" vertical="center"/>
    </xf>
    <xf numFmtId="17" fontId="17" fillId="2" borderId="0" xfId="0" applyNumberFormat="1" applyFont="1" applyFill="1" applyAlignment="1">
      <alignment horizontal="left" vertical="center"/>
    </xf>
    <xf numFmtId="0" fontId="27" fillId="2" borderId="0" xfId="0" applyFont="1" applyFill="1" applyAlignment="1">
      <alignment horizontal="left" vertical="center"/>
    </xf>
    <xf numFmtId="0" fontId="17" fillId="2" borderId="2" xfId="0" applyFont="1" applyFill="1" applyBorder="1" applyAlignment="1">
      <alignment horizontal="left" vertical="center"/>
    </xf>
    <xf numFmtId="0" fontId="17" fillId="2" borderId="3" xfId="0" applyFont="1" applyFill="1" applyBorder="1" applyAlignment="1">
      <alignment horizontal="left" vertical="center"/>
    </xf>
    <xf numFmtId="2" fontId="17" fillId="2" borderId="3" xfId="0" applyNumberFormat="1" applyFont="1" applyFill="1" applyBorder="1" applyAlignment="1">
      <alignment horizontal="left" vertical="center"/>
    </xf>
    <xf numFmtId="165" fontId="17" fillId="2" borderId="4" xfId="1" applyNumberFormat="1" applyFont="1" applyFill="1" applyBorder="1" applyAlignment="1">
      <alignment horizontal="left" vertical="center"/>
    </xf>
    <xf numFmtId="0" fontId="17" fillId="2" borderId="5" xfId="0" applyFont="1" applyFill="1" applyBorder="1" applyAlignment="1">
      <alignment horizontal="left" vertical="center" wrapText="1"/>
    </xf>
    <xf numFmtId="0" fontId="17" fillId="2" borderId="1" xfId="0" applyFont="1" applyFill="1" applyBorder="1" applyAlignment="1">
      <alignment horizontal="left" vertical="center"/>
    </xf>
    <xf numFmtId="43" fontId="17" fillId="2" borderId="1" xfId="0" applyNumberFormat="1" applyFont="1" applyFill="1" applyBorder="1" applyAlignment="1">
      <alignment horizontal="left" vertical="center"/>
    </xf>
    <xf numFmtId="165" fontId="17" fillId="2" borderId="6" xfId="1" applyNumberFormat="1" applyFont="1" applyFill="1" applyBorder="1" applyAlignment="1">
      <alignment horizontal="left" vertical="center"/>
    </xf>
    <xf numFmtId="0" fontId="17" fillId="2" borderId="7" xfId="0" applyFont="1" applyFill="1" applyBorder="1" applyAlignment="1">
      <alignment horizontal="left" vertical="center" wrapText="1"/>
    </xf>
    <xf numFmtId="0" fontId="17" fillId="2" borderId="8" xfId="0" applyFont="1" applyFill="1" applyBorder="1" applyAlignment="1">
      <alignment horizontal="left" vertical="center"/>
    </xf>
    <xf numFmtId="2" fontId="17" fillId="2" borderId="8" xfId="0" applyNumberFormat="1" applyFont="1" applyFill="1" applyBorder="1" applyAlignment="1">
      <alignment horizontal="left" vertical="center"/>
    </xf>
    <xf numFmtId="165" fontId="17" fillId="2" borderId="9" xfId="1" applyNumberFormat="1" applyFont="1" applyFill="1" applyBorder="1" applyAlignment="1">
      <alignment horizontal="left" vertical="center"/>
    </xf>
    <xf numFmtId="0" fontId="17" fillId="2" borderId="0" xfId="0" applyFont="1" applyFill="1" applyAlignment="1">
      <alignment horizontal="left" vertical="center" wrapText="1"/>
    </xf>
    <xf numFmtId="43" fontId="17" fillId="2" borderId="39" xfId="1" applyFont="1" applyFill="1" applyBorder="1" applyAlignment="1">
      <alignment horizontal="left" vertical="center"/>
    </xf>
    <xf numFmtId="165" fontId="17" fillId="2" borderId="56" xfId="1" applyNumberFormat="1" applyFont="1" applyFill="1" applyBorder="1" applyAlignment="1">
      <alignment horizontal="left" vertical="center"/>
    </xf>
    <xf numFmtId="0" fontId="17" fillId="2" borderId="5" xfId="0" applyFont="1" applyFill="1" applyBorder="1" applyAlignment="1">
      <alignment horizontal="left" vertical="center"/>
    </xf>
    <xf numFmtId="43" fontId="17" fillId="2" borderId="37" xfId="1" applyFont="1" applyFill="1" applyBorder="1" applyAlignment="1">
      <alignment horizontal="left" vertical="center"/>
    </xf>
    <xf numFmtId="165" fontId="17" fillId="2" borderId="58" xfId="1" applyNumberFormat="1" applyFont="1" applyFill="1" applyBorder="1" applyAlignment="1">
      <alignment horizontal="left" vertical="center"/>
    </xf>
    <xf numFmtId="0" fontId="0" fillId="2" borderId="28" xfId="0" applyFill="1" applyBorder="1" applyAlignment="1">
      <alignment horizontal="left" vertical="center"/>
    </xf>
    <xf numFmtId="0" fontId="17" fillId="2" borderId="48" xfId="0" applyFont="1" applyFill="1" applyBorder="1" applyAlignment="1">
      <alignment horizontal="left" vertical="center"/>
    </xf>
    <xf numFmtId="0" fontId="17" fillId="2" borderId="16" xfId="0" applyFont="1" applyFill="1" applyBorder="1" applyAlignment="1">
      <alignment horizontal="left" vertical="center"/>
    </xf>
    <xf numFmtId="43" fontId="17" fillId="2" borderId="59" xfId="1" applyFont="1" applyFill="1" applyBorder="1" applyAlignment="1">
      <alignment horizontal="left" vertical="center"/>
    </xf>
    <xf numFmtId="165" fontId="17" fillId="2" borderId="75" xfId="1" applyNumberFormat="1" applyFont="1" applyFill="1" applyBorder="1" applyAlignment="1">
      <alignment horizontal="left" vertical="center"/>
    </xf>
    <xf numFmtId="165" fontId="17" fillId="2" borderId="47" xfId="1" applyNumberFormat="1" applyFont="1" applyFill="1" applyBorder="1" applyAlignment="1">
      <alignment horizontal="left" vertical="center"/>
    </xf>
    <xf numFmtId="0" fontId="0" fillId="2" borderId="31" xfId="0" applyFill="1" applyBorder="1" applyAlignment="1">
      <alignment horizontal="left" vertical="center" wrapText="1"/>
    </xf>
    <xf numFmtId="0" fontId="0" fillId="2" borderId="32" xfId="0" applyFill="1" applyBorder="1" applyAlignment="1">
      <alignment horizontal="left" vertical="center" wrapText="1"/>
    </xf>
    <xf numFmtId="0" fontId="0" fillId="2" borderId="33" xfId="0" applyFill="1" applyBorder="1" applyAlignment="1">
      <alignment horizontal="left" vertical="center" wrapText="1"/>
    </xf>
    <xf numFmtId="0" fontId="0" fillId="2" borderId="11" xfId="0" applyFill="1" applyBorder="1" applyAlignment="1">
      <alignment horizontal="left" vertical="center"/>
    </xf>
    <xf numFmtId="2" fontId="0" fillId="2" borderId="11" xfId="0" applyNumberFormat="1" applyFill="1" applyBorder="1" applyAlignment="1">
      <alignment horizontal="left" vertical="center"/>
    </xf>
    <xf numFmtId="10" fontId="0" fillId="2" borderId="11" xfId="2" applyNumberFormat="1" applyFont="1" applyFill="1" applyBorder="1" applyAlignment="1">
      <alignment horizontal="left" vertical="center"/>
    </xf>
    <xf numFmtId="165" fontId="0" fillId="2" borderId="60" xfId="1" applyNumberFormat="1" applyFont="1" applyFill="1" applyBorder="1" applyAlignment="1">
      <alignment horizontal="left" vertical="center"/>
    </xf>
    <xf numFmtId="10" fontId="0" fillId="2" borderId="34" xfId="2" applyNumberFormat="1" applyFont="1" applyFill="1" applyBorder="1" applyAlignment="1">
      <alignment horizontal="left" vertical="center"/>
    </xf>
    <xf numFmtId="0" fontId="0" fillId="2" borderId="7" xfId="0" applyFill="1" applyBorder="1" applyAlignment="1">
      <alignment horizontal="left" vertical="center"/>
    </xf>
    <xf numFmtId="0" fontId="0" fillId="2" borderId="8" xfId="0" applyFill="1" applyBorder="1" applyAlignment="1">
      <alignment horizontal="left" vertical="center"/>
    </xf>
    <xf numFmtId="0" fontId="0" fillId="2" borderId="9" xfId="0" applyFill="1" applyBorder="1" applyAlignment="1">
      <alignment horizontal="left" vertical="center"/>
    </xf>
    <xf numFmtId="0" fontId="21" fillId="0" borderId="0" xfId="0" applyFont="1" applyAlignment="1">
      <alignment vertical="center"/>
    </xf>
    <xf numFmtId="0" fontId="21" fillId="2" borderId="0" xfId="0" applyFont="1" applyFill="1" applyAlignment="1">
      <alignment vertical="center"/>
    </xf>
    <xf numFmtId="0" fontId="0" fillId="0" borderId="0" xfId="0" applyAlignment="1">
      <alignment vertical="center"/>
    </xf>
    <xf numFmtId="0" fontId="4" fillId="13" borderId="47" xfId="0" applyFont="1" applyFill="1" applyBorder="1" applyAlignment="1">
      <alignment horizontal="center" vertical="center" wrapText="1"/>
    </xf>
    <xf numFmtId="0" fontId="33" fillId="0" borderId="0" xfId="0" applyFont="1" applyAlignment="1">
      <alignment vertical="center"/>
    </xf>
    <xf numFmtId="43" fontId="0" fillId="0" borderId="0" xfId="1" applyFont="1" applyAlignment="1">
      <alignment vertical="center"/>
    </xf>
    <xf numFmtId="44" fontId="3" fillId="5" borderId="1" xfId="0" applyNumberFormat="1" applyFont="1" applyFill="1" applyBorder="1" applyAlignment="1">
      <alignment vertical="center" wrapText="1"/>
    </xf>
    <xf numFmtId="0" fontId="0" fillId="2" borderId="0" xfId="0" applyFill="1" applyAlignment="1">
      <alignment vertical="center"/>
    </xf>
    <xf numFmtId="0" fontId="0" fillId="0" borderId="41" xfId="0" applyBorder="1" applyAlignment="1">
      <alignment vertical="center"/>
    </xf>
    <xf numFmtId="0" fontId="0" fillId="0" borderId="1" xfId="0" applyBorder="1" applyAlignment="1">
      <alignment vertical="center"/>
    </xf>
    <xf numFmtId="43" fontId="0" fillId="0" borderId="0" xfId="0" applyNumberFormat="1" applyAlignment="1">
      <alignment vertical="center"/>
    </xf>
    <xf numFmtId="44" fontId="30" fillId="11" borderId="6" xfId="0" applyNumberFormat="1" applyFont="1" applyFill="1" applyBorder="1" applyAlignment="1">
      <alignment vertical="center"/>
    </xf>
    <xf numFmtId="3" fontId="0" fillId="2" borderId="0" xfId="0" applyNumberFormat="1" applyFill="1" applyAlignment="1">
      <alignment vertical="center"/>
    </xf>
    <xf numFmtId="44" fontId="3" fillId="11" borderId="6" xfId="0" applyNumberFormat="1" applyFont="1" applyFill="1" applyBorder="1" applyAlignment="1">
      <alignment vertical="center"/>
    </xf>
    <xf numFmtId="164" fontId="35" fillId="11" borderId="58" xfId="4" applyNumberFormat="1" applyFont="1" applyFill="1" applyBorder="1" applyAlignment="1" applyProtection="1">
      <alignment horizontal="center" vertical="center" wrapText="1"/>
    </xf>
    <xf numFmtId="0" fontId="0" fillId="11" borderId="42" xfId="0" applyFill="1" applyBorder="1" applyAlignment="1" applyProtection="1">
      <alignment horizontal="center" vertical="center" wrapText="1"/>
      <protection locked="0"/>
    </xf>
    <xf numFmtId="0" fontId="3" fillId="2" borderId="0" xfId="0" applyFont="1" applyFill="1" applyAlignment="1">
      <alignment vertical="center" wrapText="1"/>
    </xf>
    <xf numFmtId="164" fontId="30" fillId="2" borderId="0" xfId="0" applyNumberFormat="1" applyFont="1" applyFill="1" applyAlignment="1">
      <alignment vertical="center"/>
    </xf>
    <xf numFmtId="165" fontId="0" fillId="0" borderId="0" xfId="1" applyNumberFormat="1" applyFont="1" applyAlignment="1">
      <alignment vertical="center"/>
    </xf>
    <xf numFmtId="0" fontId="22" fillId="0" borderId="0" xfId="0" applyFont="1" applyAlignment="1">
      <alignment vertical="center"/>
    </xf>
    <xf numFmtId="0" fontId="17" fillId="0" borderId="0" xfId="0" applyFont="1" applyAlignment="1">
      <alignment vertical="center"/>
    </xf>
    <xf numFmtId="0" fontId="0" fillId="0" borderId="0" xfId="0" applyAlignment="1">
      <alignment horizontal="center" vertical="center"/>
    </xf>
    <xf numFmtId="0" fontId="30" fillId="0" borderId="0" xfId="0" applyFont="1" applyAlignment="1">
      <alignment vertical="center"/>
    </xf>
    <xf numFmtId="0" fontId="0" fillId="0" borderId="1" xfId="0" applyBorder="1" applyAlignment="1">
      <alignment horizontal="center" vertical="center"/>
    </xf>
    <xf numFmtId="0" fontId="30" fillId="0" borderId="9" xfId="0" applyFont="1" applyBorder="1" applyAlignment="1">
      <alignment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vertical="center"/>
    </xf>
    <xf numFmtId="0" fontId="0" fillId="0" borderId="7" xfId="0" applyBorder="1" applyAlignment="1">
      <alignment horizontal="center" vertical="center"/>
    </xf>
    <xf numFmtId="167" fontId="0" fillId="0" borderId="0" xfId="0" applyNumberFormat="1" applyAlignment="1">
      <alignment vertical="center"/>
    </xf>
    <xf numFmtId="0" fontId="0" fillId="0" borderId="2" xfId="0" applyBorder="1" applyAlignment="1">
      <alignment vertical="center"/>
    </xf>
    <xf numFmtId="164" fontId="0" fillId="0" borderId="3" xfId="3" applyNumberFormat="1" applyFont="1" applyBorder="1" applyAlignment="1">
      <alignment horizontal="center" vertical="center"/>
    </xf>
    <xf numFmtId="164" fontId="0" fillId="0" borderId="4" xfId="3" applyNumberFormat="1" applyFont="1" applyBorder="1" applyAlignment="1">
      <alignment horizontal="center" vertical="center"/>
    </xf>
    <xf numFmtId="0" fontId="0" fillId="0" borderId="5" xfId="0" applyBorder="1" applyAlignment="1">
      <alignment vertical="center"/>
    </xf>
    <xf numFmtId="164" fontId="0" fillId="0" borderId="1" xfId="3" applyNumberFormat="1" applyFont="1" applyBorder="1" applyAlignment="1">
      <alignment horizontal="center" vertical="center"/>
    </xf>
    <xf numFmtId="164" fontId="0" fillId="0" borderId="6" xfId="3" applyNumberFormat="1" applyFont="1" applyBorder="1" applyAlignment="1">
      <alignment vertical="center"/>
    </xf>
    <xf numFmtId="164" fontId="0" fillId="0" borderId="0" xfId="0" applyNumberFormat="1" applyAlignment="1">
      <alignment vertical="center"/>
    </xf>
    <xf numFmtId="0" fontId="0" fillId="0" borderId="7" xfId="0" applyBorder="1" applyAlignment="1">
      <alignment vertical="center"/>
    </xf>
    <xf numFmtId="164" fontId="0" fillId="0" borderId="9" xfId="3" applyNumberFormat="1" applyFont="1" applyBorder="1" applyAlignment="1">
      <alignment vertical="center"/>
    </xf>
    <xf numFmtId="0" fontId="4" fillId="16" borderId="17" xfId="0" applyFont="1" applyFill="1" applyBorder="1" applyAlignment="1">
      <alignment horizontal="center" vertical="center"/>
    </xf>
    <xf numFmtId="0" fontId="4" fillId="16" borderId="36" xfId="0" applyFont="1" applyFill="1" applyBorder="1" applyAlignment="1">
      <alignment horizontal="center" vertical="center"/>
    </xf>
    <xf numFmtId="164" fontId="0" fillId="0" borderId="6" xfId="3" applyNumberFormat="1" applyFont="1" applyBorder="1" applyAlignment="1">
      <alignment horizontal="center" vertical="center"/>
    </xf>
    <xf numFmtId="164" fontId="0" fillId="0" borderId="8" xfId="3" applyNumberFormat="1" applyFont="1" applyBorder="1" applyAlignment="1">
      <alignment horizontal="center" vertical="center"/>
    </xf>
    <xf numFmtId="164" fontId="0" fillId="0" borderId="9" xfId="3" applyNumberFormat="1" applyFont="1" applyBorder="1" applyAlignment="1">
      <alignment horizontal="center" vertical="center"/>
    </xf>
    <xf numFmtId="44" fontId="0" fillId="0" borderId="0" xfId="0" applyNumberFormat="1" applyAlignment="1">
      <alignment vertical="center"/>
    </xf>
    <xf numFmtId="167" fontId="3" fillId="0" borderId="0" xfId="2" applyNumberFormat="1" applyFont="1" applyAlignment="1">
      <alignment vertical="center"/>
    </xf>
    <xf numFmtId="167" fontId="3" fillId="0" borderId="0" xfId="0" applyNumberFormat="1" applyFont="1" applyAlignment="1">
      <alignment vertical="center"/>
    </xf>
    <xf numFmtId="0" fontId="35" fillId="0" borderId="0" xfId="4" applyFont="1" applyAlignment="1" applyProtection="1">
      <alignment horizontal="center" vertical="center"/>
    </xf>
    <xf numFmtId="0" fontId="0" fillId="0" borderId="0" xfId="2" applyNumberFormat="1" applyFont="1" applyAlignment="1">
      <alignment horizontal="center" vertical="center"/>
    </xf>
    <xf numFmtId="164" fontId="0" fillId="0" borderId="0" xfId="3" applyNumberFormat="1" applyFont="1" applyAlignment="1">
      <alignment vertical="center"/>
    </xf>
    <xf numFmtId="0" fontId="3" fillId="0" borderId="2" xfId="0" applyFont="1" applyBorder="1" applyAlignment="1">
      <alignment vertical="center"/>
    </xf>
    <xf numFmtId="164" fontId="0" fillId="0" borderId="67" xfId="3" applyNumberFormat="1" applyFont="1" applyBorder="1" applyAlignment="1">
      <alignment vertical="center"/>
    </xf>
    <xf numFmtId="0" fontId="30" fillId="0" borderId="7" xfId="0" applyFont="1" applyBorder="1" applyAlignment="1">
      <alignment vertical="center"/>
    </xf>
    <xf numFmtId="164" fontId="0" fillId="2" borderId="0" xfId="3" applyNumberFormat="1" applyFont="1" applyFill="1" applyAlignment="1">
      <alignment vertical="center"/>
    </xf>
    <xf numFmtId="0" fontId="30" fillId="0" borderId="10" xfId="0" applyFont="1" applyBorder="1" applyAlignment="1">
      <alignment vertical="center"/>
    </xf>
    <xf numFmtId="164" fontId="0" fillId="0" borderId="34" xfId="3" applyNumberFormat="1" applyFont="1" applyBorder="1" applyAlignment="1">
      <alignment vertical="center"/>
    </xf>
    <xf numFmtId="0" fontId="30" fillId="0" borderId="5" xfId="0" applyFont="1" applyBorder="1" applyAlignment="1">
      <alignment vertical="center"/>
    </xf>
    <xf numFmtId="164" fontId="0" fillId="2" borderId="0" xfId="0" applyNumberFormat="1" applyFill="1" applyAlignment="1">
      <alignment vertical="center"/>
    </xf>
    <xf numFmtId="0" fontId="3" fillId="0" borderId="48" xfId="0" applyFont="1" applyBorder="1" applyAlignment="1">
      <alignment vertical="center"/>
    </xf>
    <xf numFmtId="164" fontId="0" fillId="0" borderId="35" xfId="3" applyNumberFormat="1" applyFont="1" applyBorder="1" applyAlignment="1">
      <alignment vertical="center"/>
    </xf>
    <xf numFmtId="0" fontId="25" fillId="0" borderId="2" xfId="0" applyFont="1" applyBorder="1" applyAlignment="1">
      <alignment vertical="center"/>
    </xf>
    <xf numFmtId="164" fontId="0" fillId="0" borderId="4" xfId="3" applyNumberFormat="1" applyFont="1" applyBorder="1" applyAlignment="1">
      <alignment vertical="center"/>
    </xf>
    <xf numFmtId="0" fontId="0" fillId="2" borderId="5" xfId="0" applyFill="1" applyBorder="1" applyAlignment="1">
      <alignment vertical="center"/>
    </xf>
    <xf numFmtId="164" fontId="25" fillId="2" borderId="6" xfId="3" applyNumberFormat="1" applyFont="1" applyFill="1" applyBorder="1" applyAlignment="1">
      <alignment vertical="center"/>
    </xf>
    <xf numFmtId="0" fontId="0" fillId="2" borderId="0" xfId="0" applyFill="1" applyAlignment="1">
      <alignment horizontal="center" vertical="center"/>
    </xf>
    <xf numFmtId="0" fontId="0" fillId="2" borderId="7" xfId="0" applyFill="1" applyBorder="1" applyAlignment="1">
      <alignment vertical="center"/>
    </xf>
    <xf numFmtId="44" fontId="0" fillId="0" borderId="0" xfId="3" applyFont="1" applyAlignment="1">
      <alignment horizontal="center" vertical="center"/>
    </xf>
    <xf numFmtId="0" fontId="0" fillId="0" borderId="10" xfId="0" applyBorder="1" applyAlignment="1">
      <alignment vertical="center"/>
    </xf>
    <xf numFmtId="2" fontId="0" fillId="0" borderId="9" xfId="0" applyNumberFormat="1" applyBorder="1" applyAlignment="1">
      <alignment vertical="center"/>
    </xf>
    <xf numFmtId="0" fontId="17" fillId="9" borderId="12" xfId="0" applyFont="1" applyFill="1" applyBorder="1"/>
    <xf numFmtId="169" fontId="0" fillId="0" borderId="0" xfId="0" applyNumberFormat="1" applyAlignment="1">
      <alignment vertical="center"/>
    </xf>
    <xf numFmtId="0" fontId="17" fillId="0" borderId="51" xfId="0" applyFont="1" applyBorder="1" applyAlignment="1">
      <alignment vertical="center"/>
    </xf>
    <xf numFmtId="0" fontId="17" fillId="0" borderId="49" xfId="0" applyFont="1" applyBorder="1" applyAlignment="1">
      <alignment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34" xfId="0" applyBorder="1" applyAlignment="1">
      <alignment horizontal="center" vertical="center"/>
    </xf>
    <xf numFmtId="0" fontId="4" fillId="0" borderId="0" xfId="0" applyFont="1" applyAlignment="1">
      <alignment horizontal="center" vertical="center"/>
    </xf>
    <xf numFmtId="0" fontId="4" fillId="9" borderId="31" xfId="0" applyFont="1" applyFill="1" applyBorder="1"/>
    <xf numFmtId="0" fontId="4" fillId="9" borderId="33" xfId="0" applyFont="1" applyFill="1" applyBorder="1" applyAlignment="1">
      <alignment horizontal="center" vertical="center"/>
    </xf>
    <xf numFmtId="0" fontId="4" fillId="9" borderId="33" xfId="0" applyFont="1" applyFill="1" applyBorder="1"/>
    <xf numFmtId="0" fontId="3" fillId="0" borderId="10" xfId="0" applyFont="1" applyBorder="1"/>
    <xf numFmtId="44" fontId="0" fillId="0" borderId="34" xfId="0" applyNumberFormat="1" applyBorder="1"/>
    <xf numFmtId="0" fontId="3" fillId="0" borderId="5" xfId="0" applyFont="1" applyBorder="1"/>
    <xf numFmtId="44" fontId="0" fillId="0" borderId="6" xfId="0" applyNumberFormat="1" applyBorder="1"/>
    <xf numFmtId="43" fontId="0" fillId="0" borderId="2" xfId="1" applyFont="1" applyBorder="1" applyAlignment="1">
      <alignment vertical="center"/>
    </xf>
    <xf numFmtId="0" fontId="30" fillId="0" borderId="4" xfId="0" applyFont="1" applyBorder="1" applyAlignment="1">
      <alignment vertical="center"/>
    </xf>
    <xf numFmtId="43" fontId="0" fillId="0" borderId="5" xfId="1" applyFont="1" applyBorder="1" applyAlignment="1">
      <alignment vertical="center"/>
    </xf>
    <xf numFmtId="0" fontId="30" fillId="0" borderId="6" xfId="0" applyFont="1" applyBorder="1" applyAlignment="1">
      <alignment vertical="center"/>
    </xf>
    <xf numFmtId="0" fontId="3" fillId="0" borderId="7" xfId="0" applyFont="1" applyBorder="1"/>
    <xf numFmtId="44" fontId="0" fillId="0" borderId="9" xfId="0" applyNumberFormat="1" applyBorder="1"/>
    <xf numFmtId="0" fontId="3" fillId="6" borderId="31" xfId="0" applyFont="1" applyFill="1" applyBorder="1" applyAlignment="1">
      <alignment vertical="center"/>
    </xf>
    <xf numFmtId="0" fontId="30" fillId="6" borderId="33" xfId="0" applyFont="1" applyFill="1" applyBorder="1" applyAlignment="1">
      <alignment vertical="center"/>
    </xf>
    <xf numFmtId="164" fontId="25" fillId="0" borderId="34" xfId="3" applyNumberFormat="1" applyFont="1" applyBorder="1" applyAlignment="1">
      <alignment vertical="center"/>
    </xf>
    <xf numFmtId="0" fontId="3" fillId="17" borderId="31" xfId="0" applyFont="1" applyFill="1" applyBorder="1" applyAlignment="1">
      <alignment horizontal="center" vertical="center"/>
    </xf>
    <xf numFmtId="164" fontId="25" fillId="0" borderId="6" xfId="3" applyNumberFormat="1" applyFont="1" applyBorder="1" applyAlignment="1">
      <alignment vertical="center"/>
    </xf>
    <xf numFmtId="164" fontId="25" fillId="0" borderId="9" xfId="3" applyNumberFormat="1" applyFont="1" applyBorder="1" applyAlignment="1">
      <alignment vertical="center"/>
    </xf>
    <xf numFmtId="164" fontId="0" fillId="0" borderId="0" xfId="0" applyNumberFormat="1" applyAlignment="1">
      <alignment horizontal="center" vertical="center"/>
    </xf>
    <xf numFmtId="0" fontId="0" fillId="0" borderId="0" xfId="0"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4" fillId="6" borderId="31" xfId="0" applyFont="1" applyFill="1" applyBorder="1" applyAlignment="1">
      <alignment vertical="center"/>
    </xf>
    <xf numFmtId="0" fontId="4" fillId="6" borderId="33" xfId="0" applyFont="1" applyFill="1" applyBorder="1" applyAlignment="1">
      <alignment vertical="center"/>
    </xf>
    <xf numFmtId="44" fontId="30" fillId="0" borderId="4" xfId="3" applyFont="1" applyBorder="1" applyAlignment="1">
      <alignment horizontal="center" vertical="center"/>
    </xf>
    <xf numFmtId="44" fontId="30" fillId="0" borderId="6" xfId="3" applyFont="1" applyBorder="1" applyAlignment="1">
      <alignment horizontal="center" vertical="center"/>
    </xf>
    <xf numFmtId="44" fontId="0" fillId="0" borderId="6" xfId="3" applyFont="1" applyBorder="1" applyAlignment="1">
      <alignment horizontal="center" vertical="center"/>
    </xf>
    <xf numFmtId="44" fontId="25" fillId="0" borderId="6" xfId="3" applyFont="1" applyBorder="1" applyAlignment="1">
      <alignment horizontal="center" vertical="center"/>
    </xf>
    <xf numFmtId="44" fontId="25" fillId="0" borderId="9" xfId="3" applyFont="1" applyBorder="1" applyAlignment="1">
      <alignment horizontal="center" vertical="center"/>
    </xf>
    <xf numFmtId="0" fontId="3" fillId="6" borderId="22" xfId="0" applyFont="1" applyFill="1" applyBorder="1" applyAlignment="1">
      <alignment vertical="center" wrapText="1"/>
    </xf>
    <xf numFmtId="0" fontId="30" fillId="6" borderId="67" xfId="0" applyFont="1" applyFill="1" applyBorder="1" applyAlignment="1">
      <alignment vertical="center" wrapText="1"/>
    </xf>
    <xf numFmtId="0" fontId="3" fillId="6" borderId="22" xfId="0" applyFont="1" applyFill="1" applyBorder="1" applyAlignment="1">
      <alignment horizontal="center" vertical="center" wrapText="1"/>
    </xf>
    <xf numFmtId="44" fontId="25" fillId="0" borderId="4" xfId="3" applyFont="1" applyBorder="1" applyAlignment="1">
      <alignment vertical="center"/>
    </xf>
    <xf numFmtId="44" fontId="25" fillId="0" borderId="6" xfId="3" applyFont="1" applyBorder="1" applyAlignment="1">
      <alignment vertical="center"/>
    </xf>
    <xf numFmtId="44" fontId="25" fillId="0" borderId="9" xfId="3" applyFont="1" applyBorder="1" applyAlignment="1">
      <alignment vertical="center"/>
    </xf>
    <xf numFmtId="0" fontId="4" fillId="6" borderId="31" xfId="0" applyFont="1" applyFill="1" applyBorder="1" applyAlignment="1">
      <alignment horizontal="left" vertical="center"/>
    </xf>
    <xf numFmtId="0" fontId="4" fillId="6" borderId="47" xfId="0" applyFont="1" applyFill="1" applyBorder="1" applyAlignment="1">
      <alignment horizontal="center" vertical="center"/>
    </xf>
    <xf numFmtId="0" fontId="4" fillId="6" borderId="33" xfId="0" applyFont="1" applyFill="1" applyBorder="1" applyAlignment="1">
      <alignment horizontal="center" vertical="center"/>
    </xf>
    <xf numFmtId="44" fontId="0" fillId="0" borderId="34" xfId="3" applyFont="1" applyBorder="1" applyAlignment="1">
      <alignment horizontal="left" vertical="center"/>
    </xf>
    <xf numFmtId="44" fontId="0" fillId="0" borderId="6" xfId="3" applyFont="1" applyBorder="1" applyAlignment="1">
      <alignment horizontal="left" vertical="center"/>
    </xf>
    <xf numFmtId="0" fontId="0" fillId="0" borderId="48" xfId="0" applyBorder="1" applyAlignment="1">
      <alignment horizontal="left" vertical="center"/>
    </xf>
    <xf numFmtId="44" fontId="0" fillId="0" borderId="35" xfId="3" applyFont="1" applyBorder="1" applyAlignment="1">
      <alignment horizontal="left" vertical="center"/>
    </xf>
    <xf numFmtId="0" fontId="3" fillId="0" borderId="31" xfId="0" applyFont="1" applyBorder="1" applyAlignment="1">
      <alignment horizontal="left" vertical="center"/>
    </xf>
    <xf numFmtId="44" fontId="3" fillId="0" borderId="33" xfId="3" applyFont="1" applyBorder="1" applyAlignment="1">
      <alignment horizontal="left" vertical="center"/>
    </xf>
    <xf numFmtId="0" fontId="0" fillId="0" borderId="12" xfId="0" applyBorder="1" applyAlignment="1">
      <alignment horizontal="left" vertical="center"/>
    </xf>
    <xf numFmtId="44" fontId="0" fillId="0" borderId="56" xfId="3" applyFont="1" applyBorder="1" applyAlignment="1">
      <alignment horizontal="left" vertical="center"/>
    </xf>
    <xf numFmtId="0" fontId="0" fillId="0" borderId="51" xfId="0" applyBorder="1" applyAlignment="1">
      <alignment horizontal="left" vertical="center"/>
    </xf>
    <xf numFmtId="44" fontId="0" fillId="0" borderId="58" xfId="3" applyFont="1" applyBorder="1" applyAlignment="1">
      <alignment horizontal="left" vertical="center"/>
    </xf>
    <xf numFmtId="0" fontId="4" fillId="6" borderId="18" xfId="0" applyFont="1" applyFill="1" applyBorder="1" applyAlignment="1">
      <alignment horizontal="left" vertical="center"/>
    </xf>
    <xf numFmtId="44" fontId="0" fillId="0" borderId="4" xfId="3" applyFont="1" applyBorder="1" applyAlignment="1">
      <alignment horizontal="left" vertical="center"/>
    </xf>
    <xf numFmtId="44" fontId="0" fillId="0" borderId="0" xfId="3" applyFont="1" applyAlignment="1">
      <alignment vertical="center"/>
    </xf>
    <xf numFmtId="0" fontId="0" fillId="0" borderId="54" xfId="0" applyBorder="1" applyAlignment="1">
      <alignment horizontal="left" vertical="center"/>
    </xf>
    <xf numFmtId="44" fontId="0" fillId="0" borderId="75" xfId="3" applyFont="1" applyBorder="1" applyAlignment="1">
      <alignment horizontal="left" vertical="center"/>
    </xf>
    <xf numFmtId="0" fontId="3" fillId="0" borderId="18" xfId="0" applyFont="1" applyBorder="1" applyAlignment="1">
      <alignment horizontal="left" vertical="center"/>
    </xf>
    <xf numFmtId="44" fontId="3" fillId="0" borderId="47" xfId="3" applyFont="1" applyBorder="1" applyAlignment="1">
      <alignment horizontal="left" vertical="center"/>
    </xf>
    <xf numFmtId="0" fontId="22" fillId="0" borderId="0" xfId="0" applyFont="1" applyAlignment="1">
      <alignment horizontal="center" vertical="center"/>
    </xf>
    <xf numFmtId="2" fontId="22" fillId="0" borderId="0" xfId="0" applyNumberFormat="1" applyFont="1" applyAlignment="1">
      <alignment vertical="center"/>
    </xf>
    <xf numFmtId="0" fontId="43" fillId="4" borderId="21" xfId="0" applyFont="1" applyFill="1" applyBorder="1" applyAlignment="1">
      <alignment horizontal="center" vertical="center"/>
    </xf>
    <xf numFmtId="0" fontId="43" fillId="4" borderId="47" xfId="0" applyFont="1" applyFill="1" applyBorder="1" applyAlignment="1">
      <alignment horizontal="center" vertical="center"/>
    </xf>
    <xf numFmtId="0" fontId="42" fillId="0" borderId="0" xfId="0" applyFont="1" applyAlignment="1">
      <alignment horizontal="center" vertical="center"/>
    </xf>
    <xf numFmtId="0" fontId="21" fillId="9" borderId="32" xfId="0" applyFont="1" applyFill="1" applyBorder="1" applyAlignment="1">
      <alignment horizontal="center" vertical="center"/>
    </xf>
    <xf numFmtId="12" fontId="21" fillId="9" borderId="32" xfId="0" applyNumberFormat="1" applyFont="1" applyFill="1" applyBorder="1" applyAlignment="1">
      <alignment horizontal="center" vertical="center"/>
    </xf>
    <xf numFmtId="0" fontId="21" fillId="9" borderId="33" xfId="0" applyFont="1" applyFill="1" applyBorder="1" applyAlignment="1">
      <alignment horizontal="center" vertical="center" wrapText="1"/>
    </xf>
    <xf numFmtId="0" fontId="21" fillId="0" borderId="0" xfId="0" applyFont="1" applyAlignment="1">
      <alignment horizontal="center" vertical="center"/>
    </xf>
    <xf numFmtId="0" fontId="4" fillId="0" borderId="32" xfId="0" applyFont="1" applyBorder="1" applyAlignment="1">
      <alignment horizontal="center" vertical="center" wrapText="1"/>
    </xf>
    <xf numFmtId="0" fontId="4" fillId="0" borderId="32" xfId="0" applyFont="1" applyBorder="1" applyAlignment="1">
      <alignment horizontal="center" vertical="center"/>
    </xf>
    <xf numFmtId="12" fontId="4" fillId="0" borderId="32" xfId="0" applyNumberFormat="1" applyFont="1" applyBorder="1" applyAlignment="1">
      <alignment horizontal="center" vertical="center"/>
    </xf>
    <xf numFmtId="0" fontId="4" fillId="0" borderId="65" xfId="0" applyFont="1" applyBorder="1" applyAlignment="1">
      <alignment horizontal="center" vertical="center"/>
    </xf>
    <xf numFmtId="0" fontId="17" fillId="0" borderId="33" xfId="0" applyFont="1" applyBorder="1" applyAlignment="1">
      <alignment vertical="center"/>
    </xf>
    <xf numFmtId="0" fontId="4" fillId="9" borderId="19" xfId="0" applyFont="1" applyFill="1" applyBorder="1" applyAlignment="1">
      <alignment horizontal="center" vertical="center"/>
    </xf>
    <xf numFmtId="0" fontId="4" fillId="9" borderId="20" xfId="0" applyFont="1" applyFill="1" applyBorder="1" applyAlignment="1">
      <alignment horizontal="center" vertical="center"/>
    </xf>
    <xf numFmtId="0" fontId="4" fillId="9" borderId="17" xfId="0" applyFont="1" applyFill="1" applyBorder="1" applyAlignment="1">
      <alignment horizontal="center" vertical="center"/>
    </xf>
    <xf numFmtId="0" fontId="4" fillId="9" borderId="17" xfId="0" applyFont="1" applyFill="1" applyBorder="1" applyAlignment="1">
      <alignment horizontal="center" vertical="center" wrapText="1"/>
    </xf>
    <xf numFmtId="0" fontId="4" fillId="9" borderId="45" xfId="0" applyFont="1" applyFill="1" applyBorder="1" applyAlignment="1">
      <alignment vertical="center" wrapText="1"/>
    </xf>
    <xf numFmtId="0" fontId="4" fillId="9" borderId="45" xfId="0" applyFont="1" applyFill="1" applyBorder="1" applyAlignment="1">
      <alignment horizontal="center" vertical="center" wrapText="1"/>
    </xf>
    <xf numFmtId="0" fontId="4" fillId="9" borderId="36" xfId="0" applyFont="1" applyFill="1" applyBorder="1" applyAlignment="1">
      <alignment horizontal="left" vertical="center" wrapText="1"/>
    </xf>
    <xf numFmtId="0" fontId="17" fillId="0" borderId="56" xfId="0" applyFont="1" applyBorder="1" applyAlignment="1">
      <alignment horizontal="left" vertical="center"/>
    </xf>
    <xf numFmtId="164" fontId="17" fillId="22" borderId="68" xfId="27" applyNumberFormat="1" applyFont="1" applyFill="1" applyBorder="1" applyAlignment="1">
      <alignment horizontal="left" vertical="center"/>
    </xf>
    <xf numFmtId="164" fontId="17" fillId="22" borderId="3" xfId="27" applyNumberFormat="1" applyFont="1" applyFill="1" applyBorder="1" applyAlignment="1">
      <alignment horizontal="left" vertical="center"/>
    </xf>
    <xf numFmtId="164" fontId="4" fillId="22" borderId="56" xfId="27" applyNumberFormat="1" applyFont="1" applyFill="1" applyBorder="1" applyAlignment="1">
      <alignment horizontal="left" vertical="center"/>
    </xf>
    <xf numFmtId="164" fontId="17" fillId="0" borderId="68" xfId="27" applyNumberFormat="1" applyFont="1" applyBorder="1" applyAlignment="1">
      <alignment horizontal="left" vertical="center"/>
    </xf>
    <xf numFmtId="164" fontId="17" fillId="0" borderId="3" xfId="27" applyNumberFormat="1" applyFont="1" applyBorder="1" applyAlignment="1">
      <alignment horizontal="left" vertical="center"/>
    </xf>
    <xf numFmtId="164" fontId="17" fillId="0" borderId="2" xfId="27" applyNumberFormat="1" applyFont="1" applyBorder="1" applyAlignment="1">
      <alignment horizontal="left" vertical="center"/>
    </xf>
    <xf numFmtId="164" fontId="17" fillId="0" borderId="39" xfId="27" applyNumberFormat="1" applyFont="1" applyBorder="1" applyAlignment="1">
      <alignment horizontal="left" vertical="center"/>
    </xf>
    <xf numFmtId="164" fontId="17" fillId="0" borderId="56" xfId="27" applyNumberFormat="1" applyFont="1" applyBorder="1" applyAlignment="1">
      <alignment horizontal="left" vertical="center"/>
    </xf>
    <xf numFmtId="0" fontId="17" fillId="0" borderId="58" xfId="0" applyFont="1" applyBorder="1" applyAlignment="1">
      <alignment horizontal="left" vertical="center"/>
    </xf>
    <xf numFmtId="164" fontId="17" fillId="22" borderId="41" xfId="27" applyNumberFormat="1" applyFont="1" applyFill="1" applyBorder="1" applyAlignment="1">
      <alignment horizontal="left" vertical="center"/>
    </xf>
    <xf numFmtId="164" fontId="17" fillId="22" borderId="1" xfId="27" applyNumberFormat="1" applyFont="1" applyFill="1" applyBorder="1" applyAlignment="1">
      <alignment horizontal="left" vertical="center"/>
    </xf>
    <xf numFmtId="164" fontId="4" fillId="22" borderId="58" xfId="27" applyNumberFormat="1" applyFont="1" applyFill="1" applyBorder="1" applyAlignment="1">
      <alignment horizontal="left" vertical="center"/>
    </xf>
    <xf numFmtId="164" fontId="17" fillId="0" borderId="41" xfId="27" applyNumberFormat="1" applyFont="1" applyBorder="1" applyAlignment="1">
      <alignment horizontal="left" vertical="center"/>
    </xf>
    <xf numFmtId="164" fontId="17" fillId="0" borderId="1" xfId="27" applyNumberFormat="1" applyFont="1" applyBorder="1" applyAlignment="1">
      <alignment horizontal="left" vertical="center"/>
    </xf>
    <xf numFmtId="164" fontId="17" fillId="0" borderId="5" xfId="27" applyNumberFormat="1" applyFont="1" applyBorder="1" applyAlignment="1">
      <alignment horizontal="left" vertical="center"/>
    </xf>
    <xf numFmtId="164" fontId="17" fillId="0" borderId="37" xfId="27" applyNumberFormat="1" applyFont="1" applyBorder="1" applyAlignment="1">
      <alignment horizontal="left" vertical="center"/>
    </xf>
    <xf numFmtId="164" fontId="17" fillId="0" borderId="58" xfId="27" applyNumberFormat="1" applyFont="1" applyBorder="1" applyAlignment="1">
      <alignment horizontal="left" vertical="center"/>
    </xf>
    <xf numFmtId="0" fontId="17" fillId="0" borderId="57" xfId="0" applyFont="1" applyBorder="1" applyAlignment="1">
      <alignment horizontal="left" vertical="center"/>
    </xf>
    <xf numFmtId="164" fontId="17" fillId="22" borderId="69" xfId="27" applyNumberFormat="1" applyFont="1" applyFill="1" applyBorder="1" applyAlignment="1">
      <alignment horizontal="left" vertical="center"/>
    </xf>
    <xf numFmtId="164" fontId="17" fillId="22" borderId="8" xfId="27" applyNumberFormat="1" applyFont="1" applyFill="1" applyBorder="1" applyAlignment="1">
      <alignment horizontal="left" vertical="center"/>
    </xf>
    <xf numFmtId="164" fontId="4" fillId="22" borderId="57" xfId="27" applyNumberFormat="1" applyFont="1" applyFill="1" applyBorder="1" applyAlignment="1">
      <alignment horizontal="left" vertical="center"/>
    </xf>
    <xf numFmtId="164" fontId="17" fillId="0" borderId="69" xfId="27" applyNumberFormat="1" applyFont="1" applyBorder="1" applyAlignment="1">
      <alignment horizontal="left" vertical="center"/>
    </xf>
    <xf numFmtId="164" fontId="17" fillId="0" borderId="8" xfId="27" applyNumberFormat="1" applyFont="1" applyBorder="1" applyAlignment="1">
      <alignment horizontal="left" vertical="center"/>
    </xf>
    <xf numFmtId="164" fontId="17" fillId="0" borderId="48" xfId="27" applyNumberFormat="1" applyFont="1" applyBorder="1" applyAlignment="1">
      <alignment horizontal="left" vertical="center"/>
    </xf>
    <xf numFmtId="164" fontId="17" fillId="0" borderId="16" xfId="27" applyNumberFormat="1" applyFont="1" applyBorder="1" applyAlignment="1">
      <alignment horizontal="left" vertical="center"/>
    </xf>
    <xf numFmtId="164" fontId="17" fillId="0" borderId="57" xfId="27" applyNumberFormat="1" applyFont="1" applyBorder="1" applyAlignment="1">
      <alignment horizontal="left" vertical="center"/>
    </xf>
    <xf numFmtId="0" fontId="17" fillId="0" borderId="28" xfId="0" applyFont="1" applyBorder="1" applyAlignment="1">
      <alignment horizontal="center" vertical="center"/>
    </xf>
    <xf numFmtId="0" fontId="17" fillId="0" borderId="72" xfId="0" applyFont="1" applyBorder="1" applyAlignment="1">
      <alignment horizontal="left" vertical="center"/>
    </xf>
    <xf numFmtId="164" fontId="17" fillId="22" borderId="60" xfId="27" applyNumberFormat="1" applyFont="1" applyFill="1" applyBorder="1" applyAlignment="1">
      <alignment horizontal="left" vertical="center"/>
    </xf>
    <xf numFmtId="164" fontId="17" fillId="22" borderId="11" xfId="27" applyNumberFormat="1" applyFont="1" applyFill="1" applyBorder="1" applyAlignment="1">
      <alignment horizontal="left" vertical="center"/>
    </xf>
    <xf numFmtId="164" fontId="4" fillId="22" borderId="72" xfId="27" applyNumberFormat="1" applyFont="1" applyFill="1" applyBorder="1" applyAlignment="1">
      <alignment horizontal="left" vertical="center"/>
    </xf>
    <xf numFmtId="164" fontId="17" fillId="0" borderId="60" xfId="27" applyNumberFormat="1" applyFont="1" applyBorder="1" applyAlignment="1">
      <alignment horizontal="left" vertical="center"/>
    </xf>
    <xf numFmtId="164" fontId="17" fillId="0" borderId="11" xfId="27" applyNumberFormat="1" applyFont="1" applyBorder="1" applyAlignment="1">
      <alignment horizontal="left" vertical="center"/>
    </xf>
    <xf numFmtId="164" fontId="17" fillId="0" borderId="74" xfId="27" applyNumberFormat="1" applyFont="1" applyBorder="1" applyAlignment="1">
      <alignment horizontal="left" vertical="center"/>
    </xf>
    <xf numFmtId="164" fontId="17" fillId="0" borderId="42" xfId="27" applyNumberFormat="1" applyFont="1" applyBorder="1" applyAlignment="1">
      <alignment horizontal="left" vertical="center"/>
    </xf>
    <xf numFmtId="0" fontId="17" fillId="0" borderId="75" xfId="0" applyFont="1" applyBorder="1" applyAlignment="1">
      <alignment horizontal="left" vertical="center"/>
    </xf>
    <xf numFmtId="164" fontId="17" fillId="22" borderId="55" xfId="27" applyNumberFormat="1" applyFont="1" applyFill="1" applyBorder="1" applyAlignment="1">
      <alignment horizontal="left" vertical="center"/>
    </xf>
    <xf numFmtId="164" fontId="17" fillId="22" borderId="16" xfId="27" applyNumberFormat="1" applyFont="1" applyFill="1" applyBorder="1" applyAlignment="1">
      <alignment horizontal="left" vertical="center"/>
    </xf>
    <xf numFmtId="164" fontId="4" fillId="22" borderId="75" xfId="27" applyNumberFormat="1" applyFont="1" applyFill="1" applyBorder="1" applyAlignment="1">
      <alignment horizontal="left" vertical="center"/>
    </xf>
    <xf numFmtId="164" fontId="17" fillId="0" borderId="55" xfId="27" applyNumberFormat="1" applyFont="1" applyBorder="1" applyAlignment="1">
      <alignment horizontal="left" vertical="center"/>
    </xf>
    <xf numFmtId="164" fontId="17" fillId="0" borderId="7" xfId="27" applyNumberFormat="1" applyFont="1" applyBorder="1" applyAlignment="1">
      <alignment horizontal="left" vertical="center"/>
    </xf>
    <xf numFmtId="164" fontId="17" fillId="0" borderId="40" xfId="27" applyNumberFormat="1" applyFont="1" applyBorder="1" applyAlignment="1">
      <alignment horizontal="left" vertical="center"/>
    </xf>
    <xf numFmtId="164" fontId="17" fillId="0" borderId="73" xfId="27" applyNumberFormat="1" applyFont="1" applyBorder="1" applyAlignment="1">
      <alignment horizontal="left" vertical="center"/>
    </xf>
    <xf numFmtId="164" fontId="17" fillId="22" borderId="2" xfId="27" applyNumberFormat="1" applyFont="1" applyFill="1" applyBorder="1" applyAlignment="1">
      <alignment horizontal="left" vertical="center"/>
    </xf>
    <xf numFmtId="164" fontId="17" fillId="0" borderId="10" xfId="27" applyNumberFormat="1" applyFont="1" applyBorder="1" applyAlignment="1">
      <alignment horizontal="left" vertical="center"/>
    </xf>
    <xf numFmtId="164" fontId="17" fillId="22" borderId="5" xfId="27" applyNumberFormat="1" applyFont="1" applyFill="1" applyBorder="1" applyAlignment="1">
      <alignment horizontal="left" vertical="center"/>
    </xf>
    <xf numFmtId="164" fontId="17" fillId="22" borderId="7" xfId="27" applyNumberFormat="1" applyFont="1" applyFill="1" applyBorder="1" applyAlignment="1">
      <alignment horizontal="left" vertical="center"/>
    </xf>
    <xf numFmtId="164" fontId="17" fillId="22" borderId="50" xfId="27" applyNumberFormat="1" applyFont="1" applyFill="1" applyBorder="1" applyAlignment="1">
      <alignment horizontal="left" vertical="center"/>
    </xf>
    <xf numFmtId="164" fontId="17" fillId="22" borderId="37" xfId="27" applyNumberFormat="1" applyFont="1" applyFill="1" applyBorder="1" applyAlignment="1">
      <alignment horizontal="left" vertical="center"/>
    </xf>
    <xf numFmtId="164" fontId="17" fillId="22" borderId="59" xfId="27" applyNumberFormat="1" applyFont="1" applyFill="1" applyBorder="1" applyAlignment="1">
      <alignment horizontal="left" vertical="center"/>
    </xf>
    <xf numFmtId="164" fontId="17" fillId="22" borderId="40" xfId="27" applyNumberFormat="1" applyFont="1" applyFill="1" applyBorder="1" applyAlignment="1">
      <alignment horizontal="left" vertical="center"/>
    </xf>
    <xf numFmtId="164" fontId="17" fillId="0" borderId="43" xfId="27" applyNumberFormat="1" applyFont="1" applyBorder="1" applyAlignment="1">
      <alignment horizontal="left" vertical="center"/>
    </xf>
    <xf numFmtId="0" fontId="22" fillId="0" borderId="0" xfId="0" applyFont="1" applyAlignment="1">
      <alignment horizontal="right" vertical="center"/>
    </xf>
    <xf numFmtId="0" fontId="22" fillId="2" borderId="0" xfId="0" applyFont="1" applyFill="1" applyAlignment="1">
      <alignment vertical="center"/>
    </xf>
    <xf numFmtId="0" fontId="22" fillId="0" borderId="1" xfId="0" applyFont="1" applyBorder="1" applyAlignment="1">
      <alignment vertical="center"/>
    </xf>
    <xf numFmtId="164" fontId="22" fillId="2" borderId="0" xfId="3" applyNumberFormat="1" applyFont="1" applyFill="1" applyBorder="1" applyAlignment="1">
      <alignment vertical="center"/>
    </xf>
    <xf numFmtId="0" fontId="22" fillId="2" borderId="11" xfId="0" applyFont="1" applyFill="1" applyBorder="1" applyAlignment="1">
      <alignment horizontal="center" vertical="center"/>
    </xf>
    <xf numFmtId="0" fontId="22" fillId="2" borderId="34"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16" xfId="0" applyFont="1" applyFill="1" applyBorder="1" applyAlignment="1">
      <alignment horizontal="center" vertical="center"/>
    </xf>
    <xf numFmtId="0" fontId="22" fillId="2" borderId="35" xfId="0" applyFont="1" applyFill="1" applyBorder="1" applyAlignment="1">
      <alignment horizontal="center" vertical="center"/>
    </xf>
    <xf numFmtId="0" fontId="22" fillId="2" borderId="33" xfId="0" applyFont="1" applyFill="1" applyBorder="1" applyAlignment="1">
      <alignment horizontal="center" vertical="center"/>
    </xf>
    <xf numFmtId="0" fontId="41" fillId="0" borderId="0" xfId="0" applyFont="1" applyAlignment="1">
      <alignment vertical="center"/>
    </xf>
    <xf numFmtId="0" fontId="21" fillId="9" borderId="19" xfId="0" applyFont="1" applyFill="1" applyBorder="1" applyAlignment="1">
      <alignment horizontal="center" vertical="center"/>
    </xf>
    <xf numFmtId="0" fontId="21" fillId="9" borderId="20" xfId="0" applyFont="1" applyFill="1" applyBorder="1" applyAlignment="1">
      <alignment horizontal="left" vertical="center"/>
    </xf>
    <xf numFmtId="0" fontId="21" fillId="9" borderId="20" xfId="0" applyFont="1" applyFill="1" applyBorder="1"/>
    <xf numFmtId="0" fontId="21" fillId="9" borderId="25" xfId="0" applyFont="1" applyFill="1" applyBorder="1"/>
    <xf numFmtId="0" fontId="22" fillId="9" borderId="61" xfId="0" applyFont="1" applyFill="1" applyBorder="1" applyAlignment="1">
      <alignment vertical="center"/>
    </xf>
    <xf numFmtId="0" fontId="22" fillId="0" borderId="2" xfId="0" applyFont="1" applyBorder="1" applyAlignment="1">
      <alignment horizontal="center" vertical="center"/>
    </xf>
    <xf numFmtId="171" fontId="22" fillId="0" borderId="3" xfId="1" applyNumberFormat="1" applyFont="1" applyBorder="1" applyAlignment="1">
      <alignment horizontal="left"/>
    </xf>
    <xf numFmtId="171" fontId="22" fillId="0" borderId="39" xfId="1" applyNumberFormat="1" applyFont="1" applyBorder="1" applyAlignment="1">
      <alignment horizontal="left"/>
    </xf>
    <xf numFmtId="0" fontId="22" fillId="0" borderId="5" xfId="0" applyFont="1" applyBorder="1" applyAlignment="1">
      <alignment horizontal="center" vertical="center"/>
    </xf>
    <xf numFmtId="171" fontId="22" fillId="0" borderId="1" xfId="1" applyNumberFormat="1" applyFont="1" applyBorder="1" applyAlignment="1">
      <alignment horizontal="left"/>
    </xf>
    <xf numFmtId="171" fontId="22" fillId="0" borderId="37" xfId="1" applyNumberFormat="1" applyFont="1" applyBorder="1" applyAlignment="1">
      <alignment horizontal="left"/>
    </xf>
    <xf numFmtId="0" fontId="22" fillId="0" borderId="7" xfId="0" applyFont="1" applyBorder="1" applyAlignment="1">
      <alignment horizontal="center" vertical="center"/>
    </xf>
    <xf numFmtId="171" fontId="22" fillId="0" borderId="8" xfId="1" applyNumberFormat="1" applyFont="1" applyBorder="1" applyAlignment="1">
      <alignment horizontal="left"/>
    </xf>
    <xf numFmtId="171" fontId="22" fillId="0" borderId="40" xfId="1" applyNumberFormat="1" applyFont="1" applyBorder="1" applyAlignment="1">
      <alignment horizontal="left"/>
    </xf>
    <xf numFmtId="0" fontId="22" fillId="9" borderId="79" xfId="0" applyFont="1" applyFill="1" applyBorder="1" applyAlignment="1">
      <alignment horizontal="center" vertical="center"/>
    </xf>
    <xf numFmtId="0" fontId="22" fillId="9" borderId="17" xfId="0" applyFont="1" applyFill="1" applyBorder="1" applyAlignment="1">
      <alignment horizontal="center" vertical="center"/>
    </xf>
    <xf numFmtId="0" fontId="22" fillId="9" borderId="36" xfId="0" applyFont="1" applyFill="1" applyBorder="1" applyAlignment="1">
      <alignment horizontal="center" vertical="center"/>
    </xf>
    <xf numFmtId="44" fontId="22" fillId="0" borderId="3" xfId="3" applyFont="1" applyBorder="1" applyAlignment="1">
      <alignment horizontal="center" vertical="center"/>
    </xf>
    <xf numFmtId="44" fontId="22" fillId="0" borderId="39" xfId="3" applyFont="1" applyBorder="1" applyAlignment="1">
      <alignment horizontal="center" vertical="center"/>
    </xf>
    <xf numFmtId="44" fontId="22" fillId="0" borderId="39" xfId="0" applyNumberFormat="1" applyFont="1" applyBorder="1" applyAlignment="1">
      <alignment vertical="center"/>
    </xf>
    <xf numFmtId="44" fontId="22" fillId="0" borderId="1" xfId="3" applyFont="1" applyBorder="1" applyAlignment="1">
      <alignment horizontal="center" vertical="center"/>
    </xf>
    <xf numFmtId="44" fontId="22" fillId="0" borderId="37" xfId="3" applyFont="1" applyBorder="1" applyAlignment="1">
      <alignment horizontal="center" vertical="center"/>
    </xf>
    <xf numFmtId="44" fontId="22" fillId="0" borderId="37" xfId="0" applyNumberFormat="1" applyFont="1" applyBorder="1" applyAlignment="1">
      <alignment vertical="center"/>
    </xf>
    <xf numFmtId="44" fontId="22" fillId="0" borderId="8" xfId="3" applyFont="1" applyBorder="1" applyAlignment="1">
      <alignment horizontal="center" vertical="center"/>
    </xf>
    <xf numFmtId="44" fontId="22" fillId="0" borderId="40" xfId="0" applyNumberFormat="1" applyFont="1" applyBorder="1" applyAlignment="1">
      <alignment vertical="center"/>
    </xf>
    <xf numFmtId="0" fontId="22" fillId="2" borderId="2" xfId="0" applyFont="1" applyFill="1" applyBorder="1" applyAlignment="1">
      <alignment vertical="center"/>
    </xf>
    <xf numFmtId="164" fontId="22" fillId="2" borderId="3" xfId="0" applyNumberFormat="1" applyFont="1" applyFill="1" applyBorder="1" applyAlignment="1">
      <alignment vertical="center"/>
    </xf>
    <xf numFmtId="0" fontId="22" fillId="2" borderId="5" xfId="0" applyFont="1" applyFill="1" applyBorder="1" applyAlignment="1">
      <alignment vertical="center"/>
    </xf>
    <xf numFmtId="164" fontId="22" fillId="2" borderId="1" xfId="0" applyNumberFormat="1" applyFont="1" applyFill="1" applyBorder="1" applyAlignment="1">
      <alignment vertical="center"/>
    </xf>
    <xf numFmtId="0" fontId="22" fillId="2" borderId="7" xfId="0" applyFont="1" applyFill="1" applyBorder="1" applyAlignment="1">
      <alignment vertical="center"/>
    </xf>
    <xf numFmtId="164" fontId="22" fillId="2" borderId="8" xfId="0" applyNumberFormat="1" applyFont="1" applyFill="1" applyBorder="1" applyAlignment="1">
      <alignment vertical="center"/>
    </xf>
    <xf numFmtId="0" fontId="4" fillId="0" borderId="47" xfId="0" applyFont="1" applyBorder="1" applyAlignment="1">
      <alignment horizontal="center" vertical="center" wrapText="1"/>
    </xf>
    <xf numFmtId="0" fontId="4" fillId="0" borderId="47" xfId="0" applyFont="1" applyBorder="1" applyAlignment="1">
      <alignment horizontal="center" vertical="center"/>
    </xf>
    <xf numFmtId="2" fontId="4" fillId="3" borderId="61" xfId="0" applyNumberFormat="1" applyFont="1" applyFill="1" applyBorder="1" applyAlignment="1">
      <alignment vertical="center"/>
    </xf>
    <xf numFmtId="44" fontId="4" fillId="3" borderId="61" xfId="3" applyFont="1" applyFill="1" applyBorder="1" applyAlignment="1">
      <alignment vertical="center"/>
    </xf>
    <xf numFmtId="44" fontId="17" fillId="0" borderId="0" xfId="3" applyFont="1" applyBorder="1" applyAlignment="1">
      <alignment vertical="center"/>
    </xf>
    <xf numFmtId="0" fontId="18" fillId="2" borderId="0" xfId="0" applyFont="1" applyFill="1" applyAlignment="1">
      <alignment horizontal="center" vertical="center"/>
    </xf>
    <xf numFmtId="0" fontId="49" fillId="0" borderId="0" xfId="0" applyFont="1" applyAlignment="1">
      <alignment horizontal="left" vertical="center"/>
    </xf>
    <xf numFmtId="0" fontId="50" fillId="2" borderId="0" xfId="0" applyFont="1" applyFill="1" applyAlignment="1">
      <alignment vertical="center" wrapText="1"/>
    </xf>
    <xf numFmtId="0" fontId="45" fillId="2" borderId="0" xfId="0" applyFont="1" applyFill="1" applyAlignment="1">
      <alignment horizontal="center" vertical="center" wrapText="1"/>
    </xf>
    <xf numFmtId="9" fontId="43" fillId="2" borderId="0" xfId="0" applyNumberFormat="1" applyFont="1" applyFill="1" applyAlignment="1">
      <alignment vertical="center" wrapText="1"/>
    </xf>
    <xf numFmtId="44" fontId="43" fillId="2" borderId="0" xfId="3" applyFont="1" applyFill="1" applyBorder="1" applyAlignment="1" applyProtection="1">
      <alignment horizontal="center" vertical="center"/>
    </xf>
    <xf numFmtId="0" fontId="24" fillId="0" borderId="0" xfId="0" applyFont="1" applyAlignment="1">
      <alignment horizontal="center" vertical="center"/>
    </xf>
    <xf numFmtId="0" fontId="15" fillId="2" borderId="0" xfId="0" applyFont="1" applyFill="1" applyAlignment="1">
      <alignment vertical="center"/>
    </xf>
    <xf numFmtId="0" fontId="24" fillId="2" borderId="0" xfId="0" applyFont="1" applyFill="1" applyAlignment="1">
      <alignment horizontal="center" vertical="center" wrapText="1"/>
    </xf>
    <xf numFmtId="9" fontId="24" fillId="2" borderId="0" xfId="0" applyNumberFormat="1" applyFont="1" applyFill="1" applyAlignment="1">
      <alignment horizontal="center" vertical="center" wrapText="1"/>
    </xf>
    <xf numFmtId="44" fontId="15" fillId="2" borderId="0" xfId="3" applyFont="1" applyFill="1" applyBorder="1" applyAlignment="1" applyProtection="1">
      <alignment horizontal="center" vertical="center"/>
    </xf>
    <xf numFmtId="0" fontId="24" fillId="0" borderId="0" xfId="0" applyFont="1" applyAlignment="1">
      <alignment vertical="center"/>
    </xf>
    <xf numFmtId="0" fontId="24" fillId="2" borderId="0" xfId="0" applyFont="1" applyFill="1" applyAlignment="1">
      <alignment horizontal="center" vertical="center"/>
    </xf>
    <xf numFmtId="0" fontId="15" fillId="2" borderId="0" xfId="0" applyFont="1" applyFill="1" applyAlignment="1">
      <alignment horizontal="center" vertical="center"/>
    </xf>
    <xf numFmtId="0" fontId="47" fillId="2" borderId="0" xfId="0" applyFont="1" applyFill="1" applyAlignment="1">
      <alignment horizontal="center" vertical="center"/>
    </xf>
    <xf numFmtId="0" fontId="24" fillId="2" borderId="0" xfId="0" applyFont="1" applyFill="1" applyAlignment="1">
      <alignment vertical="center" wrapText="1"/>
    </xf>
    <xf numFmtId="0" fontId="24" fillId="0" borderId="0" xfId="0" applyFont="1" applyAlignment="1">
      <alignment horizontal="center" vertical="center" wrapText="1"/>
    </xf>
    <xf numFmtId="0" fontId="51" fillId="2" borderId="11" xfId="0" applyFont="1" applyFill="1" applyBorder="1" applyAlignment="1" applyProtection="1">
      <alignment horizontal="center" vertical="center"/>
      <protection locked="0"/>
    </xf>
    <xf numFmtId="0" fontId="24" fillId="2" borderId="68" xfId="0" applyFont="1" applyFill="1" applyBorder="1" applyAlignment="1" applyProtection="1">
      <alignment horizontal="center" vertical="center"/>
      <protection locked="0"/>
    </xf>
    <xf numFmtId="0" fontId="24" fillId="2" borderId="3" xfId="0" applyFont="1" applyFill="1" applyBorder="1" applyAlignment="1" applyProtection="1">
      <alignment horizontal="center" vertical="center"/>
      <protection locked="0"/>
    </xf>
    <xf numFmtId="0" fontId="24" fillId="2" borderId="4" xfId="0" applyFont="1" applyFill="1" applyBorder="1" applyAlignment="1" applyProtection="1">
      <alignment horizontal="center" vertical="center"/>
      <protection locked="0"/>
    </xf>
    <xf numFmtId="0" fontId="51" fillId="2" borderId="1" xfId="0" applyFont="1" applyFill="1" applyBorder="1" applyAlignment="1" applyProtection="1">
      <alignment horizontal="center" vertical="center"/>
      <protection locked="0"/>
    </xf>
    <xf numFmtId="0" fontId="24" fillId="2" borderId="6" xfId="0" applyFont="1" applyFill="1" applyBorder="1" applyAlignment="1" applyProtection="1">
      <alignment horizontal="center" vertical="center"/>
      <protection locked="0"/>
    </xf>
    <xf numFmtId="0" fontId="24" fillId="2" borderId="41" xfId="0" applyFont="1" applyFill="1" applyBorder="1" applyAlignment="1" applyProtection="1">
      <alignment horizontal="center" vertical="center"/>
      <protection locked="0"/>
    </xf>
    <xf numFmtId="0" fontId="24" fillId="2" borderId="1" xfId="0" applyFont="1" applyFill="1" applyBorder="1" applyAlignment="1" applyProtection="1">
      <alignment horizontal="center" vertical="center"/>
      <protection locked="0"/>
    </xf>
    <xf numFmtId="0" fontId="51" fillId="2" borderId="16" xfId="0" applyFont="1" applyFill="1" applyBorder="1" applyAlignment="1" applyProtection="1">
      <alignment horizontal="center" vertical="center"/>
      <protection locked="0"/>
    </xf>
    <xf numFmtId="0" fontId="24" fillId="2" borderId="9" xfId="0" applyFont="1" applyFill="1" applyBorder="1" applyAlignment="1" applyProtection="1">
      <alignment horizontal="center" vertical="center"/>
      <protection locked="0"/>
    </xf>
    <xf numFmtId="0" fontId="24" fillId="2" borderId="8" xfId="0" applyFont="1" applyFill="1" applyBorder="1" applyAlignment="1" applyProtection="1">
      <alignment horizontal="center" vertical="center"/>
      <protection locked="0"/>
    </xf>
    <xf numFmtId="0" fontId="22" fillId="0" borderId="0" xfId="0" applyFont="1" applyAlignment="1">
      <alignment horizontal="center" vertical="center" wrapText="1"/>
    </xf>
    <xf numFmtId="0" fontId="21" fillId="2" borderId="0" xfId="0" applyFont="1" applyFill="1" applyAlignment="1">
      <alignment horizontal="center" vertical="center" wrapText="1"/>
    </xf>
    <xf numFmtId="0" fontId="42" fillId="2" borderId="0" xfId="0" applyFont="1" applyFill="1" applyAlignment="1">
      <alignment horizontal="center" vertical="center"/>
    </xf>
    <xf numFmtId="0" fontId="22" fillId="2" borderId="0" xfId="0" applyFont="1" applyFill="1" applyAlignment="1">
      <alignment horizontal="center" vertical="center"/>
    </xf>
    <xf numFmtId="0" fontId="41" fillId="2" borderId="0" xfId="0" applyFont="1" applyFill="1" applyAlignment="1">
      <alignment horizontal="center" vertical="center"/>
    </xf>
    <xf numFmtId="0" fontId="51" fillId="3" borderId="5" xfId="0" applyFont="1" applyFill="1" applyBorder="1" applyAlignment="1" applyProtection="1">
      <alignment horizontal="center" vertical="center" wrapText="1"/>
      <protection locked="0"/>
    </xf>
    <xf numFmtId="0" fontId="51" fillId="3" borderId="41" xfId="0" applyFont="1" applyFill="1" applyBorder="1" applyAlignment="1" applyProtection="1">
      <alignment horizontal="center" vertical="center" wrapText="1"/>
      <protection locked="0"/>
    </xf>
    <xf numFmtId="0" fontId="51" fillId="3" borderId="1" xfId="0" applyFont="1" applyFill="1" applyBorder="1" applyAlignment="1" applyProtection="1">
      <alignment horizontal="center" vertical="center" wrapText="1"/>
      <protection locked="0"/>
    </xf>
    <xf numFmtId="0" fontId="24" fillId="3" borderId="1" xfId="0" applyFont="1" applyFill="1" applyBorder="1" applyAlignment="1" applyProtection="1">
      <alignment horizontal="center" vertical="center"/>
      <protection locked="0"/>
    </xf>
    <xf numFmtId="0" fontId="24" fillId="3" borderId="37" xfId="0" applyFont="1" applyFill="1" applyBorder="1" applyAlignment="1" applyProtection="1">
      <alignment horizontal="center" vertical="center"/>
      <protection locked="0"/>
    </xf>
    <xf numFmtId="0" fontId="51" fillId="3" borderId="11" xfId="0" applyFont="1" applyFill="1" applyBorder="1" applyAlignment="1" applyProtection="1">
      <alignment horizontal="center" vertical="center" wrapText="1"/>
      <protection locked="0"/>
    </xf>
    <xf numFmtId="0" fontId="9" fillId="2" borderId="0" xfId="4" applyFill="1" applyBorder="1" applyAlignment="1" applyProtection="1">
      <alignment horizontal="center"/>
    </xf>
    <xf numFmtId="0" fontId="41" fillId="3" borderId="32" xfId="0" applyFont="1" applyFill="1" applyBorder="1" applyAlignment="1">
      <alignment horizontal="center" vertical="center" wrapText="1"/>
    </xf>
    <xf numFmtId="0" fontId="60" fillId="2" borderId="0" xfId="0" applyFont="1" applyFill="1" applyAlignment="1">
      <alignment horizontal="center" vertical="center"/>
    </xf>
    <xf numFmtId="0" fontId="60" fillId="0" borderId="0" xfId="0" applyFont="1" applyAlignment="1">
      <alignment horizontal="center" vertical="center"/>
    </xf>
    <xf numFmtId="0" fontId="24" fillId="2" borderId="41" xfId="0" applyFont="1" applyFill="1" applyBorder="1" applyProtection="1">
      <protection locked="0"/>
    </xf>
    <xf numFmtId="0" fontId="65" fillId="0" borderId="0" xfId="0" applyFont="1" applyAlignment="1">
      <alignment horizontal="center" vertical="center"/>
    </xf>
    <xf numFmtId="0" fontId="45" fillId="0" borderId="0" xfId="0" applyFont="1" applyAlignment="1">
      <alignment horizontal="center" vertical="center"/>
    </xf>
    <xf numFmtId="0" fontId="15" fillId="0" borderId="0" xfId="0" applyFont="1" applyAlignment="1">
      <alignment horizontal="center" vertical="center"/>
    </xf>
    <xf numFmtId="0" fontId="24" fillId="2" borderId="3" xfId="0" applyFont="1" applyFill="1" applyBorder="1" applyAlignment="1" applyProtection="1">
      <alignment horizontal="center" vertical="center" wrapText="1"/>
      <protection locked="0"/>
    </xf>
    <xf numFmtId="0" fontId="24" fillId="2" borderId="4" xfId="0" applyFont="1" applyFill="1" applyBorder="1" applyAlignment="1" applyProtection="1">
      <alignment horizontal="center" vertical="center" wrapText="1"/>
      <protection locked="0"/>
    </xf>
    <xf numFmtId="0" fontId="24" fillId="2" borderId="5" xfId="0" applyFont="1" applyFill="1" applyBorder="1" applyAlignment="1" applyProtection="1">
      <alignment horizontal="center" vertical="center" wrapText="1"/>
      <protection locked="0"/>
    </xf>
    <xf numFmtId="0" fontId="24" fillId="2" borderId="1" xfId="0" applyFont="1" applyFill="1" applyBorder="1" applyAlignment="1" applyProtection="1">
      <alignment horizontal="center" vertical="center" wrapText="1"/>
      <protection locked="0"/>
    </xf>
    <xf numFmtId="0" fontId="15" fillId="2" borderId="1" xfId="0" applyFont="1" applyFill="1" applyBorder="1" applyAlignment="1" applyProtection="1">
      <alignment horizontal="center" vertical="center" wrapText="1"/>
      <protection locked="0"/>
    </xf>
    <xf numFmtId="0" fontId="24" fillId="2" borderId="6" xfId="0" applyFont="1" applyFill="1" applyBorder="1" applyAlignment="1" applyProtection="1">
      <alignment horizontal="center" vertical="center" wrapText="1"/>
      <protection locked="0"/>
    </xf>
    <xf numFmtId="0" fontId="15" fillId="2" borderId="6" xfId="0" applyFont="1" applyFill="1" applyBorder="1" applyAlignment="1" applyProtection="1">
      <alignment horizontal="center" vertical="center" wrapText="1"/>
      <protection locked="0"/>
    </xf>
    <xf numFmtId="0" fontId="24" fillId="2" borderId="6" xfId="0" applyFont="1" applyFill="1" applyBorder="1" applyAlignment="1" applyProtection="1">
      <alignment horizontal="left" vertical="center" wrapText="1"/>
      <protection locked="0"/>
    </xf>
    <xf numFmtId="0" fontId="24" fillId="2" borderId="5" xfId="0" applyFont="1" applyFill="1" applyBorder="1" applyAlignment="1" applyProtection="1">
      <alignment horizontal="center" vertical="center"/>
      <protection locked="0"/>
    </xf>
    <xf numFmtId="0" fontId="24" fillId="2" borderId="7" xfId="0" applyFont="1" applyFill="1" applyBorder="1" applyAlignment="1" applyProtection="1">
      <alignment horizontal="center" vertical="center"/>
      <protection locked="0"/>
    </xf>
    <xf numFmtId="0" fontId="15" fillId="2" borderId="8" xfId="0" applyFont="1" applyFill="1" applyBorder="1" applyAlignment="1" applyProtection="1">
      <alignment horizontal="center" vertical="center"/>
      <protection locked="0"/>
    </xf>
    <xf numFmtId="0" fontId="24" fillId="2" borderId="2" xfId="0" applyFont="1" applyFill="1" applyBorder="1" applyAlignment="1" applyProtection="1">
      <alignment horizontal="center" vertical="center"/>
      <protection locked="0"/>
    </xf>
    <xf numFmtId="0" fontId="51" fillId="2" borderId="3" xfId="0" applyFont="1" applyFill="1" applyBorder="1" applyAlignment="1" applyProtection="1">
      <alignment horizontal="center" vertical="center"/>
      <protection locked="0"/>
    </xf>
    <xf numFmtId="0" fontId="24" fillId="2" borderId="10" xfId="0" applyFont="1" applyFill="1" applyBorder="1" applyAlignment="1" applyProtection="1">
      <alignment horizontal="center" vertical="center"/>
      <protection locked="0"/>
    </xf>
    <xf numFmtId="0" fontId="24" fillId="2" borderId="11" xfId="0" applyFont="1" applyFill="1" applyBorder="1" applyAlignment="1" applyProtection="1">
      <alignment horizontal="center" vertical="center" wrapText="1"/>
      <protection locked="0"/>
    </xf>
    <xf numFmtId="0" fontId="24" fillId="2" borderId="34" xfId="0" applyFont="1" applyFill="1" applyBorder="1" applyAlignment="1" applyProtection="1">
      <alignment horizontal="center" vertical="center" wrapText="1"/>
      <protection locked="0"/>
    </xf>
    <xf numFmtId="0" fontId="24" fillId="2" borderId="60" xfId="0" applyFont="1" applyFill="1" applyBorder="1" applyAlignment="1" applyProtection="1">
      <alignment horizontal="center" vertical="center"/>
      <protection locked="0"/>
    </xf>
    <xf numFmtId="0" fontId="24" fillId="2" borderId="48" xfId="0" applyFont="1" applyFill="1" applyBorder="1" applyAlignment="1" applyProtection="1">
      <alignment horizontal="center" vertical="center"/>
      <protection locked="0"/>
    </xf>
    <xf numFmtId="0" fontId="24" fillId="2" borderId="16" xfId="0" applyFont="1" applyFill="1" applyBorder="1" applyAlignment="1" applyProtection="1">
      <alignment horizontal="center" vertical="center" wrapText="1"/>
      <protection locked="0"/>
    </xf>
    <xf numFmtId="0" fontId="24" fillId="2" borderId="35" xfId="0" applyFont="1" applyFill="1" applyBorder="1" applyAlignment="1" applyProtection="1">
      <alignment horizontal="center" vertical="center" wrapText="1"/>
      <protection locked="0"/>
    </xf>
    <xf numFmtId="0" fontId="24" fillId="2" borderId="55" xfId="0" applyFont="1" applyFill="1" applyBorder="1" applyAlignment="1" applyProtection="1">
      <alignment horizontal="center" vertical="center"/>
      <protection locked="0"/>
    </xf>
    <xf numFmtId="0" fontId="24" fillId="2" borderId="2" xfId="0" applyFont="1" applyFill="1" applyBorder="1" applyAlignment="1" applyProtection="1">
      <alignment vertical="center"/>
      <protection locked="0"/>
    </xf>
    <xf numFmtId="0" fontId="51" fillId="2" borderId="3" xfId="0" applyFont="1" applyFill="1" applyBorder="1" applyAlignment="1" applyProtection="1">
      <alignment vertical="center"/>
      <protection locked="0"/>
    </xf>
    <xf numFmtId="0" fontId="15" fillId="2" borderId="3" xfId="0" applyFont="1" applyFill="1" applyBorder="1" applyAlignment="1" applyProtection="1">
      <alignment vertical="center" wrapText="1"/>
      <protection locked="0"/>
    </xf>
    <xf numFmtId="0" fontId="15" fillId="2" borderId="4" xfId="0" applyFont="1" applyFill="1" applyBorder="1" applyAlignment="1" applyProtection="1">
      <alignment vertical="center" wrapText="1"/>
      <protection locked="0"/>
    </xf>
    <xf numFmtId="0" fontId="24" fillId="2" borderId="68" xfId="0" applyFont="1" applyFill="1" applyBorder="1" applyAlignment="1" applyProtection="1">
      <alignment vertical="center"/>
      <protection locked="0"/>
    </xf>
    <xf numFmtId="0" fontId="24" fillId="2" borderId="79" xfId="0" applyFont="1" applyFill="1" applyBorder="1" applyAlignment="1" applyProtection="1">
      <alignment vertical="center"/>
      <protection locked="0"/>
    </xf>
    <xf numFmtId="0" fontId="51" fillId="2" borderId="17" xfId="0" applyFont="1" applyFill="1" applyBorder="1" applyAlignment="1" applyProtection="1">
      <alignment vertical="center"/>
      <protection locked="0"/>
    </xf>
    <xf numFmtId="0" fontId="15" fillId="2" borderId="17" xfId="0" applyFont="1" applyFill="1" applyBorder="1" applyAlignment="1" applyProtection="1">
      <alignment vertical="center" wrapText="1"/>
      <protection locked="0"/>
    </xf>
    <xf numFmtId="0" fontId="15" fillId="2" borderId="36" xfId="0" applyFont="1" applyFill="1" applyBorder="1" applyAlignment="1" applyProtection="1">
      <alignment vertical="center" wrapText="1"/>
      <protection locked="0"/>
    </xf>
    <xf numFmtId="0" fontId="24" fillId="2" borderId="44" xfId="0" applyFont="1" applyFill="1" applyBorder="1" applyAlignment="1" applyProtection="1">
      <alignment vertical="center"/>
      <protection locked="0"/>
    </xf>
    <xf numFmtId="0" fontId="24" fillId="2" borderId="48" xfId="0" applyFont="1" applyFill="1" applyBorder="1" applyAlignment="1" applyProtection="1">
      <alignment vertical="center"/>
      <protection locked="0"/>
    </xf>
    <xf numFmtId="0" fontId="51" fillId="2" borderId="16" xfId="0" applyFont="1" applyFill="1" applyBorder="1" applyAlignment="1" applyProtection="1">
      <alignment vertical="center"/>
      <protection locked="0"/>
    </xf>
    <xf numFmtId="0" fontId="15" fillId="2" borderId="16" xfId="0" applyFont="1" applyFill="1" applyBorder="1" applyAlignment="1" applyProtection="1">
      <alignment vertical="center" wrapText="1"/>
      <protection locked="0"/>
    </xf>
    <xf numFmtId="0" fontId="15" fillId="2" borderId="35" xfId="0" applyFont="1" applyFill="1" applyBorder="1" applyAlignment="1" applyProtection="1">
      <alignment vertical="center" wrapText="1"/>
      <protection locked="0"/>
    </xf>
    <xf numFmtId="0" fontId="24" fillId="2" borderId="55" xfId="0" applyFont="1" applyFill="1" applyBorder="1" applyAlignment="1" applyProtection="1">
      <alignment vertical="center"/>
      <protection locked="0"/>
    </xf>
    <xf numFmtId="0" fontId="24" fillId="2" borderId="5" xfId="0" applyFont="1" applyFill="1" applyBorder="1" applyAlignment="1" applyProtection="1">
      <alignment vertical="center"/>
      <protection locked="0"/>
    </xf>
    <xf numFmtId="0" fontId="51" fillId="2" borderId="1" xfId="0" applyFont="1" applyFill="1" applyBorder="1" applyAlignment="1" applyProtection="1">
      <alignment vertical="center"/>
      <protection locked="0"/>
    </xf>
    <xf numFmtId="0" fontId="15" fillId="2" borderId="1" xfId="0" applyFont="1" applyFill="1" applyBorder="1" applyAlignment="1" applyProtection="1">
      <alignment vertical="center" wrapText="1"/>
      <protection locked="0"/>
    </xf>
    <xf numFmtId="0" fontId="15" fillId="2" borderId="6" xfId="0" applyFont="1" applyFill="1" applyBorder="1" applyAlignment="1" applyProtection="1">
      <alignment vertical="center" wrapText="1"/>
      <protection locked="0"/>
    </xf>
    <xf numFmtId="0" fontId="24" fillId="2" borderId="41" xfId="0" applyFont="1" applyFill="1" applyBorder="1" applyAlignment="1" applyProtection="1">
      <alignment vertical="center"/>
      <protection locked="0"/>
    </xf>
    <xf numFmtId="0" fontId="24" fillId="2" borderId="7" xfId="0" applyFont="1" applyFill="1" applyBorder="1" applyAlignment="1" applyProtection="1">
      <alignment vertical="center"/>
      <protection locked="0"/>
    </xf>
    <xf numFmtId="0" fontId="51" fillId="2" borderId="8" xfId="0" applyFont="1" applyFill="1" applyBorder="1" applyAlignment="1" applyProtection="1">
      <alignment vertical="center"/>
      <protection locked="0"/>
    </xf>
    <xf numFmtId="0" fontId="15" fillId="2" borderId="8" xfId="0" applyFont="1" applyFill="1" applyBorder="1" applyAlignment="1" applyProtection="1">
      <alignment horizontal="center" vertical="center" wrapText="1"/>
      <protection locked="0"/>
    </xf>
    <xf numFmtId="0" fontId="15" fillId="2" borderId="9" xfId="0" applyFont="1" applyFill="1" applyBorder="1" applyAlignment="1" applyProtection="1">
      <alignment horizontal="center" vertical="center" wrapText="1"/>
      <protection locked="0"/>
    </xf>
    <xf numFmtId="0" fontId="24" fillId="2" borderId="69" xfId="0" applyFont="1" applyFill="1" applyBorder="1" applyAlignment="1" applyProtection="1">
      <alignment vertical="center"/>
      <protection locked="0"/>
    </xf>
    <xf numFmtId="0" fontId="24" fillId="2" borderId="60" xfId="0" applyFont="1" applyFill="1" applyBorder="1" applyAlignment="1" applyProtection="1">
      <alignment vertical="center"/>
      <protection locked="0"/>
    </xf>
    <xf numFmtId="0" fontId="51" fillId="2" borderId="11" xfId="0" applyFont="1" applyFill="1" applyBorder="1" applyAlignment="1" applyProtection="1">
      <alignment vertical="center"/>
      <protection locked="0"/>
    </xf>
    <xf numFmtId="0" fontId="24" fillId="2" borderId="1" xfId="0" applyFont="1" applyFill="1" applyBorder="1" applyAlignment="1" applyProtection="1">
      <alignment vertical="center" wrapText="1"/>
      <protection locked="0"/>
    </xf>
    <xf numFmtId="0" fontId="24" fillId="2" borderId="6" xfId="0" applyFont="1" applyFill="1" applyBorder="1" applyAlignment="1" applyProtection="1">
      <alignment vertical="center" wrapText="1"/>
      <protection locked="0"/>
    </xf>
    <xf numFmtId="0" fontId="24" fillId="2" borderId="16" xfId="0" applyFont="1" applyFill="1" applyBorder="1" applyAlignment="1" applyProtection="1">
      <alignment vertical="center" wrapText="1"/>
      <protection locked="0"/>
    </xf>
    <xf numFmtId="0" fontId="24" fillId="2" borderId="35" xfId="0" applyFont="1" applyFill="1" applyBorder="1" applyAlignment="1" applyProtection="1">
      <alignment vertical="center" wrapText="1"/>
      <protection locked="0"/>
    </xf>
    <xf numFmtId="0" fontId="62" fillId="2" borderId="5" xfId="0" applyFont="1" applyFill="1" applyBorder="1" applyAlignment="1" applyProtection="1">
      <alignment vertical="center"/>
      <protection locked="0"/>
    </xf>
    <xf numFmtId="0" fontId="63" fillId="2" borderId="1" xfId="0" applyFont="1" applyFill="1" applyBorder="1" applyAlignment="1" applyProtection="1">
      <alignment vertical="center"/>
      <protection locked="0"/>
    </xf>
    <xf numFmtId="0" fontId="64" fillId="2" borderId="1" xfId="0" applyFont="1" applyFill="1" applyBorder="1" applyAlignment="1" applyProtection="1">
      <alignment vertical="center" wrapText="1"/>
      <protection locked="0"/>
    </xf>
    <xf numFmtId="0" fontId="64" fillId="2" borderId="6" xfId="0" applyFont="1" applyFill="1" applyBorder="1" applyAlignment="1" applyProtection="1">
      <alignment vertical="center" wrapText="1"/>
      <protection locked="0"/>
    </xf>
    <xf numFmtId="0" fontId="62" fillId="2" borderId="41" xfId="0" applyFont="1" applyFill="1" applyBorder="1" applyAlignment="1" applyProtection="1">
      <alignment vertical="center"/>
      <protection locked="0"/>
    </xf>
    <xf numFmtId="0" fontId="24" fillId="2" borderId="3" xfId="0" applyFont="1" applyFill="1" applyBorder="1" applyAlignment="1" applyProtection="1">
      <alignment vertical="center"/>
      <protection locked="0"/>
    </xf>
    <xf numFmtId="0" fontId="24" fillId="2" borderId="4" xfId="0" applyFont="1" applyFill="1" applyBorder="1" applyAlignment="1" applyProtection="1">
      <alignment vertical="center"/>
      <protection locked="0"/>
    </xf>
    <xf numFmtId="0" fontId="24" fillId="2" borderId="16" xfId="0" applyFont="1" applyFill="1" applyBorder="1" applyAlignment="1" applyProtection="1">
      <alignment horizontal="center" vertical="center"/>
      <protection locked="0"/>
    </xf>
    <xf numFmtId="0" fontId="24" fillId="2" borderId="35" xfId="0" applyFont="1" applyFill="1" applyBorder="1" applyAlignment="1" applyProtection="1">
      <alignment horizontal="center" vertical="center"/>
      <protection locked="0"/>
    </xf>
    <xf numFmtId="0" fontId="15" fillId="2" borderId="69" xfId="0" applyFont="1" applyFill="1" applyBorder="1" applyAlignment="1" applyProtection="1">
      <alignment vertical="center" wrapText="1"/>
      <protection locked="0"/>
    </xf>
    <xf numFmtId="0" fontId="15" fillId="2" borderId="8" xfId="0" applyFont="1" applyFill="1" applyBorder="1" applyAlignment="1" applyProtection="1">
      <alignment vertical="center" wrapText="1"/>
      <protection locked="0"/>
    </xf>
    <xf numFmtId="0" fontId="15" fillId="2" borderId="9" xfId="0" applyFont="1" applyFill="1" applyBorder="1" applyAlignment="1" applyProtection="1">
      <alignment vertical="center" wrapText="1"/>
      <protection locked="0"/>
    </xf>
    <xf numFmtId="0" fontId="15" fillId="2" borderId="2" xfId="0" applyFont="1" applyFill="1" applyBorder="1" applyAlignment="1" applyProtection="1">
      <alignment vertical="center" wrapText="1"/>
      <protection locked="0"/>
    </xf>
    <xf numFmtId="0" fontId="15" fillId="2" borderId="68" xfId="0" applyFont="1" applyFill="1" applyBorder="1" applyAlignment="1" applyProtection="1">
      <alignment vertical="center" wrapText="1"/>
      <protection locked="0"/>
    </xf>
    <xf numFmtId="0" fontId="15" fillId="2" borderId="5" xfId="0" applyFont="1" applyFill="1" applyBorder="1" applyAlignment="1" applyProtection="1">
      <alignment vertical="center" wrapText="1"/>
      <protection locked="0"/>
    </xf>
    <xf numFmtId="0" fontId="15" fillId="2" borderId="41" xfId="0" applyFont="1" applyFill="1" applyBorder="1" applyAlignment="1" applyProtection="1">
      <alignment vertical="center" wrapText="1"/>
      <protection locked="0"/>
    </xf>
    <xf numFmtId="0" fontId="15" fillId="2" borderId="48" xfId="0" applyFont="1" applyFill="1" applyBorder="1" applyAlignment="1" applyProtection="1">
      <alignment vertical="center" wrapText="1"/>
      <protection locked="0"/>
    </xf>
    <xf numFmtId="0" fontId="15" fillId="2" borderId="55" xfId="0" applyFont="1" applyFill="1" applyBorder="1" applyAlignment="1" applyProtection="1">
      <alignment vertical="center" wrapText="1"/>
      <protection locked="0"/>
    </xf>
    <xf numFmtId="0" fontId="15" fillId="2" borderId="7" xfId="0" applyFont="1" applyFill="1" applyBorder="1" applyAlignment="1" applyProtection="1">
      <alignment vertical="center" wrapText="1"/>
      <protection locked="0"/>
    </xf>
    <xf numFmtId="0" fontId="15" fillId="2" borderId="74" xfId="0" applyFont="1" applyFill="1" applyBorder="1" applyAlignment="1" applyProtection="1">
      <alignment vertical="center" wrapText="1"/>
      <protection locked="0"/>
    </xf>
    <xf numFmtId="0" fontId="15" fillId="2" borderId="42" xfId="0" applyFont="1" applyFill="1" applyBorder="1" applyAlignment="1" applyProtection="1">
      <alignment vertical="center" wrapText="1"/>
      <protection locked="0"/>
    </xf>
    <xf numFmtId="0" fontId="24" fillId="2" borderId="11" xfId="0" applyFont="1" applyFill="1" applyBorder="1" applyAlignment="1" applyProtection="1">
      <alignment vertical="center"/>
      <protection locked="0"/>
    </xf>
    <xf numFmtId="0" fontId="24" fillId="2" borderId="41" xfId="0" applyFont="1" applyFill="1" applyBorder="1" applyAlignment="1" applyProtection="1">
      <alignment horizontal="left" vertical="center" wrapText="1"/>
      <protection locked="0"/>
    </xf>
    <xf numFmtId="0" fontId="24" fillId="2" borderId="6" xfId="0" applyFont="1" applyFill="1" applyBorder="1" applyAlignment="1" applyProtection="1">
      <alignment vertical="center"/>
      <protection locked="0"/>
    </xf>
    <xf numFmtId="0" fontId="24" fillId="2" borderId="16" xfId="0" applyFont="1" applyFill="1" applyBorder="1" applyAlignment="1" applyProtection="1">
      <alignment vertical="center"/>
      <protection locked="0"/>
    </xf>
    <xf numFmtId="0" fontId="24" fillId="2" borderId="35" xfId="0" applyFont="1" applyFill="1" applyBorder="1" applyAlignment="1" applyProtection="1">
      <alignment vertical="center"/>
      <protection locked="0"/>
    </xf>
    <xf numFmtId="0" fontId="24" fillId="2" borderId="46" xfId="0" applyFont="1" applyFill="1" applyBorder="1" applyAlignment="1" applyProtection="1">
      <alignment horizontal="center" vertical="center" wrapText="1"/>
      <protection locked="0"/>
    </xf>
    <xf numFmtId="0" fontId="24" fillId="2" borderId="8" xfId="0" applyFont="1" applyFill="1" applyBorder="1" applyAlignment="1" applyProtection="1">
      <alignment vertical="center"/>
      <protection locked="0"/>
    </xf>
    <xf numFmtId="0" fontId="24" fillId="2" borderId="9" xfId="0" applyFont="1" applyFill="1" applyBorder="1" applyAlignment="1" applyProtection="1">
      <alignment vertical="center"/>
      <protection locked="0"/>
    </xf>
    <xf numFmtId="0" fontId="15" fillId="2" borderId="11" xfId="0" applyFont="1" applyFill="1" applyBorder="1" applyAlignment="1" applyProtection="1">
      <alignment vertical="center" wrapText="1"/>
      <protection locked="0"/>
    </xf>
    <xf numFmtId="0" fontId="24" fillId="2" borderId="34" xfId="0" applyFont="1" applyFill="1" applyBorder="1" applyAlignment="1" applyProtection="1">
      <alignment vertical="center"/>
      <protection locked="0"/>
    </xf>
    <xf numFmtId="0" fontId="24" fillId="2" borderId="1" xfId="0" applyFont="1" applyFill="1" applyBorder="1" applyAlignment="1" applyProtection="1">
      <alignment vertical="center"/>
      <protection locked="0"/>
    </xf>
    <xf numFmtId="49" fontId="24" fillId="2" borderId="1" xfId="0" applyNumberFormat="1" applyFont="1" applyFill="1" applyBorder="1" applyAlignment="1" applyProtection="1">
      <alignment vertical="center"/>
      <protection locked="0"/>
    </xf>
    <xf numFmtId="49" fontId="15" fillId="2" borderId="1" xfId="0" applyNumberFormat="1" applyFont="1" applyFill="1" applyBorder="1" applyAlignment="1" applyProtection="1">
      <alignment vertical="center"/>
      <protection locked="0"/>
    </xf>
    <xf numFmtId="0" fontId="41" fillId="4" borderId="11" xfId="0" applyFont="1" applyFill="1" applyBorder="1" applyAlignment="1">
      <alignment horizontal="center" vertical="center" wrapText="1"/>
    </xf>
    <xf numFmtId="0" fontId="41" fillId="4" borderId="1" xfId="0" applyFont="1" applyFill="1" applyBorder="1" applyAlignment="1">
      <alignment horizontal="center" vertical="center" wrapText="1"/>
    </xf>
    <xf numFmtId="0" fontId="57" fillId="2" borderId="11" xfId="0" applyFont="1" applyFill="1" applyBorder="1" applyAlignment="1" applyProtection="1">
      <alignment horizontal="center" vertical="center" wrapText="1"/>
      <protection locked="0"/>
    </xf>
    <xf numFmtId="0" fontId="21" fillId="2" borderId="1" xfId="0" applyFont="1" applyFill="1" applyBorder="1" applyAlignment="1" applyProtection="1">
      <alignment horizontal="center" vertical="center" wrapText="1"/>
      <protection locked="0"/>
    </xf>
    <xf numFmtId="0" fontId="23" fillId="2" borderId="0" xfId="0" applyFont="1" applyFill="1"/>
    <xf numFmtId="0" fontId="52" fillId="9" borderId="12" xfId="0" applyFont="1" applyFill="1" applyBorder="1"/>
    <xf numFmtId="0" fontId="52" fillId="9" borderId="13" xfId="0" applyFont="1" applyFill="1" applyBorder="1"/>
    <xf numFmtId="0" fontId="23" fillId="2" borderId="4" xfId="0" applyFont="1" applyFill="1" applyBorder="1" applyAlignment="1">
      <alignment horizontal="center"/>
    </xf>
    <xf numFmtId="0" fontId="52" fillId="9" borderId="51" xfId="0" applyFont="1" applyFill="1" applyBorder="1"/>
    <xf numFmtId="0" fontId="23" fillId="2" borderId="38" xfId="0" applyFont="1" applyFill="1" applyBorder="1" applyAlignment="1">
      <alignment horizontal="center"/>
    </xf>
    <xf numFmtId="0" fontId="53" fillId="9" borderId="38" xfId="0" applyFont="1" applyFill="1" applyBorder="1"/>
    <xf numFmtId="0" fontId="52" fillId="9" borderId="51" xfId="0" applyFont="1" applyFill="1" applyBorder="1" applyAlignment="1">
      <alignment vertical="center"/>
    </xf>
    <xf numFmtId="0" fontId="53" fillId="9" borderId="38" xfId="0" applyFont="1" applyFill="1" applyBorder="1" applyAlignment="1">
      <alignment vertical="top" wrapText="1"/>
    </xf>
    <xf numFmtId="0" fontId="23" fillId="2" borderId="42" xfId="0" applyFont="1" applyFill="1" applyBorder="1" applyAlignment="1">
      <alignment horizontal="center" vertical="center"/>
    </xf>
    <xf numFmtId="0" fontId="52" fillId="9" borderId="38" xfId="0" applyFont="1" applyFill="1" applyBorder="1" applyAlignment="1">
      <alignment vertical="center" wrapText="1"/>
    </xf>
    <xf numFmtId="0" fontId="52" fillId="9" borderId="1" xfId="0" applyFont="1" applyFill="1" applyBorder="1" applyAlignment="1">
      <alignment vertical="center" wrapText="1"/>
    </xf>
    <xf numFmtId="0" fontId="52" fillId="9" borderId="1" xfId="0" applyFont="1" applyFill="1" applyBorder="1"/>
    <xf numFmtId="0" fontId="53" fillId="2" borderId="0" xfId="0" applyFont="1" applyFill="1" applyAlignment="1">
      <alignment horizontal="center"/>
    </xf>
    <xf numFmtId="0" fontId="52" fillId="9" borderId="38" xfId="0" applyFont="1" applyFill="1" applyBorder="1"/>
    <xf numFmtId="0" fontId="23" fillId="2" borderId="6" xfId="0" applyFont="1" applyFill="1" applyBorder="1" applyAlignment="1">
      <alignment horizontal="center"/>
    </xf>
    <xf numFmtId="0" fontId="52" fillId="2" borderId="56" xfId="0" applyFont="1" applyFill="1" applyBorder="1"/>
    <xf numFmtId="0" fontId="52" fillId="2" borderId="58" xfId="0" applyFont="1" applyFill="1" applyBorder="1"/>
    <xf numFmtId="0" fontId="23" fillId="2" borderId="5" xfId="0" applyFont="1" applyFill="1" applyBorder="1"/>
    <xf numFmtId="0" fontId="23" fillId="2" borderId="6" xfId="0" applyFont="1" applyFill="1" applyBorder="1"/>
    <xf numFmtId="0" fontId="53" fillId="2" borderId="58" xfId="0" applyFont="1" applyFill="1" applyBorder="1"/>
    <xf numFmtId="0" fontId="23" fillId="2" borderId="5" xfId="0" applyFont="1" applyFill="1" applyBorder="1" applyAlignment="1">
      <alignment horizontal="center"/>
    </xf>
    <xf numFmtId="0" fontId="23" fillId="2" borderId="6" xfId="0" applyFont="1" applyFill="1" applyBorder="1" applyAlignment="1">
      <alignment horizontal="center" vertical="center"/>
    </xf>
    <xf numFmtId="0" fontId="52" fillId="2" borderId="57" xfId="0" applyFont="1" applyFill="1" applyBorder="1"/>
    <xf numFmtId="0" fontId="52" fillId="2" borderId="0" xfId="0" applyFont="1" applyFill="1"/>
    <xf numFmtId="0" fontId="53" fillId="9" borderId="51" xfId="0" applyFont="1" applyFill="1" applyBorder="1"/>
    <xf numFmtId="0" fontId="52" fillId="2" borderId="5" xfId="0" applyFont="1" applyFill="1" applyBorder="1" applyAlignment="1">
      <alignment horizontal="center" vertical="center"/>
    </xf>
    <xf numFmtId="0" fontId="52" fillId="2" borderId="1" xfId="0" applyFont="1" applyFill="1" applyBorder="1" applyAlignment="1">
      <alignment horizontal="center" vertical="center"/>
    </xf>
    <xf numFmtId="0" fontId="52" fillId="2" borderId="6" xfId="0" applyFont="1" applyFill="1" applyBorder="1" applyAlignment="1">
      <alignment horizontal="center" vertical="center"/>
    </xf>
    <xf numFmtId="0" fontId="52" fillId="9" borderId="49" xfId="0" applyFont="1" applyFill="1" applyBorder="1"/>
    <xf numFmtId="0" fontId="23" fillId="2" borderId="7" xfId="0" applyFont="1" applyFill="1" applyBorder="1" applyAlignment="1">
      <alignment horizontal="center"/>
    </xf>
    <xf numFmtId="0" fontId="52" fillId="9" borderId="8" xfId="0" applyFont="1" applyFill="1" applyBorder="1"/>
    <xf numFmtId="0" fontId="23" fillId="2" borderId="9" xfId="0" applyFont="1" applyFill="1" applyBorder="1"/>
    <xf numFmtId="0" fontId="52" fillId="9" borderId="46" xfId="0" applyFont="1" applyFill="1" applyBorder="1"/>
    <xf numFmtId="0" fontId="23" fillId="2" borderId="7" xfId="0" applyFont="1" applyFill="1" applyBorder="1" applyAlignment="1">
      <alignment horizontal="center" vertical="center"/>
    </xf>
    <xf numFmtId="0" fontId="23" fillId="2" borderId="9" xfId="0" applyFont="1" applyFill="1" applyBorder="1" applyAlignment="1">
      <alignment horizontal="center" vertical="center"/>
    </xf>
    <xf numFmtId="0" fontId="52" fillId="4" borderId="47" xfId="0" applyFont="1" applyFill="1" applyBorder="1" applyAlignment="1">
      <alignment horizontal="center"/>
    </xf>
    <xf numFmtId="0" fontId="52" fillId="4" borderId="71" xfId="0" applyFont="1" applyFill="1" applyBorder="1" applyAlignment="1">
      <alignment horizontal="center"/>
    </xf>
    <xf numFmtId="0" fontId="52" fillId="4" borderId="32" xfId="0" applyFont="1" applyFill="1" applyBorder="1" applyAlignment="1">
      <alignment horizontal="center"/>
    </xf>
    <xf numFmtId="0" fontId="52" fillId="4" borderId="33" xfId="0" applyFont="1" applyFill="1" applyBorder="1" applyAlignment="1">
      <alignment horizontal="center"/>
    </xf>
    <xf numFmtId="0" fontId="52" fillId="2" borderId="22" xfId="0" applyFont="1" applyFill="1" applyBorder="1" applyAlignment="1">
      <alignment horizontal="center"/>
    </xf>
    <xf numFmtId="0" fontId="52" fillId="2" borderId="77" xfId="0" applyFont="1" applyFill="1" applyBorder="1" applyAlignment="1">
      <alignment horizontal="center"/>
    </xf>
    <xf numFmtId="0" fontId="52" fillId="2" borderId="68" xfId="0" applyFont="1" applyFill="1" applyBorder="1" applyAlignment="1">
      <alignment horizontal="center"/>
    </xf>
    <xf numFmtId="0" fontId="52" fillId="2" borderId="14" xfId="0" applyFont="1" applyFill="1" applyBorder="1" applyAlignment="1">
      <alignment horizontal="center"/>
    </xf>
    <xf numFmtId="0" fontId="52" fillId="9" borderId="76" xfId="0" applyFont="1" applyFill="1" applyBorder="1" applyAlignment="1">
      <alignment wrapText="1"/>
    </xf>
    <xf numFmtId="0" fontId="23" fillId="2" borderId="2" xfId="0" applyFont="1" applyFill="1" applyBorder="1" applyAlignment="1">
      <alignment horizontal="center"/>
    </xf>
    <xf numFmtId="0" fontId="23" fillId="2" borderId="3" xfId="0" applyFont="1" applyFill="1" applyBorder="1" applyAlignment="1">
      <alignment horizontal="center"/>
    </xf>
    <xf numFmtId="0" fontId="53" fillId="9" borderId="76" xfId="0" applyFont="1" applyFill="1" applyBorder="1"/>
    <xf numFmtId="0" fontId="52" fillId="2" borderId="51" xfId="0" applyFont="1" applyFill="1" applyBorder="1" applyAlignment="1">
      <alignment vertical="center"/>
    </xf>
    <xf numFmtId="0" fontId="52" fillId="2" borderId="1" xfId="0" applyFont="1" applyFill="1" applyBorder="1" applyAlignment="1">
      <alignment vertical="center"/>
    </xf>
    <xf numFmtId="0" fontId="52" fillId="2" borderId="41" xfId="0" applyFont="1" applyFill="1" applyBorder="1" applyAlignment="1">
      <alignment vertical="center"/>
    </xf>
    <xf numFmtId="0" fontId="52" fillId="2" borderId="5" xfId="0" applyFont="1" applyFill="1" applyBorder="1" applyAlignment="1">
      <alignment vertical="center"/>
    </xf>
    <xf numFmtId="0" fontId="52" fillId="2" borderId="6" xfId="0" applyFont="1" applyFill="1" applyBorder="1" applyAlignment="1">
      <alignment vertical="center"/>
    </xf>
    <xf numFmtId="0" fontId="52" fillId="9" borderId="76" xfId="0" applyFont="1" applyFill="1" applyBorder="1"/>
    <xf numFmtId="0" fontId="52" fillId="2" borderId="7" xfId="0" applyFont="1" applyFill="1" applyBorder="1" applyAlignment="1">
      <alignment vertical="center"/>
    </xf>
    <xf numFmtId="0" fontId="52" fillId="2" borderId="8" xfId="0" applyFont="1" applyFill="1" applyBorder="1" applyAlignment="1">
      <alignment vertical="center"/>
    </xf>
    <xf numFmtId="0" fontId="52" fillId="2" borderId="9" xfId="0" applyFont="1" applyFill="1" applyBorder="1" applyAlignment="1">
      <alignment vertical="center"/>
    </xf>
    <xf numFmtId="0" fontId="52" fillId="2" borderId="2" xfId="0" applyFont="1" applyFill="1" applyBorder="1" applyAlignment="1">
      <alignment vertical="center"/>
    </xf>
    <xf numFmtId="0" fontId="52" fillId="2" borderId="3" xfId="0" applyFont="1" applyFill="1" applyBorder="1" applyAlignment="1">
      <alignment vertical="center"/>
    </xf>
    <xf numFmtId="0" fontId="52" fillId="2" borderId="4" xfId="0" applyFont="1" applyFill="1" applyBorder="1" applyAlignment="1">
      <alignment vertical="center"/>
    </xf>
    <xf numFmtId="0" fontId="52" fillId="9" borderId="28" xfId="0" applyFont="1" applyFill="1" applyBorder="1"/>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5"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1" xfId="0" applyFont="1" applyFill="1" applyBorder="1" applyAlignment="1">
      <alignment horizontal="center"/>
    </xf>
    <xf numFmtId="0" fontId="52" fillId="9" borderId="51" xfId="0" applyFont="1" applyFill="1" applyBorder="1" applyAlignment="1">
      <alignment wrapText="1"/>
    </xf>
    <xf numFmtId="0" fontId="23" fillId="2" borderId="8" xfId="0" applyFont="1" applyFill="1" applyBorder="1" applyAlignment="1">
      <alignment horizontal="center" vertical="center"/>
    </xf>
    <xf numFmtId="0" fontId="23" fillId="2" borderId="8" xfId="0" applyFont="1" applyFill="1" applyBorder="1" applyAlignment="1">
      <alignment horizontal="center"/>
    </xf>
    <xf numFmtId="0" fontId="23" fillId="2" borderId="9" xfId="0" applyFont="1" applyFill="1" applyBorder="1" applyAlignment="1">
      <alignment horizontal="center"/>
    </xf>
    <xf numFmtId="0" fontId="23" fillId="2" borderId="10" xfId="0" applyFont="1" applyFill="1" applyBorder="1" applyAlignment="1">
      <alignment horizontal="center"/>
    </xf>
    <xf numFmtId="0" fontId="23" fillId="2" borderId="11" xfId="0" applyFont="1" applyFill="1" applyBorder="1" applyAlignment="1">
      <alignment horizontal="center"/>
    </xf>
    <xf numFmtId="0" fontId="52" fillId="9" borderId="54" xfId="0" applyFont="1" applyFill="1" applyBorder="1" applyAlignment="1">
      <alignment wrapText="1"/>
    </xf>
    <xf numFmtId="0" fontId="23" fillId="2" borderId="79" xfId="0" applyFont="1" applyFill="1" applyBorder="1" applyAlignment="1">
      <alignment horizontal="center"/>
    </xf>
    <xf numFmtId="0" fontId="23" fillId="2" borderId="17" xfId="0" applyFont="1" applyFill="1" applyBorder="1" applyAlignment="1">
      <alignment horizontal="center"/>
    </xf>
    <xf numFmtId="0" fontId="53" fillId="9" borderId="37" xfId="0" applyFont="1" applyFill="1" applyBorder="1"/>
    <xf numFmtId="0" fontId="52" fillId="2" borderId="5" xfId="0" applyFont="1" applyFill="1" applyBorder="1" applyAlignment="1">
      <alignment horizontal="center"/>
    </xf>
    <xf numFmtId="0" fontId="52" fillId="2" borderId="1" xfId="0" applyFont="1" applyFill="1" applyBorder="1" applyAlignment="1">
      <alignment horizontal="center"/>
    </xf>
    <xf numFmtId="0" fontId="52" fillId="2" borderId="6" xfId="0" applyFont="1" applyFill="1" applyBorder="1" applyAlignment="1">
      <alignment horizontal="center"/>
    </xf>
    <xf numFmtId="0" fontId="52" fillId="9" borderId="37" xfId="0" applyFont="1" applyFill="1" applyBorder="1"/>
    <xf numFmtId="0" fontId="52" fillId="9" borderId="59" xfId="0" applyFont="1" applyFill="1" applyBorder="1"/>
    <xf numFmtId="0" fontId="52" fillId="2" borderId="7" xfId="0" applyFont="1" applyFill="1" applyBorder="1" applyAlignment="1">
      <alignment horizontal="center"/>
    </xf>
    <xf numFmtId="0" fontId="52" fillId="2" borderId="8" xfId="0" applyFont="1" applyFill="1" applyBorder="1" applyAlignment="1">
      <alignment horizontal="center"/>
    </xf>
    <xf numFmtId="0" fontId="52" fillId="2" borderId="9" xfId="0" applyFont="1" applyFill="1" applyBorder="1" applyAlignment="1">
      <alignment horizontal="center"/>
    </xf>
    <xf numFmtId="0" fontId="52" fillId="9" borderId="45" xfId="0" applyFont="1" applyFill="1" applyBorder="1" applyAlignment="1">
      <alignment vertical="center" wrapText="1"/>
    </xf>
    <xf numFmtId="0" fontId="23" fillId="2" borderId="31" xfId="0" applyFont="1" applyFill="1" applyBorder="1" applyAlignment="1">
      <alignment horizontal="center" vertical="center"/>
    </xf>
    <xf numFmtId="0" fontId="23" fillId="2" borderId="32" xfId="0" applyFont="1" applyFill="1" applyBorder="1" applyAlignment="1">
      <alignment horizontal="center" vertical="center"/>
    </xf>
    <xf numFmtId="0" fontId="23" fillId="2" borderId="33" xfId="0" applyFont="1" applyFill="1" applyBorder="1" applyAlignment="1">
      <alignment horizontal="center" vertical="center"/>
    </xf>
    <xf numFmtId="0" fontId="52" fillId="9" borderId="2" xfId="0" applyFont="1" applyFill="1" applyBorder="1" applyAlignment="1">
      <alignment vertical="center" wrapText="1"/>
    </xf>
    <xf numFmtId="0" fontId="23" fillId="2" borderId="4" xfId="0" applyFont="1" applyFill="1" applyBorder="1" applyAlignment="1">
      <alignment horizontal="center" vertical="center"/>
    </xf>
    <xf numFmtId="0" fontId="52" fillId="9" borderId="7" xfId="0" applyFont="1" applyFill="1" applyBorder="1" applyAlignment="1">
      <alignment vertical="center" wrapText="1"/>
    </xf>
    <xf numFmtId="0" fontId="52" fillId="9" borderId="51" xfId="0" applyFont="1" applyFill="1" applyBorder="1" applyAlignment="1">
      <alignment vertical="center" wrapText="1"/>
    </xf>
    <xf numFmtId="0" fontId="53" fillId="9" borderId="51" xfId="0" applyFont="1" applyFill="1" applyBorder="1" applyAlignment="1">
      <alignment vertical="center" wrapText="1"/>
    </xf>
    <xf numFmtId="0" fontId="53" fillId="9" borderId="54" xfId="0" applyFont="1" applyFill="1" applyBorder="1" applyAlignment="1">
      <alignment vertical="center" wrapText="1"/>
    </xf>
    <xf numFmtId="0" fontId="52" fillId="9" borderId="54" xfId="0" applyFont="1" applyFill="1" applyBorder="1" applyAlignment="1">
      <alignment vertical="center" wrapText="1"/>
    </xf>
    <xf numFmtId="0" fontId="23" fillId="2" borderId="48" xfId="0" applyFont="1" applyFill="1" applyBorder="1" applyAlignment="1">
      <alignment horizontal="center" vertical="center"/>
    </xf>
    <xf numFmtId="0" fontId="23" fillId="2" borderId="16" xfId="0" applyFont="1" applyFill="1" applyBorder="1" applyAlignment="1">
      <alignment horizontal="center" vertical="center"/>
    </xf>
    <xf numFmtId="0" fontId="23" fillId="2" borderId="35" xfId="0" applyFont="1" applyFill="1" applyBorder="1" applyAlignment="1">
      <alignment horizontal="center" vertical="center"/>
    </xf>
    <xf numFmtId="0" fontId="52" fillId="9" borderId="28" xfId="0" applyFont="1" applyFill="1" applyBorder="1" applyAlignment="1">
      <alignment vertical="center" wrapText="1"/>
    </xf>
    <xf numFmtId="0" fontId="23" fillId="2" borderId="34" xfId="0" applyFont="1" applyFill="1" applyBorder="1"/>
    <xf numFmtId="0" fontId="23" fillId="9" borderId="76" xfId="0" applyFont="1" applyFill="1" applyBorder="1"/>
    <xf numFmtId="0" fontId="23" fillId="2" borderId="10" xfId="0" applyFont="1" applyFill="1" applyBorder="1"/>
    <xf numFmtId="0" fontId="23" fillId="2" borderId="11" xfId="0" applyFont="1" applyFill="1" applyBorder="1"/>
    <xf numFmtId="0" fontId="23" fillId="9" borderId="51" xfId="0" applyFont="1" applyFill="1" applyBorder="1"/>
    <xf numFmtId="0" fontId="23" fillId="2" borderId="1" xfId="0" applyFont="1" applyFill="1" applyBorder="1"/>
    <xf numFmtId="0" fontId="23" fillId="9" borderId="49" xfId="0" applyFont="1" applyFill="1" applyBorder="1" applyAlignment="1">
      <alignment wrapText="1"/>
    </xf>
    <xf numFmtId="0" fontId="23" fillId="2" borderId="7" xfId="0" applyFont="1" applyFill="1" applyBorder="1"/>
    <xf numFmtId="0" fontId="23" fillId="2" borderId="8" xfId="0" applyFont="1" applyFill="1" applyBorder="1"/>
    <xf numFmtId="0" fontId="52" fillId="9" borderId="12" xfId="0" applyFont="1" applyFill="1" applyBorder="1" applyAlignment="1">
      <alignment horizontal="center" vertical="center"/>
    </xf>
    <xf numFmtId="0" fontId="23" fillId="2" borderId="2" xfId="0" applyFont="1" applyFill="1" applyBorder="1"/>
    <xf numFmtId="0" fontId="23" fillId="2" borderId="3" xfId="0" applyFont="1" applyFill="1" applyBorder="1"/>
    <xf numFmtId="0" fontId="23" fillId="2" borderId="4" xfId="0" applyFont="1" applyFill="1" applyBorder="1"/>
    <xf numFmtId="0" fontId="23" fillId="2" borderId="68" xfId="0" applyFont="1" applyFill="1" applyBorder="1"/>
    <xf numFmtId="0" fontId="52" fillId="9" borderId="51" xfId="0" applyFont="1" applyFill="1" applyBorder="1" applyAlignment="1">
      <alignment horizontal="center" vertical="center"/>
    </xf>
    <xf numFmtId="0" fontId="23" fillId="2" borderId="41" xfId="0" applyFont="1" applyFill="1" applyBorder="1"/>
    <xf numFmtId="0" fontId="52" fillId="9" borderId="49" xfId="0" applyFont="1" applyFill="1" applyBorder="1" applyAlignment="1">
      <alignment horizontal="center" vertical="center"/>
    </xf>
    <xf numFmtId="0" fontId="23" fillId="2" borderId="69" xfId="0" applyFont="1" applyFill="1" applyBorder="1"/>
    <xf numFmtId="0" fontId="52" fillId="9" borderId="10" xfId="0" applyFont="1" applyFill="1" applyBorder="1"/>
    <xf numFmtId="0" fontId="23" fillId="2" borderId="15" xfId="0" applyFont="1" applyFill="1" applyBorder="1"/>
    <xf numFmtId="0" fontId="52" fillId="9" borderId="5" xfId="0" applyFont="1" applyFill="1" applyBorder="1"/>
    <xf numFmtId="0" fontId="52" fillId="9" borderId="7" xfId="0" applyFont="1" applyFill="1" applyBorder="1"/>
    <xf numFmtId="0" fontId="23" fillId="2" borderId="24" xfId="0" applyFont="1" applyFill="1" applyBorder="1"/>
    <xf numFmtId="0" fontId="23" fillId="2" borderId="30" xfId="0" applyFont="1" applyFill="1" applyBorder="1"/>
    <xf numFmtId="0" fontId="52" fillId="9" borderId="2" xfId="0" applyFont="1" applyFill="1" applyBorder="1" applyAlignment="1">
      <alignment horizontal="left" vertical="center"/>
    </xf>
    <xf numFmtId="0" fontId="52" fillId="9" borderId="7" xfId="0" applyFont="1" applyFill="1" applyBorder="1" applyAlignment="1">
      <alignment horizontal="left" vertical="center"/>
    </xf>
    <xf numFmtId="0" fontId="23" fillId="9" borderId="8" xfId="0" applyFont="1" applyFill="1" applyBorder="1" applyAlignment="1">
      <alignment vertical="center"/>
    </xf>
    <xf numFmtId="0" fontId="22" fillId="2" borderId="0" xfId="0" applyFont="1" applyFill="1"/>
    <xf numFmtId="0" fontId="23" fillId="2" borderId="38" xfId="0" applyFont="1" applyFill="1" applyBorder="1"/>
    <xf numFmtId="0" fontId="23" fillId="2" borderId="42" xfId="0" applyFont="1" applyFill="1" applyBorder="1"/>
    <xf numFmtId="0" fontId="52" fillId="2" borderId="1" xfId="0" applyFont="1" applyFill="1" applyBorder="1"/>
    <xf numFmtId="0" fontId="18" fillId="0" borderId="37" xfId="0" applyFont="1" applyBorder="1" applyAlignment="1">
      <alignment vertical="center"/>
    </xf>
    <xf numFmtId="0" fontId="18" fillId="0" borderId="41" xfId="0" applyFont="1" applyBorder="1" applyAlignment="1">
      <alignment vertical="center"/>
    </xf>
    <xf numFmtId="0" fontId="17" fillId="9" borderId="26" xfId="0" applyFont="1" applyFill="1" applyBorder="1"/>
    <xf numFmtId="166" fontId="25" fillId="11" borderId="4" xfId="0" applyNumberFormat="1" applyFont="1" applyFill="1" applyBorder="1" applyAlignment="1">
      <alignment vertical="center"/>
    </xf>
    <xf numFmtId="166" fontId="25" fillId="11" borderId="6" xfId="0" applyNumberFormat="1" applyFont="1" applyFill="1" applyBorder="1" applyAlignment="1">
      <alignment vertical="center"/>
    </xf>
    <xf numFmtId="0" fontId="3" fillId="0" borderId="5" xfId="0" applyFont="1" applyBorder="1" applyAlignment="1">
      <alignment vertical="center"/>
    </xf>
    <xf numFmtId="44" fontId="30" fillId="2" borderId="9" xfId="3" applyFont="1" applyFill="1" applyBorder="1" applyAlignment="1">
      <alignment vertical="center"/>
    </xf>
    <xf numFmtId="0" fontId="0" fillId="2" borderId="48" xfId="0" applyFill="1" applyBorder="1" applyAlignment="1">
      <alignment vertical="center"/>
    </xf>
    <xf numFmtId="166" fontId="25" fillId="11" borderId="2" xfId="0" applyNumberFormat="1" applyFont="1" applyFill="1" applyBorder="1" applyAlignment="1">
      <alignment vertical="center"/>
    </xf>
    <xf numFmtId="166" fontId="25" fillId="11" borderId="5" xfId="0" applyNumberFormat="1" applyFont="1" applyFill="1" applyBorder="1" applyAlignment="1">
      <alignment vertical="center"/>
    </xf>
    <xf numFmtId="44" fontId="0" fillId="0" borderId="7" xfId="3" applyFont="1" applyBorder="1" applyAlignment="1">
      <alignment vertical="center"/>
    </xf>
    <xf numFmtId="0" fontId="15" fillId="2" borderId="3" xfId="0" applyFont="1" applyFill="1" applyBorder="1" applyAlignment="1" applyProtection="1">
      <alignment horizontal="center" vertical="center"/>
      <protection locked="0"/>
    </xf>
    <xf numFmtId="0" fontId="24" fillId="2" borderId="3" xfId="0" applyFont="1" applyFill="1" applyBorder="1" applyAlignment="1" applyProtection="1">
      <alignment horizontal="right" vertical="center" wrapText="1"/>
      <protection locked="0"/>
    </xf>
    <xf numFmtId="0" fontId="15" fillId="2" borderId="3" xfId="0" applyFont="1" applyFill="1" applyBorder="1" applyAlignment="1" applyProtection="1">
      <alignment horizontal="center" vertical="center" wrapText="1"/>
      <protection locked="0"/>
    </xf>
    <xf numFmtId="0" fontId="24" fillId="2" borderId="3" xfId="0" applyFont="1" applyFill="1" applyBorder="1" applyAlignment="1" applyProtection="1">
      <alignment horizontal="right" vertical="center"/>
      <protection locked="0"/>
    </xf>
    <xf numFmtId="0" fontId="46" fillId="2" borderId="4" xfId="0" applyFont="1" applyFill="1" applyBorder="1" applyAlignment="1" applyProtection="1">
      <alignment vertical="center"/>
      <protection locked="0"/>
    </xf>
    <xf numFmtId="0" fontId="24" fillId="2" borderId="5" xfId="0" applyFont="1" applyFill="1" applyBorder="1" applyAlignment="1" applyProtection="1">
      <alignment vertical="center" wrapText="1"/>
      <protection locked="0"/>
    </xf>
    <xf numFmtId="0" fontId="15" fillId="2" borderId="1" xfId="0" applyFont="1" applyFill="1" applyBorder="1" applyAlignment="1" applyProtection="1">
      <alignment horizontal="left" vertical="center" wrapText="1"/>
      <protection locked="0"/>
    </xf>
    <xf numFmtId="0" fontId="24" fillId="2" borderId="1" xfId="0" applyFont="1" applyFill="1" applyBorder="1" applyAlignment="1" applyProtection="1">
      <alignment horizontal="right" vertical="center" wrapText="1"/>
      <protection locked="0"/>
    </xf>
    <xf numFmtId="0" fontId="15" fillId="2" borderId="6" xfId="0" applyFont="1" applyFill="1" applyBorder="1" applyAlignment="1" applyProtection="1">
      <alignment horizontal="left" vertical="center" wrapText="1"/>
      <protection locked="0"/>
    </xf>
    <xf numFmtId="0" fontId="24" fillId="2" borderId="5" xfId="0" applyFont="1" applyFill="1" applyBorder="1" applyAlignment="1" applyProtection="1">
      <alignment horizontal="right" vertical="center" wrapText="1"/>
      <protection locked="0"/>
    </xf>
    <xf numFmtId="0" fontId="15" fillId="2" borderId="5" xfId="0" applyFont="1" applyFill="1" applyBorder="1" applyAlignment="1" applyProtection="1">
      <alignment horizontal="left" vertical="center" wrapText="1"/>
      <protection locked="0"/>
    </xf>
    <xf numFmtId="0" fontId="15" fillId="2" borderId="8" xfId="0" applyFont="1" applyFill="1" applyBorder="1" applyAlignment="1" applyProtection="1">
      <alignment horizontal="left" vertical="center" wrapText="1"/>
      <protection locked="0"/>
    </xf>
    <xf numFmtId="0" fontId="24" fillId="2" borderId="2" xfId="0" applyFont="1" applyFill="1" applyBorder="1" applyAlignment="1" applyProtection="1">
      <alignment horizontal="right" vertical="center" wrapText="1"/>
      <protection locked="0"/>
    </xf>
    <xf numFmtId="0" fontId="24" fillId="2" borderId="21" xfId="0" applyFont="1" applyFill="1" applyBorder="1" applyAlignment="1" applyProtection="1">
      <alignment horizontal="center" vertical="center"/>
      <protection locked="0"/>
    </xf>
    <xf numFmtId="0" fontId="24" fillId="2" borderId="49" xfId="0" applyFont="1" applyFill="1" applyBorder="1" applyAlignment="1" applyProtection="1">
      <alignment horizontal="right" vertical="center"/>
      <protection locked="0"/>
    </xf>
    <xf numFmtId="0" fontId="15" fillId="2" borderId="43" xfId="0" applyFont="1" applyFill="1" applyBorder="1" applyAlignment="1" applyProtection="1">
      <alignment vertical="center" wrapText="1"/>
      <protection locked="0"/>
    </xf>
    <xf numFmtId="0" fontId="22" fillId="0" borderId="0" xfId="0" applyFont="1" applyAlignment="1" applyProtection="1">
      <alignment horizontal="center" vertical="center" wrapText="1"/>
      <protection locked="0"/>
    </xf>
    <xf numFmtId="0" fontId="42" fillId="0" borderId="0" xfId="0" applyFont="1" applyAlignment="1">
      <alignment horizontal="center" vertical="center" wrapText="1"/>
    </xf>
    <xf numFmtId="0" fontId="41" fillId="0" borderId="0" xfId="0" applyFont="1" applyAlignment="1">
      <alignment horizontal="center" vertical="center"/>
    </xf>
    <xf numFmtId="0" fontId="41" fillId="0" borderId="0" xfId="0" applyFont="1" applyAlignment="1">
      <alignment horizontal="center" vertical="center" wrapText="1"/>
    </xf>
    <xf numFmtId="0" fontId="4" fillId="9" borderId="18" xfId="0" applyFont="1" applyFill="1" applyBorder="1" applyAlignment="1">
      <alignment horizontal="center" vertical="center"/>
    </xf>
    <xf numFmtId="0" fontId="4" fillId="9" borderId="53" xfId="0" applyFont="1" applyFill="1" applyBorder="1" applyAlignment="1">
      <alignment horizontal="center" vertical="center"/>
    </xf>
    <xf numFmtId="0" fontId="4" fillId="0" borderId="31" xfId="0" applyFont="1" applyBorder="1" applyAlignment="1">
      <alignment horizontal="center" vertical="center"/>
    </xf>
    <xf numFmtId="0" fontId="4" fillId="0" borderId="33" xfId="0" applyFont="1" applyBorder="1" applyAlignment="1">
      <alignment horizontal="center" vertical="center"/>
    </xf>
    <xf numFmtId="0" fontId="18" fillId="2" borderId="0" xfId="0" applyFont="1" applyFill="1" applyAlignment="1">
      <alignment vertical="center" wrapText="1"/>
    </xf>
    <xf numFmtId="0" fontId="48" fillId="2" borderId="0" xfId="0" applyFont="1" applyFill="1" applyAlignment="1">
      <alignment vertical="center"/>
    </xf>
    <xf numFmtId="0" fontId="19" fillId="0" borderId="0" xfId="0" applyFont="1" applyAlignment="1">
      <alignment vertical="center" wrapText="1"/>
    </xf>
    <xf numFmtId="49" fontId="68" fillId="0" borderId="0" xfId="0" applyNumberFormat="1" applyFont="1" applyAlignment="1">
      <alignment horizontal="left" vertical="center"/>
    </xf>
    <xf numFmtId="49" fontId="22" fillId="0" borderId="0" xfId="0" applyNumberFormat="1" applyFont="1" applyAlignment="1">
      <alignment vertical="center"/>
    </xf>
    <xf numFmtId="0" fontId="22" fillId="0" borderId="0" xfId="0" applyFont="1" applyAlignment="1">
      <alignment horizontal="left" vertical="center"/>
    </xf>
    <xf numFmtId="0" fontId="21" fillId="12" borderId="5" xfId="0" applyFont="1" applyFill="1" applyBorder="1" applyAlignment="1">
      <alignment horizontal="center" vertical="center"/>
    </xf>
    <xf numFmtId="0" fontId="21" fillId="12" borderId="7" xfId="0" applyFont="1" applyFill="1" applyBorder="1" applyAlignment="1">
      <alignment horizontal="center" vertical="center"/>
    </xf>
    <xf numFmtId="0" fontId="21" fillId="0" borderId="47" xfId="0" applyFont="1" applyBorder="1" applyAlignment="1">
      <alignment horizontal="center" vertical="center"/>
    </xf>
    <xf numFmtId="44" fontId="25" fillId="0" borderId="1" xfId="3" applyFont="1" applyBorder="1" applyAlignment="1">
      <alignment horizontal="center" vertical="center"/>
    </xf>
    <xf numFmtId="0" fontId="34" fillId="2" borderId="19" xfId="0" applyFont="1" applyFill="1" applyBorder="1" applyAlignment="1">
      <alignment vertical="center"/>
    </xf>
    <xf numFmtId="0" fontId="34" fillId="2" borderId="20" xfId="0" applyFont="1" applyFill="1" applyBorder="1" applyAlignment="1">
      <alignment vertical="center"/>
    </xf>
    <xf numFmtId="0" fontId="34" fillId="2" borderId="25" xfId="0" applyFont="1" applyFill="1" applyBorder="1" applyAlignment="1">
      <alignment vertical="center"/>
    </xf>
    <xf numFmtId="43" fontId="22" fillId="2" borderId="10" xfId="0" applyNumberFormat="1" applyFont="1" applyFill="1" applyBorder="1" applyAlignment="1">
      <alignment horizontal="center" vertical="center"/>
    </xf>
    <xf numFmtId="43" fontId="22" fillId="2" borderId="5" xfId="1" applyFont="1" applyFill="1" applyBorder="1" applyAlignment="1">
      <alignment horizontal="center" vertical="center"/>
    </xf>
    <xf numFmtId="0" fontId="22" fillId="2" borderId="5" xfId="0" applyFont="1" applyFill="1" applyBorder="1" applyAlignment="1">
      <alignment horizontal="center" vertical="center"/>
    </xf>
    <xf numFmtId="0" fontId="22" fillId="2" borderId="48" xfId="0" applyFont="1" applyFill="1" applyBorder="1" applyAlignment="1">
      <alignment horizontal="center" vertical="center"/>
    </xf>
    <xf numFmtId="0" fontId="0" fillId="0" borderId="68" xfId="0" applyBorder="1" applyAlignment="1">
      <alignment vertical="center"/>
    </xf>
    <xf numFmtId="0" fontId="0" fillId="0" borderId="69" xfId="0" applyBorder="1" applyAlignment="1">
      <alignment vertical="center"/>
    </xf>
    <xf numFmtId="164" fontId="4" fillId="22" borderId="62" xfId="27" applyNumberFormat="1" applyFont="1" applyFill="1" applyBorder="1" applyAlignment="1">
      <alignment horizontal="left" vertical="center"/>
    </xf>
    <xf numFmtId="164" fontId="4" fillId="22" borderId="63" xfId="27" applyNumberFormat="1" applyFont="1" applyFill="1" applyBorder="1" applyAlignment="1">
      <alignment horizontal="left" vertical="center"/>
    </xf>
    <xf numFmtId="0" fontId="17" fillId="0" borderId="56" xfId="0" applyFont="1" applyBorder="1" applyAlignment="1">
      <alignment vertical="center"/>
    </xf>
    <xf numFmtId="0" fontId="17" fillId="0" borderId="58" xfId="0" applyFont="1" applyBorder="1" applyAlignment="1">
      <alignment vertical="center"/>
    </xf>
    <xf numFmtId="44" fontId="22" fillId="0" borderId="51" xfId="3" applyFont="1" applyBorder="1" applyAlignment="1" applyProtection="1">
      <alignment vertical="center"/>
      <protection hidden="1"/>
    </xf>
    <xf numFmtId="44" fontId="22" fillId="0" borderId="72" xfId="0" applyNumberFormat="1" applyFont="1" applyBorder="1" applyAlignment="1" applyProtection="1">
      <alignment horizontal="center" vertical="center"/>
      <protection hidden="1"/>
    </xf>
    <xf numFmtId="44" fontId="22" fillId="0" borderId="51" xfId="3" applyFont="1" applyBorder="1" applyAlignment="1" applyProtection="1">
      <alignment horizontal="center" vertical="center"/>
      <protection hidden="1"/>
    </xf>
    <xf numFmtId="44" fontId="22" fillId="0" borderId="49" xfId="3" applyFont="1" applyBorder="1" applyAlignment="1" applyProtection="1">
      <alignment horizontal="center" vertical="center"/>
      <protection hidden="1"/>
    </xf>
    <xf numFmtId="44" fontId="22" fillId="0" borderId="63" xfId="0" applyNumberFormat="1" applyFont="1" applyBorder="1" applyAlignment="1" applyProtection="1">
      <alignment horizontal="center" vertical="center"/>
      <protection hidden="1"/>
    </xf>
    <xf numFmtId="171" fontId="22" fillId="0" borderId="56" xfId="0" applyNumberFormat="1" applyFont="1" applyBorder="1" applyAlignment="1" applyProtection="1">
      <alignment vertical="center"/>
      <protection hidden="1"/>
    </xf>
    <xf numFmtId="171" fontId="22" fillId="0" borderId="58" xfId="0" applyNumberFormat="1" applyFont="1" applyBorder="1" applyAlignment="1" applyProtection="1">
      <alignment vertical="center"/>
      <protection hidden="1"/>
    </xf>
    <xf numFmtId="171" fontId="22" fillId="0" borderId="75" xfId="0" applyNumberFormat="1" applyFont="1" applyBorder="1" applyAlignment="1" applyProtection="1">
      <alignment vertical="center"/>
      <protection hidden="1"/>
    </xf>
    <xf numFmtId="171" fontId="22" fillId="0" borderId="47" xfId="0" applyNumberFormat="1" applyFont="1" applyBorder="1" applyAlignment="1" applyProtection="1">
      <alignment vertical="center"/>
      <protection hidden="1"/>
    </xf>
    <xf numFmtId="44" fontId="22" fillId="0" borderId="56" xfId="0" applyNumberFormat="1" applyFont="1" applyBorder="1" applyAlignment="1" applyProtection="1">
      <alignment vertical="center"/>
      <protection hidden="1"/>
    </xf>
    <xf numFmtId="44" fontId="22" fillId="0" borderId="58" xfId="0" applyNumberFormat="1" applyFont="1" applyBorder="1" applyAlignment="1" applyProtection="1">
      <alignment vertical="center"/>
      <protection hidden="1"/>
    </xf>
    <xf numFmtId="0" fontId="22" fillId="0" borderId="57" xfId="0" applyFont="1" applyBorder="1" applyAlignment="1" applyProtection="1">
      <alignment vertical="center"/>
      <protection hidden="1"/>
    </xf>
    <xf numFmtId="44" fontId="22" fillId="0" borderId="57" xfId="0" applyNumberFormat="1" applyFont="1" applyBorder="1" applyAlignment="1" applyProtection="1">
      <alignment vertical="center"/>
      <protection hidden="1"/>
    </xf>
    <xf numFmtId="0" fontId="22" fillId="8" borderId="7" xfId="0" applyFont="1" applyFill="1" applyBorder="1" applyAlignment="1">
      <alignment vertical="center"/>
    </xf>
    <xf numFmtId="0" fontId="22" fillId="8" borderId="9" xfId="0" applyFont="1" applyFill="1" applyBorder="1" applyAlignment="1">
      <alignment horizontal="center" vertical="center"/>
    </xf>
    <xf numFmtId="0" fontId="21" fillId="2" borderId="31" xfId="0" applyFont="1" applyFill="1" applyBorder="1" applyAlignment="1">
      <alignment horizontal="center" vertical="center"/>
    </xf>
    <xf numFmtId="0" fontId="21" fillId="2" borderId="32" xfId="0" applyFont="1" applyFill="1" applyBorder="1" applyAlignment="1">
      <alignment horizontal="center" vertical="center"/>
    </xf>
    <xf numFmtId="0" fontId="21" fillId="2" borderId="33" xfId="0" applyFont="1" applyFill="1" applyBorder="1" applyAlignment="1">
      <alignment horizontal="center" vertical="center"/>
    </xf>
    <xf numFmtId="0" fontId="43" fillId="0" borderId="0" xfId="0" applyFont="1" applyAlignment="1">
      <alignment vertical="center"/>
    </xf>
    <xf numFmtId="164" fontId="24" fillId="0" borderId="0" xfId="0" applyNumberFormat="1" applyFont="1" applyAlignment="1">
      <alignment horizontal="center" vertical="center"/>
    </xf>
    <xf numFmtId="0" fontId="21" fillId="0" borderId="0" xfId="0" applyFont="1" applyAlignment="1">
      <alignment vertical="center" wrapText="1"/>
    </xf>
    <xf numFmtId="0" fontId="18" fillId="8" borderId="13" xfId="0" applyFont="1" applyFill="1" applyBorder="1" applyAlignment="1">
      <alignment vertical="center"/>
    </xf>
    <xf numFmtId="0" fontId="18" fillId="8" borderId="64" xfId="0" applyFont="1" applyFill="1" applyBorder="1" applyAlignment="1">
      <alignment vertical="center"/>
    </xf>
    <xf numFmtId="0" fontId="18" fillId="8" borderId="0" xfId="0" applyFont="1" applyFill="1" applyAlignment="1">
      <alignment vertical="center"/>
    </xf>
    <xf numFmtId="0" fontId="18" fillId="15" borderId="52" xfId="0" applyFont="1" applyFill="1" applyBorder="1" applyAlignment="1">
      <alignment horizontal="left" vertical="center" wrapText="1"/>
    </xf>
    <xf numFmtId="0" fontId="34" fillId="0" borderId="0" xfId="0" applyFont="1" applyAlignment="1">
      <alignment vertical="center" wrapText="1"/>
    </xf>
    <xf numFmtId="44" fontId="22" fillId="0" borderId="63" xfId="0" applyNumberFormat="1" applyFont="1" applyBorder="1" applyAlignment="1" applyProtection="1">
      <alignment vertical="center"/>
      <protection hidden="1"/>
    </xf>
    <xf numFmtId="44" fontId="22" fillId="0" borderId="40" xfId="3" applyFont="1" applyBorder="1" applyAlignment="1">
      <alignment horizontal="center" vertical="center"/>
    </xf>
    <xf numFmtId="0" fontId="22" fillId="0" borderId="47" xfId="0" applyFont="1" applyBorder="1" applyAlignment="1">
      <alignment vertical="center"/>
    </xf>
    <xf numFmtId="0" fontId="0" fillId="0" borderId="1" xfId="0" applyBorder="1"/>
    <xf numFmtId="0" fontId="43" fillId="17" borderId="68" xfId="0" applyFont="1" applyFill="1" applyBorder="1" applyAlignment="1" applyProtection="1">
      <alignment horizontal="center" vertical="center"/>
      <protection locked="0"/>
    </xf>
    <xf numFmtId="0" fontId="24" fillId="2" borderId="0" xfId="0" applyFont="1" applyFill="1" applyAlignment="1" applyProtection="1">
      <alignment horizontal="center" vertical="center"/>
      <protection locked="0"/>
    </xf>
    <xf numFmtId="0" fontId="43" fillId="17" borderId="41" xfId="0" applyFont="1" applyFill="1" applyBorder="1" applyAlignment="1" applyProtection="1">
      <alignment horizontal="center" vertical="center"/>
      <protection locked="0"/>
    </xf>
    <xf numFmtId="0" fontId="43" fillId="17" borderId="55" xfId="0" applyFont="1" applyFill="1" applyBorder="1" applyAlignment="1" applyProtection="1">
      <alignment horizontal="center" vertical="center"/>
      <protection locked="0"/>
    </xf>
    <xf numFmtId="0" fontId="60" fillId="2" borderId="0" xfId="0" applyFont="1" applyFill="1" applyAlignment="1" applyProtection="1">
      <alignment horizontal="center" vertical="center"/>
      <protection locked="0"/>
    </xf>
    <xf numFmtId="0" fontId="15" fillId="17" borderId="76" xfId="0" applyFont="1" applyFill="1" applyBorder="1" applyAlignment="1" applyProtection="1">
      <alignment horizontal="left" vertical="center" wrapText="1"/>
      <protection locked="0"/>
    </xf>
    <xf numFmtId="0" fontId="15" fillId="17" borderId="51" xfId="0" applyFont="1" applyFill="1" applyBorder="1" applyAlignment="1" applyProtection="1">
      <alignment horizontal="left" vertical="center" wrapText="1"/>
      <protection locked="0"/>
    </xf>
    <xf numFmtId="0" fontId="15" fillId="17" borderId="51" xfId="0" applyFont="1" applyFill="1" applyBorder="1" applyAlignment="1" applyProtection="1">
      <alignment horizontal="left" vertical="center"/>
      <protection locked="0"/>
    </xf>
    <xf numFmtId="0" fontId="15" fillId="17" borderId="49" xfId="0" applyFont="1" applyFill="1" applyBorder="1" applyAlignment="1" applyProtection="1">
      <alignment horizontal="left" vertical="center"/>
      <protection locked="0"/>
    </xf>
    <xf numFmtId="0" fontId="15" fillId="17" borderId="76" xfId="0" applyFont="1" applyFill="1" applyBorder="1" applyAlignment="1" applyProtection="1">
      <alignment horizontal="left" vertical="center"/>
      <protection locked="0"/>
    </xf>
    <xf numFmtId="0" fontId="15" fillId="17" borderId="54" xfId="0" applyFont="1" applyFill="1" applyBorder="1" applyAlignment="1" applyProtection="1">
      <alignment horizontal="left" vertical="center" wrapText="1"/>
      <protection locked="0"/>
    </xf>
    <xf numFmtId="0" fontId="15" fillId="17" borderId="54" xfId="0" applyFont="1" applyFill="1" applyBorder="1" applyAlignment="1" applyProtection="1">
      <alignment horizontal="left" vertical="center"/>
      <protection locked="0"/>
    </xf>
    <xf numFmtId="0" fontId="15" fillId="17" borderId="56" xfId="0" applyFont="1" applyFill="1" applyBorder="1" applyAlignment="1" applyProtection="1">
      <alignment horizontal="left" vertical="center" wrapText="1"/>
      <protection locked="0"/>
    </xf>
    <xf numFmtId="0" fontId="15" fillId="17" borderId="72" xfId="0" applyFont="1" applyFill="1" applyBorder="1" applyAlignment="1" applyProtection="1">
      <alignment horizontal="left" vertical="center" wrapText="1"/>
      <protection locked="0"/>
    </xf>
    <xf numFmtId="0" fontId="15" fillId="17" borderId="58" xfId="0" applyFont="1" applyFill="1" applyBorder="1" applyAlignment="1" applyProtection="1">
      <alignment horizontal="left" vertical="center" wrapText="1"/>
      <protection locked="0"/>
    </xf>
    <xf numFmtId="0" fontId="15" fillId="17" borderId="75" xfId="0" applyFont="1" applyFill="1" applyBorder="1" applyAlignment="1" applyProtection="1">
      <alignment horizontal="left" vertical="center" wrapText="1"/>
      <protection locked="0"/>
    </xf>
    <xf numFmtId="0" fontId="15" fillId="17" borderId="62" xfId="0" applyFont="1" applyFill="1" applyBorder="1" applyAlignment="1" applyProtection="1">
      <alignment horizontal="left" vertical="center" wrapText="1"/>
      <protection locked="0"/>
    </xf>
    <xf numFmtId="0" fontId="15" fillId="17" borderId="49" xfId="0" applyFont="1" applyFill="1" applyBorder="1" applyAlignment="1" applyProtection="1">
      <alignment horizontal="left" vertical="center" wrapText="1"/>
      <protection locked="0"/>
    </xf>
    <xf numFmtId="0" fontId="15" fillId="17" borderId="58" xfId="0" applyFont="1" applyFill="1" applyBorder="1" applyAlignment="1" applyProtection="1">
      <alignment horizontal="center" vertical="center"/>
      <protection locked="0"/>
    </xf>
    <xf numFmtId="0" fontId="62" fillId="2" borderId="5" xfId="0" applyFont="1" applyFill="1" applyBorder="1" applyAlignment="1" applyProtection="1">
      <alignment horizontal="center" vertical="center"/>
      <protection locked="0"/>
    </xf>
    <xf numFmtId="0" fontId="62" fillId="2" borderId="1" xfId="0" applyFont="1" applyFill="1" applyBorder="1" applyAlignment="1" applyProtection="1">
      <alignment horizontal="center" vertical="center"/>
      <protection locked="0"/>
    </xf>
    <xf numFmtId="0" fontId="62" fillId="2" borderId="6" xfId="0" applyFont="1" applyFill="1" applyBorder="1" applyAlignment="1" applyProtection="1">
      <alignment horizontal="center" vertical="center"/>
      <protection locked="0"/>
    </xf>
    <xf numFmtId="0" fontId="62" fillId="2" borderId="41" xfId="0" applyFont="1" applyFill="1" applyBorder="1" applyAlignment="1" applyProtection="1">
      <alignment horizontal="center" vertical="center"/>
      <protection locked="0"/>
    </xf>
    <xf numFmtId="0" fontId="15" fillId="17" borderId="58" xfId="0" applyFont="1" applyFill="1" applyBorder="1" applyAlignment="1" applyProtection="1">
      <alignment horizontal="left" vertical="center"/>
      <protection locked="0"/>
    </xf>
    <xf numFmtId="0" fontId="15" fillId="17" borderId="57" xfId="0" applyFont="1" applyFill="1" applyBorder="1" applyAlignment="1" applyProtection="1">
      <alignment horizontal="left" vertical="center" wrapText="1"/>
      <protection locked="0"/>
    </xf>
    <xf numFmtId="0" fontId="15" fillId="17" borderId="57" xfId="0" applyFont="1" applyFill="1" applyBorder="1" applyAlignment="1" applyProtection="1">
      <alignment vertical="center" wrapText="1"/>
      <protection locked="0"/>
    </xf>
    <xf numFmtId="0" fontId="15" fillId="17" borderId="12" xfId="0" applyFont="1" applyFill="1" applyBorder="1" applyAlignment="1" applyProtection="1">
      <alignment vertical="center" wrapText="1"/>
      <protection locked="0"/>
    </xf>
    <xf numFmtId="0" fontId="15" fillId="17" borderId="51" xfId="0" applyFont="1" applyFill="1" applyBorder="1" applyAlignment="1" applyProtection="1">
      <alignment vertical="center" wrapText="1"/>
      <protection locked="0"/>
    </xf>
    <xf numFmtId="0" fontId="15" fillId="17" borderId="54" xfId="0" applyFont="1" applyFill="1" applyBorder="1" applyAlignment="1" applyProtection="1">
      <alignment vertical="center" wrapText="1"/>
      <protection locked="0"/>
    </xf>
    <xf numFmtId="0" fontId="15" fillId="17" borderId="49" xfId="0" applyFont="1" applyFill="1" applyBorder="1" applyAlignment="1" applyProtection="1">
      <alignment vertical="center" wrapText="1"/>
      <protection locked="0"/>
    </xf>
    <xf numFmtId="0" fontId="15" fillId="17" borderId="10" xfId="0" applyFont="1" applyFill="1" applyBorder="1" applyAlignment="1" applyProtection="1">
      <alignment horizontal="left" vertical="center" wrapText="1"/>
      <protection locked="0"/>
    </xf>
    <xf numFmtId="0" fontId="15" fillId="17" borderId="11" xfId="0" applyFont="1" applyFill="1" applyBorder="1" applyAlignment="1" applyProtection="1">
      <alignment horizontal="left" vertical="center" wrapText="1"/>
      <protection locked="0"/>
    </xf>
    <xf numFmtId="0" fontId="15" fillId="17" borderId="0" xfId="0" applyFont="1" applyFill="1" applyAlignment="1" applyProtection="1">
      <alignment horizontal="left" vertical="center" wrapText="1"/>
      <protection locked="0"/>
    </xf>
    <xf numFmtId="0" fontId="15" fillId="17" borderId="5" xfId="0" applyFont="1" applyFill="1" applyBorder="1" applyAlignment="1" applyProtection="1">
      <alignment horizontal="left" vertical="center" wrapText="1"/>
      <protection locked="0"/>
    </xf>
    <xf numFmtId="0" fontId="15" fillId="17" borderId="1" xfId="0" applyFont="1" applyFill="1" applyBorder="1" applyAlignment="1" applyProtection="1">
      <alignment horizontal="left" vertical="center"/>
      <protection locked="0"/>
    </xf>
    <xf numFmtId="0" fontId="15" fillId="17" borderId="1" xfId="0" applyFont="1" applyFill="1" applyBorder="1" applyAlignment="1" applyProtection="1">
      <alignment horizontal="left" vertical="center" wrapText="1"/>
      <protection locked="0"/>
    </xf>
    <xf numFmtId="0" fontId="24" fillId="17" borderId="0" xfId="0" applyFont="1" applyFill="1" applyAlignment="1" applyProtection="1">
      <alignment horizontal="center" vertical="center"/>
      <protection locked="0"/>
    </xf>
    <xf numFmtId="0" fontId="15" fillId="17" borderId="7" xfId="0" applyFont="1" applyFill="1" applyBorder="1" applyAlignment="1" applyProtection="1">
      <alignment vertical="center" wrapText="1"/>
      <protection locked="0"/>
    </xf>
    <xf numFmtId="0" fontId="15" fillId="17" borderId="1" xfId="0" applyFont="1" applyFill="1" applyBorder="1" applyAlignment="1" applyProtection="1">
      <alignment horizontal="center" vertical="center" wrapText="1"/>
      <protection locked="0"/>
    </xf>
    <xf numFmtId="0" fontId="15" fillId="17" borderId="48" xfId="0" applyFont="1" applyFill="1" applyBorder="1" applyAlignment="1" applyProtection="1">
      <alignment horizontal="left" vertical="center" wrapText="1"/>
      <protection locked="0"/>
    </xf>
    <xf numFmtId="0" fontId="15" fillId="17" borderId="16" xfId="0" applyFont="1" applyFill="1" applyBorder="1" applyAlignment="1" applyProtection="1">
      <alignment horizontal="center" vertical="center" wrapText="1"/>
      <protection locked="0"/>
    </xf>
    <xf numFmtId="0" fontId="15" fillId="17" borderId="8" xfId="0" applyFont="1" applyFill="1" applyBorder="1" applyAlignment="1" applyProtection="1">
      <alignment horizontal="center" vertical="center" wrapText="1"/>
      <protection locked="0"/>
    </xf>
    <xf numFmtId="0" fontId="45" fillId="2" borderId="0" xfId="0" applyFont="1" applyFill="1" applyAlignment="1" applyProtection="1">
      <alignment horizontal="center" vertical="center"/>
      <protection locked="0"/>
    </xf>
    <xf numFmtId="0" fontId="15" fillId="17" borderId="10" xfId="0" applyFont="1" applyFill="1" applyBorder="1" applyAlignment="1" applyProtection="1">
      <alignment horizontal="center" vertical="center" wrapText="1"/>
      <protection locked="0"/>
    </xf>
    <xf numFmtId="0" fontId="15" fillId="17" borderId="11" xfId="0" applyFont="1" applyFill="1" applyBorder="1" applyAlignment="1" applyProtection="1">
      <alignment horizontal="center" vertical="center" wrapText="1"/>
      <protection locked="0"/>
    </xf>
    <xf numFmtId="49" fontId="15" fillId="17" borderId="5" xfId="0" applyNumberFormat="1" applyFont="1" applyFill="1" applyBorder="1" applyAlignment="1" applyProtection="1">
      <alignment vertical="center"/>
      <protection locked="0"/>
    </xf>
    <xf numFmtId="49" fontId="15" fillId="17" borderId="1" xfId="0" applyNumberFormat="1" applyFont="1" applyFill="1" applyBorder="1" applyAlignment="1" applyProtection="1">
      <alignment vertical="center" wrapText="1"/>
      <protection locked="0"/>
    </xf>
    <xf numFmtId="49" fontId="15" fillId="17" borderId="1" xfId="0" applyNumberFormat="1" applyFont="1" applyFill="1" applyBorder="1" applyAlignment="1" applyProtection="1">
      <alignment vertical="center"/>
      <protection locked="0"/>
    </xf>
    <xf numFmtId="0" fontId="15" fillId="17" borderId="2" xfId="0" applyFont="1" applyFill="1" applyBorder="1" applyAlignment="1" applyProtection="1">
      <alignment vertical="center" wrapText="1"/>
      <protection locked="0"/>
    </xf>
    <xf numFmtId="0" fontId="15" fillId="17" borderId="19" xfId="0" applyFont="1" applyFill="1" applyBorder="1" applyAlignment="1" applyProtection="1">
      <alignment vertical="center" wrapText="1"/>
      <protection locked="0"/>
    </xf>
    <xf numFmtId="0" fontId="15" fillId="17" borderId="8" xfId="0" applyFont="1" applyFill="1" applyBorder="1" applyAlignment="1" applyProtection="1">
      <alignment vertical="center" wrapText="1"/>
      <protection locked="0"/>
    </xf>
    <xf numFmtId="0" fontId="24" fillId="0" borderId="0" xfId="0" applyFont="1" applyAlignment="1" applyProtection="1">
      <alignment horizontal="center" vertical="center"/>
      <protection locked="0"/>
    </xf>
    <xf numFmtId="0" fontId="17" fillId="0" borderId="12" xfId="0" applyFont="1" applyBorder="1" applyAlignment="1">
      <alignment horizontal="left" vertical="center"/>
    </xf>
    <xf numFmtId="0" fontId="17" fillId="0" borderId="76" xfId="0" applyFont="1" applyBorder="1" applyAlignment="1">
      <alignment horizontal="left" vertical="center"/>
    </xf>
    <xf numFmtId="0" fontId="17" fillId="0" borderId="51" xfId="0" applyFont="1" applyBorder="1" applyAlignment="1">
      <alignment horizontal="left" vertical="center"/>
    </xf>
    <xf numFmtId="0" fontId="17" fillId="0" borderId="49" xfId="0" applyFont="1" applyBorder="1" applyAlignment="1">
      <alignment horizontal="left" vertical="center"/>
    </xf>
    <xf numFmtId="164" fontId="4" fillId="22" borderId="4" xfId="27" applyNumberFormat="1" applyFont="1" applyFill="1" applyBorder="1" applyAlignment="1">
      <alignment horizontal="left" vertical="center"/>
    </xf>
    <xf numFmtId="164" fontId="4" fillId="22" borderId="6" xfId="27" applyNumberFormat="1" applyFont="1" applyFill="1" applyBorder="1" applyAlignment="1">
      <alignment horizontal="left" vertical="center"/>
    </xf>
    <xf numFmtId="0" fontId="0" fillId="0" borderId="0" xfId="0" applyAlignment="1">
      <alignment horizontal="center" vertical="center" wrapText="1"/>
    </xf>
    <xf numFmtId="17" fontId="0" fillId="0" borderId="0" xfId="0" applyNumberFormat="1" applyAlignment="1">
      <alignment horizontal="center" vertical="center"/>
    </xf>
    <xf numFmtId="0" fontId="0" fillId="12" borderId="34" xfId="0" applyFill="1" applyBorder="1" applyAlignment="1">
      <alignment horizontal="center" vertical="center"/>
    </xf>
    <xf numFmtId="164" fontId="17" fillId="22" borderId="3" xfId="28" applyNumberFormat="1" applyFont="1" applyFill="1" applyBorder="1" applyAlignment="1">
      <alignment horizontal="left" vertical="center"/>
    </xf>
    <xf numFmtId="164" fontId="4" fillId="0" borderId="39" xfId="27" applyNumberFormat="1" applyFont="1" applyBorder="1" applyAlignment="1">
      <alignment horizontal="left" vertical="center"/>
    </xf>
    <xf numFmtId="44" fontId="17" fillId="0" borderId="3" xfId="27" applyFont="1" applyBorder="1" applyAlignment="1">
      <alignment horizontal="left" vertical="center"/>
    </xf>
    <xf numFmtId="164" fontId="17" fillId="0" borderId="14" xfId="27" applyNumberFormat="1" applyFont="1" applyBorder="1" applyAlignment="1">
      <alignment horizontal="left" vertical="center"/>
    </xf>
    <xf numFmtId="164" fontId="17" fillId="22" borderId="1" xfId="28" applyNumberFormat="1" applyFont="1" applyFill="1" applyBorder="1" applyAlignment="1">
      <alignment horizontal="left" vertical="center"/>
    </xf>
    <xf numFmtId="164" fontId="4" fillId="0" borderId="37" xfId="27" applyNumberFormat="1" applyFont="1" applyBorder="1" applyAlignment="1">
      <alignment horizontal="left" vertical="center"/>
    </xf>
    <xf numFmtId="44" fontId="17" fillId="0" borderId="1" xfId="27" applyFont="1" applyBorder="1" applyAlignment="1">
      <alignment horizontal="left" vertical="center"/>
    </xf>
    <xf numFmtId="164" fontId="17" fillId="22" borderId="8" xfId="28" applyNumberFormat="1" applyFont="1" applyFill="1" applyBorder="1" applyAlignment="1">
      <alignment horizontal="left" vertical="center"/>
    </xf>
    <xf numFmtId="164" fontId="4" fillId="0" borderId="40" xfId="27" applyNumberFormat="1" applyFont="1" applyBorder="1" applyAlignment="1">
      <alignment horizontal="left" vertical="center"/>
    </xf>
    <xf numFmtId="44" fontId="17" fillId="0" borderId="8" xfId="27" applyFont="1" applyBorder="1" applyAlignment="1">
      <alignment horizontal="left" vertical="center"/>
    </xf>
    <xf numFmtId="164" fontId="17" fillId="22" borderId="11" xfId="28" applyNumberFormat="1" applyFont="1" applyFill="1" applyBorder="1" applyAlignment="1">
      <alignment horizontal="left" vertical="center"/>
    </xf>
    <xf numFmtId="44" fontId="17" fillId="0" borderId="11" xfId="27" applyFont="1" applyBorder="1" applyAlignment="1">
      <alignment horizontal="left" vertical="center"/>
    </xf>
    <xf numFmtId="164" fontId="17" fillId="0" borderId="4" xfId="27" applyNumberFormat="1" applyFont="1" applyBorder="1" applyAlignment="1">
      <alignment horizontal="left" vertical="center"/>
    </xf>
    <xf numFmtId="164" fontId="17" fillId="0" borderId="6" xfId="27" applyNumberFormat="1" applyFont="1" applyBorder="1" applyAlignment="1">
      <alignment horizontal="left" vertical="center"/>
    </xf>
    <xf numFmtId="164" fontId="17" fillId="0" borderId="9" xfId="27" applyNumberFormat="1" applyFont="1" applyBorder="1" applyAlignment="1">
      <alignment horizontal="left" vertical="center"/>
    </xf>
    <xf numFmtId="3" fontId="17" fillId="0" borderId="72" xfId="0" applyNumberFormat="1" applyFont="1" applyBorder="1" applyAlignment="1">
      <alignment horizontal="left" vertical="center"/>
    </xf>
    <xf numFmtId="3" fontId="17" fillId="0" borderId="58" xfId="0" applyNumberFormat="1" applyFont="1" applyBorder="1" applyAlignment="1">
      <alignment horizontal="left" vertical="center"/>
    </xf>
    <xf numFmtId="3" fontId="17" fillId="0" borderId="75" xfId="0" applyNumberFormat="1" applyFont="1" applyBorder="1" applyAlignment="1">
      <alignment horizontal="left" vertical="center"/>
    </xf>
    <xf numFmtId="164" fontId="4" fillId="22" borderId="12" xfId="27" applyNumberFormat="1" applyFont="1" applyFill="1" applyBorder="1" applyAlignment="1">
      <alignment horizontal="left" vertical="center"/>
    </xf>
    <xf numFmtId="164" fontId="4" fillId="22" borderId="76" xfId="27" applyNumberFormat="1" applyFont="1" applyFill="1" applyBorder="1" applyAlignment="1">
      <alignment horizontal="left" vertical="center"/>
    </xf>
    <xf numFmtId="164" fontId="4" fillId="22" borderId="51" xfId="27" applyNumberFormat="1" applyFont="1" applyFill="1" applyBorder="1" applyAlignment="1">
      <alignment horizontal="left" vertical="center"/>
    </xf>
    <xf numFmtId="164" fontId="4" fillId="22" borderId="54" xfId="27" applyNumberFormat="1" applyFont="1" applyFill="1" applyBorder="1" applyAlignment="1">
      <alignment horizontal="left" vertical="center"/>
    </xf>
    <xf numFmtId="0" fontId="3" fillId="9" borderId="50" xfId="0" applyFont="1" applyFill="1" applyBorder="1" applyAlignment="1">
      <alignment horizontal="center"/>
    </xf>
    <xf numFmtId="0" fontId="3" fillId="9" borderId="64" xfId="0" applyFont="1" applyFill="1" applyBorder="1" applyAlignment="1">
      <alignment horizontal="center"/>
    </xf>
    <xf numFmtId="0" fontId="3" fillId="9" borderId="74" xfId="0" applyFont="1" applyFill="1" applyBorder="1" applyAlignment="1">
      <alignment horizontal="center"/>
    </xf>
    <xf numFmtId="0" fontId="3" fillId="9" borderId="8" xfId="0" applyFont="1" applyFill="1" applyBorder="1" applyAlignment="1">
      <alignment horizontal="center"/>
    </xf>
    <xf numFmtId="0" fontId="3" fillId="9" borderId="9"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48"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34" xfId="0" applyBorder="1"/>
    <xf numFmtId="0" fontId="0" fillId="0" borderId="16" xfId="0" applyBorder="1"/>
    <xf numFmtId="0" fontId="0" fillId="0" borderId="35" xfId="0" applyBorder="1"/>
    <xf numFmtId="9" fontId="30" fillId="0" borderId="0" xfId="0" applyNumberFormat="1" applyFont="1" applyAlignment="1">
      <alignment vertical="center"/>
    </xf>
    <xf numFmtId="0" fontId="17" fillId="0" borderId="62" xfId="0" applyFont="1" applyBorder="1" applyAlignment="1">
      <alignment horizontal="center" vertical="center"/>
    </xf>
    <xf numFmtId="0" fontId="70" fillId="2" borderId="0" xfId="0" applyFont="1" applyFill="1"/>
    <xf numFmtId="0" fontId="2" fillId="0" borderId="1" xfId="0" applyFont="1" applyBorder="1"/>
    <xf numFmtId="44" fontId="2" fillId="0" borderId="1" xfId="0" applyNumberFormat="1" applyFont="1" applyBorder="1"/>
    <xf numFmtId="168" fontId="2" fillId="0" borderId="1" xfId="0" applyNumberFormat="1" applyFont="1" applyBorder="1"/>
    <xf numFmtId="164" fontId="2" fillId="0" borderId="1" xfId="0" applyNumberFormat="1" applyFont="1" applyBorder="1"/>
    <xf numFmtId="0" fontId="70" fillId="2" borderId="1" xfId="0" applyFont="1" applyFill="1" applyBorder="1"/>
    <xf numFmtId="0" fontId="69" fillId="2" borderId="1" xfId="0" applyFont="1" applyFill="1" applyBorder="1" applyAlignment="1">
      <alignment horizontal="center" vertical="center"/>
    </xf>
    <xf numFmtId="0" fontId="0" fillId="0" borderId="0" xfId="0" applyAlignment="1">
      <alignment textRotation="255"/>
    </xf>
    <xf numFmtId="164" fontId="0" fillId="11" borderId="73" xfId="0" applyNumberFormat="1" applyFill="1" applyBorder="1" applyAlignment="1" applyProtection="1">
      <alignment horizontal="center" vertical="center" wrapText="1"/>
      <protection locked="0"/>
    </xf>
    <xf numFmtId="164" fontId="3" fillId="0" borderId="0" xfId="0" applyNumberFormat="1" applyFont="1"/>
    <xf numFmtId="44" fontId="0" fillId="0" borderId="0" xfId="0" applyNumberFormat="1"/>
    <xf numFmtId="44" fontId="3" fillId="0" borderId="0" xfId="0" applyNumberFormat="1" applyFont="1"/>
    <xf numFmtId="164" fontId="0" fillId="0" borderId="0" xfId="0" applyNumberFormat="1"/>
    <xf numFmtId="164" fontId="4" fillId="0" borderId="59" xfId="27" applyNumberFormat="1" applyFont="1" applyBorder="1" applyAlignment="1">
      <alignment horizontal="left" vertical="center"/>
    </xf>
    <xf numFmtId="44" fontId="17" fillId="0" borderId="16" xfId="27" applyFont="1" applyBorder="1" applyAlignment="1">
      <alignment horizontal="left" vertical="center"/>
    </xf>
    <xf numFmtId="164" fontId="17" fillId="0" borderId="35" xfId="27" applyNumberFormat="1" applyFont="1" applyBorder="1" applyAlignment="1">
      <alignment horizontal="left" vertical="center"/>
    </xf>
    <xf numFmtId="164" fontId="17" fillId="0" borderId="75" xfId="27" applyNumberFormat="1" applyFont="1" applyBorder="1" applyAlignment="1">
      <alignment horizontal="left" vertical="center"/>
    </xf>
    <xf numFmtId="164" fontId="4" fillId="0" borderId="50" xfId="27" applyNumberFormat="1" applyFont="1" applyBorder="1" applyAlignment="1">
      <alignment horizontal="left" vertical="center"/>
    </xf>
    <xf numFmtId="164" fontId="17" fillId="0" borderId="34" xfId="27" applyNumberFormat="1" applyFont="1" applyBorder="1" applyAlignment="1">
      <alignment horizontal="left" vertical="center"/>
    </xf>
    <xf numFmtId="164" fontId="17" fillId="0" borderId="72" xfId="27" applyNumberFormat="1" applyFont="1" applyBorder="1" applyAlignment="1">
      <alignment horizontal="left" vertical="center"/>
    </xf>
    <xf numFmtId="0" fontId="17" fillId="0" borderId="54" xfId="0" applyFont="1" applyBorder="1" applyAlignment="1">
      <alignment horizontal="left" vertical="center"/>
    </xf>
    <xf numFmtId="164" fontId="17" fillId="22" borderId="48" xfId="27" applyNumberFormat="1" applyFont="1" applyFill="1" applyBorder="1" applyAlignment="1">
      <alignment horizontal="left" vertical="center"/>
    </xf>
    <xf numFmtId="164" fontId="4" fillId="22" borderId="35" xfId="27" applyNumberFormat="1" applyFont="1" applyFill="1" applyBorder="1" applyAlignment="1">
      <alignment horizontal="left" vertical="center"/>
    </xf>
    <xf numFmtId="14" fontId="2" fillId="0" borderId="0" xfId="0" applyNumberFormat="1" applyFont="1"/>
    <xf numFmtId="9" fontId="0" fillId="0" borderId="0" xfId="2" applyFont="1"/>
    <xf numFmtId="168" fontId="2" fillId="0" borderId="0" xfId="0" applyNumberFormat="1" applyFont="1"/>
    <xf numFmtId="0" fontId="30" fillId="0" borderId="15" xfId="0" applyFont="1" applyBorder="1" applyAlignment="1">
      <alignment horizontal="center" vertical="center"/>
    </xf>
    <xf numFmtId="0" fontId="30" fillId="0" borderId="30" xfId="0" applyFont="1" applyBorder="1" applyAlignment="1">
      <alignment horizontal="center" vertical="center"/>
    </xf>
    <xf numFmtId="0" fontId="22" fillId="0" borderId="58" xfId="0" applyFont="1" applyBorder="1" applyAlignment="1">
      <alignment horizontal="center" vertical="center"/>
    </xf>
    <xf numFmtId="0" fontId="66" fillId="2" borderId="0" xfId="0" applyFont="1" applyFill="1" applyAlignment="1">
      <alignment vertical="center"/>
    </xf>
    <xf numFmtId="0" fontId="37" fillId="0" borderId="0" xfId="0" applyFont="1" applyAlignment="1">
      <alignment horizontal="center" vertical="center" wrapText="1"/>
    </xf>
    <xf numFmtId="14" fontId="37" fillId="0" borderId="0" xfId="0" applyNumberFormat="1" applyFont="1" applyAlignment="1">
      <alignment horizontal="right" vertical="center" wrapText="1"/>
    </xf>
    <xf numFmtId="0" fontId="37" fillId="0" borderId="0" xfId="0" applyFont="1" applyAlignment="1">
      <alignment vertical="center"/>
    </xf>
    <xf numFmtId="0" fontId="39" fillId="0" borderId="0" xfId="0" applyFont="1" applyAlignment="1">
      <alignment vertical="center"/>
    </xf>
    <xf numFmtId="0" fontId="40" fillId="0" borderId="0" xfId="0" applyFont="1" applyAlignment="1">
      <alignment horizontal="center" vertical="center"/>
    </xf>
    <xf numFmtId="44" fontId="22" fillId="0" borderId="0" xfId="0" applyNumberFormat="1" applyFont="1" applyAlignment="1">
      <alignment vertical="center"/>
    </xf>
    <xf numFmtId="164" fontId="22" fillId="0" borderId="0" xfId="0" applyNumberFormat="1" applyFont="1" applyAlignment="1">
      <alignment vertical="center"/>
    </xf>
    <xf numFmtId="0" fontId="21" fillId="9" borderId="5" xfId="0" applyFont="1" applyFill="1" applyBorder="1" applyAlignment="1">
      <alignment horizontal="left" vertical="center"/>
    </xf>
    <xf numFmtId="0" fontId="21" fillId="9" borderId="7" xfId="0" applyFont="1" applyFill="1" applyBorder="1" applyAlignment="1">
      <alignment horizontal="left" vertical="center"/>
    </xf>
    <xf numFmtId="0" fontId="66" fillId="0" borderId="0" xfId="0" applyFont="1" applyAlignment="1">
      <alignment vertical="center"/>
    </xf>
    <xf numFmtId="0" fontId="42" fillId="0" borderId="0" xfId="0" applyFont="1" applyAlignment="1">
      <alignment vertical="center"/>
    </xf>
    <xf numFmtId="0" fontId="22" fillId="0" borderId="6" xfId="0" applyFont="1" applyBorder="1" applyAlignment="1">
      <alignment horizontal="left" vertical="center"/>
    </xf>
    <xf numFmtId="4" fontId="38" fillId="0" borderId="0" xfId="0" applyNumberFormat="1" applyFont="1" applyAlignment="1">
      <alignment vertical="center"/>
    </xf>
    <xf numFmtId="0" fontId="41" fillId="2" borderId="0" xfId="0" applyFont="1" applyFill="1" applyAlignment="1">
      <alignment vertical="center"/>
    </xf>
    <xf numFmtId="0" fontId="24" fillId="5" borderId="5" xfId="0" applyFont="1" applyFill="1" applyBorder="1" applyAlignment="1" applyProtection="1">
      <alignment horizontal="center" vertical="center"/>
      <protection locked="0"/>
    </xf>
    <xf numFmtId="0" fontId="24" fillId="5" borderId="1" xfId="0" applyFont="1" applyFill="1" applyBorder="1" applyAlignment="1" applyProtection="1">
      <alignment horizontal="center" vertical="center"/>
      <protection locked="0"/>
    </xf>
    <xf numFmtId="0" fontId="24" fillId="5" borderId="6" xfId="0" applyFont="1" applyFill="1" applyBorder="1" applyAlignment="1" applyProtection="1">
      <alignment horizontal="center" vertical="center"/>
      <protection locked="0"/>
    </xf>
    <xf numFmtId="0" fontId="3" fillId="0" borderId="41" xfId="0" applyFont="1" applyBorder="1" applyAlignment="1">
      <alignment vertical="center"/>
    </xf>
    <xf numFmtId="0" fontId="0" fillId="0" borderId="48" xfId="0" applyBorder="1" applyAlignment="1">
      <alignment vertical="center"/>
    </xf>
    <xf numFmtId="0" fontId="3" fillId="17" borderId="81" xfId="0" applyFont="1" applyFill="1" applyBorder="1" applyAlignment="1">
      <alignment horizontal="center" vertical="center"/>
    </xf>
    <xf numFmtId="164" fontId="25" fillId="0" borderId="0" xfId="3" applyNumberFormat="1" applyFont="1" applyBorder="1" applyAlignment="1">
      <alignment vertical="center"/>
    </xf>
    <xf numFmtId="0" fontId="0" fillId="0" borderId="58" xfId="0" applyBorder="1" applyAlignment="1">
      <alignment vertical="center"/>
    </xf>
    <xf numFmtId="0" fontId="0" fillId="0" borderId="57" xfId="0" applyBorder="1" applyAlignment="1">
      <alignment vertical="center"/>
    </xf>
    <xf numFmtId="0" fontId="17" fillId="0" borderId="2" xfId="0" applyFont="1" applyBorder="1" applyAlignment="1">
      <alignment vertical="center"/>
    </xf>
    <xf numFmtId="0" fontId="17" fillId="0" borderId="5" xfId="0" applyFont="1" applyBorder="1" applyAlignment="1">
      <alignment vertical="center"/>
    </xf>
    <xf numFmtId="0" fontId="17" fillId="0" borderId="7" xfId="0" applyFont="1" applyBorder="1" applyAlignment="1">
      <alignment vertical="center"/>
    </xf>
    <xf numFmtId="0" fontId="27" fillId="0" borderId="0" xfId="0" applyFont="1" applyAlignment="1">
      <alignment vertical="center"/>
    </xf>
    <xf numFmtId="0" fontId="27" fillId="2" borderId="0" xfId="0" applyFont="1" applyFill="1" applyAlignment="1">
      <alignment vertical="center"/>
    </xf>
    <xf numFmtId="0" fontId="30" fillId="0" borderId="27" xfId="0" applyFont="1" applyBorder="1" applyAlignment="1">
      <alignment horizontal="center" vertical="center"/>
    </xf>
    <xf numFmtId="9" fontId="0" fillId="0" borderId="0" xfId="0" applyNumberFormat="1"/>
    <xf numFmtId="2" fontId="0" fillId="0" borderId="0" xfId="0" applyNumberFormat="1" applyAlignment="1">
      <alignment vertical="center"/>
    </xf>
    <xf numFmtId="0" fontId="0" fillId="0" borderId="8" xfId="0" applyBorder="1" applyAlignment="1">
      <alignment vertical="center"/>
    </xf>
    <xf numFmtId="0" fontId="0" fillId="0" borderId="0" xfId="0" applyAlignment="1">
      <alignment horizontal="center"/>
    </xf>
    <xf numFmtId="0" fontId="33" fillId="0" borderId="0" xfId="0" applyFont="1" applyAlignment="1">
      <alignment horizontal="center" vertical="center"/>
    </xf>
    <xf numFmtId="0" fontId="27" fillId="0" borderId="0" xfId="0" applyFont="1" applyAlignment="1">
      <alignment horizontal="center" vertical="center"/>
    </xf>
    <xf numFmtId="0" fontId="27" fillId="2" borderId="0" xfId="0" applyFont="1" applyFill="1" applyAlignment="1">
      <alignment horizontal="center" vertical="center"/>
    </xf>
    <xf numFmtId="0" fontId="17" fillId="0" borderId="0" xfId="0" applyFont="1" applyAlignment="1">
      <alignment horizontal="center" vertical="center"/>
    </xf>
    <xf numFmtId="43" fontId="0" fillId="2" borderId="11" xfId="1" applyFont="1" applyFill="1" applyBorder="1" applyAlignment="1">
      <alignment vertical="center"/>
    </xf>
    <xf numFmtId="164" fontId="0" fillId="2" borderId="74" xfId="0" applyNumberFormat="1" applyFill="1" applyBorder="1" applyAlignment="1" applyProtection="1">
      <alignment horizontal="center" vertical="center" wrapText="1"/>
      <protection locked="0"/>
    </xf>
    <xf numFmtId="0" fontId="25" fillId="2" borderId="3" xfId="0" applyFont="1" applyFill="1" applyBorder="1" applyAlignment="1" applyProtection="1">
      <alignment horizontal="center" vertical="center"/>
      <protection hidden="1"/>
    </xf>
    <xf numFmtId="43" fontId="0" fillId="2" borderId="3" xfId="1" applyFont="1" applyFill="1" applyBorder="1" applyAlignment="1" applyProtection="1">
      <alignment vertical="center"/>
      <protection hidden="1"/>
    </xf>
    <xf numFmtId="44" fontId="0" fillId="2" borderId="14" xfId="0" applyNumberFormat="1" applyFill="1" applyBorder="1" applyAlignment="1" applyProtection="1">
      <alignment horizontal="center" vertical="center" wrapText="1"/>
      <protection locked="0"/>
    </xf>
    <xf numFmtId="0" fontId="25" fillId="2" borderId="11" xfId="0" applyFont="1" applyFill="1" applyBorder="1" applyAlignment="1" applyProtection="1">
      <alignment horizontal="center" vertical="center"/>
      <protection hidden="1"/>
    </xf>
    <xf numFmtId="43" fontId="0" fillId="2" borderId="1" xfId="1" applyFont="1" applyFill="1" applyBorder="1" applyAlignment="1" applyProtection="1">
      <alignment vertical="center"/>
      <protection hidden="1"/>
    </xf>
    <xf numFmtId="164" fontId="0" fillId="2" borderId="42" xfId="0" applyNumberFormat="1" applyFill="1" applyBorder="1" applyAlignment="1" applyProtection="1">
      <alignment horizontal="center" vertical="center" wrapText="1"/>
      <protection locked="0"/>
    </xf>
    <xf numFmtId="0" fontId="25" fillId="2" borderId="1" xfId="0" applyFont="1" applyFill="1" applyBorder="1" applyAlignment="1" applyProtection="1">
      <alignment horizontal="center" vertical="center"/>
      <protection hidden="1"/>
    </xf>
    <xf numFmtId="0" fontId="25" fillId="2" borderId="16" xfId="0" applyFont="1" applyFill="1" applyBorder="1" applyAlignment="1" applyProtection="1">
      <alignment horizontal="center" vertical="center"/>
      <protection hidden="1"/>
    </xf>
    <xf numFmtId="43" fontId="0" fillId="2" borderId="16" xfId="1" applyFont="1" applyFill="1" applyBorder="1" applyAlignment="1" applyProtection="1">
      <alignment vertical="center"/>
      <protection hidden="1"/>
    </xf>
    <xf numFmtId="164" fontId="0" fillId="2" borderId="73" xfId="0" applyNumberFormat="1" applyFill="1" applyBorder="1" applyAlignment="1" applyProtection="1">
      <alignment horizontal="center" vertical="center" wrapText="1"/>
      <protection locked="0"/>
    </xf>
    <xf numFmtId="0" fontId="25" fillId="2" borderId="8" xfId="0" applyFont="1" applyFill="1" applyBorder="1" applyAlignment="1" applyProtection="1">
      <alignment horizontal="center" vertical="center"/>
      <protection hidden="1"/>
    </xf>
    <xf numFmtId="43" fontId="1" fillId="2" borderId="8" xfId="1" applyFont="1" applyFill="1" applyBorder="1" applyAlignment="1" applyProtection="1">
      <alignment vertical="center"/>
      <protection hidden="1"/>
    </xf>
    <xf numFmtId="1" fontId="0" fillId="2" borderId="68" xfId="1" applyNumberFormat="1" applyFont="1" applyFill="1" applyBorder="1" applyAlignment="1">
      <alignment horizontal="center" vertical="center"/>
    </xf>
    <xf numFmtId="43" fontId="0" fillId="2" borderId="3" xfId="1" applyFont="1" applyFill="1" applyBorder="1" applyAlignment="1">
      <alignment vertical="center"/>
    </xf>
    <xf numFmtId="1" fontId="0" fillId="2" borderId="60" xfId="1" applyNumberFormat="1" applyFont="1" applyFill="1" applyBorder="1" applyAlignment="1">
      <alignment horizontal="center" vertical="center"/>
    </xf>
    <xf numFmtId="2" fontId="0" fillId="2" borderId="41" xfId="1" applyNumberFormat="1" applyFont="1" applyFill="1" applyBorder="1" applyAlignment="1">
      <alignment horizontal="center" vertical="center"/>
    </xf>
    <xf numFmtId="43" fontId="0" fillId="2" borderId="1" xfId="1" applyFont="1" applyFill="1" applyBorder="1" applyAlignment="1">
      <alignment vertical="center"/>
    </xf>
    <xf numFmtId="2" fontId="0" fillId="2" borderId="16" xfId="1" applyNumberFormat="1" applyFont="1" applyFill="1" applyBorder="1" applyAlignment="1">
      <alignment horizontal="center" vertical="center"/>
    </xf>
    <xf numFmtId="43" fontId="0" fillId="2" borderId="16" xfId="1" applyFont="1" applyFill="1" applyBorder="1" applyAlignment="1">
      <alignment vertical="center"/>
    </xf>
    <xf numFmtId="0" fontId="0" fillId="2" borderId="1" xfId="1" applyNumberFormat="1" applyFont="1" applyFill="1" applyBorder="1" applyAlignment="1">
      <alignment horizontal="center" vertical="center"/>
    </xf>
    <xf numFmtId="0" fontId="0" fillId="2" borderId="16" xfId="1" applyNumberFormat="1" applyFont="1" applyFill="1" applyBorder="1" applyAlignment="1">
      <alignment horizontal="center" vertical="center"/>
    </xf>
    <xf numFmtId="0" fontId="0" fillId="2" borderId="11" xfId="1" applyNumberFormat="1" applyFont="1" applyFill="1" applyBorder="1" applyAlignment="1" applyProtection="1">
      <alignment horizontal="center" vertical="center"/>
      <protection hidden="1"/>
    </xf>
    <xf numFmtId="43" fontId="0" fillId="2" borderId="11" xfId="1" applyFont="1" applyFill="1" applyBorder="1" applyAlignment="1" applyProtection="1">
      <alignment vertical="center"/>
      <protection hidden="1"/>
    </xf>
    <xf numFmtId="0" fontId="0" fillId="2" borderId="74" xfId="0" applyFill="1" applyBorder="1" applyAlignment="1" applyProtection="1">
      <alignment vertical="center" wrapText="1"/>
      <protection locked="0"/>
    </xf>
    <xf numFmtId="0" fontId="0" fillId="2" borderId="1" xfId="1" applyNumberFormat="1" applyFont="1" applyFill="1" applyBorder="1" applyAlignment="1" applyProtection="1">
      <alignment horizontal="center" vertical="center"/>
      <protection hidden="1"/>
    </xf>
    <xf numFmtId="0" fontId="0" fillId="2" borderId="42" xfId="0" applyFill="1" applyBorder="1" applyAlignment="1" applyProtection="1">
      <alignment vertical="center" wrapText="1"/>
      <protection locked="0"/>
    </xf>
    <xf numFmtId="0" fontId="1" fillId="2" borderId="1" xfId="1" applyNumberFormat="1" applyFont="1" applyFill="1" applyBorder="1" applyAlignment="1" applyProtection="1">
      <alignment horizontal="center" vertical="center"/>
      <protection hidden="1"/>
    </xf>
    <xf numFmtId="43" fontId="1" fillId="2" borderId="1" xfId="1" applyFont="1" applyFill="1" applyBorder="1" applyAlignment="1" applyProtection="1">
      <alignment vertical="center"/>
      <protection hidden="1"/>
    </xf>
    <xf numFmtId="0" fontId="25" fillId="2" borderId="16" xfId="0" applyFont="1" applyFill="1" applyBorder="1" applyAlignment="1" applyProtection="1">
      <alignment horizontal="center" vertical="center" wrapText="1"/>
      <protection locked="0" hidden="1"/>
    </xf>
    <xf numFmtId="0" fontId="0" fillId="2" borderId="73" xfId="0" applyFill="1" applyBorder="1" applyAlignment="1" applyProtection="1">
      <alignment vertical="center" wrapText="1"/>
      <protection locked="0"/>
    </xf>
    <xf numFmtId="0" fontId="0" fillId="2" borderId="74" xfId="0" applyFill="1" applyBorder="1" applyAlignment="1" applyProtection="1">
      <alignment vertical="center"/>
      <protection locked="0"/>
    </xf>
    <xf numFmtId="44" fontId="0" fillId="2" borderId="73" xfId="0" applyNumberFormat="1" applyFill="1" applyBorder="1" applyAlignment="1" applyProtection="1">
      <alignment vertical="center"/>
      <protection locked="0"/>
    </xf>
    <xf numFmtId="1" fontId="0" fillId="2" borderId="11" xfId="1" applyNumberFormat="1" applyFont="1" applyFill="1" applyBorder="1" applyAlignment="1">
      <alignment horizontal="center" vertical="center"/>
    </xf>
    <xf numFmtId="44" fontId="0" fillId="2" borderId="74" xfId="0" applyNumberFormat="1" applyFill="1" applyBorder="1" applyAlignment="1" applyProtection="1">
      <alignment vertical="center"/>
      <protection locked="0"/>
    </xf>
    <xf numFmtId="1" fontId="0" fillId="2" borderId="17" xfId="1" applyNumberFormat="1" applyFont="1" applyFill="1" applyBorder="1" applyAlignment="1">
      <alignment horizontal="center" vertical="center"/>
    </xf>
    <xf numFmtId="0" fontId="0" fillId="2" borderId="73" xfId="0" applyFill="1" applyBorder="1" applyAlignment="1" applyProtection="1">
      <alignment vertical="center"/>
      <protection locked="0"/>
    </xf>
    <xf numFmtId="0" fontId="0" fillId="2" borderId="42" xfId="0" applyFill="1" applyBorder="1" applyAlignment="1" applyProtection="1">
      <alignment vertical="center"/>
      <protection locked="0"/>
    </xf>
    <xf numFmtId="1" fontId="0" fillId="2" borderId="60" xfId="1" applyNumberFormat="1" applyFont="1" applyFill="1" applyBorder="1" applyAlignment="1" applyProtection="1">
      <alignment horizontal="center" vertical="center"/>
      <protection locked="0"/>
    </xf>
    <xf numFmtId="1" fontId="0" fillId="2" borderId="41" xfId="1" applyNumberFormat="1" applyFont="1" applyFill="1" applyBorder="1" applyAlignment="1" applyProtection="1">
      <alignment horizontal="center" vertical="center"/>
      <protection locked="0"/>
    </xf>
    <xf numFmtId="43" fontId="0" fillId="2" borderId="8" xfId="1" applyFont="1" applyFill="1" applyBorder="1" applyAlignment="1">
      <alignment vertical="center"/>
    </xf>
    <xf numFmtId="44" fontId="30" fillId="2" borderId="58" xfId="0" applyNumberFormat="1" applyFont="1" applyFill="1" applyBorder="1" applyAlignment="1">
      <alignment vertical="center" wrapText="1"/>
    </xf>
    <xf numFmtId="1" fontId="0" fillId="2" borderId="55" xfId="1" applyNumberFormat="1" applyFont="1" applyFill="1" applyBorder="1" applyAlignment="1" applyProtection="1">
      <alignment horizontal="center" vertical="center"/>
      <protection locked="0"/>
    </xf>
    <xf numFmtId="1" fontId="0" fillId="2" borderId="1" xfId="1" applyNumberFormat="1" applyFont="1" applyFill="1" applyBorder="1" applyAlignment="1" applyProtection="1">
      <alignment horizontal="center" vertical="center"/>
      <protection locked="0"/>
    </xf>
    <xf numFmtId="43" fontId="0" fillId="2" borderId="41" xfId="1" applyFont="1" applyFill="1" applyBorder="1" applyAlignment="1">
      <alignment vertical="center"/>
    </xf>
    <xf numFmtId="44" fontId="30" fillId="2" borderId="75" xfId="0" applyNumberFormat="1" applyFont="1" applyFill="1" applyBorder="1" applyAlignment="1">
      <alignment vertical="center" wrapText="1"/>
    </xf>
    <xf numFmtId="1" fontId="0" fillId="2" borderId="0" xfId="1" applyNumberFormat="1" applyFont="1" applyFill="1" applyBorder="1" applyAlignment="1" applyProtection="1">
      <alignment horizontal="center" vertical="center"/>
      <protection locked="0"/>
    </xf>
    <xf numFmtId="0" fontId="0" fillId="2" borderId="74" xfId="0" applyFill="1" applyBorder="1" applyAlignment="1" applyProtection="1">
      <alignment horizontal="center" vertical="center"/>
      <protection locked="0"/>
    </xf>
    <xf numFmtId="1" fontId="0" fillId="2" borderId="1" xfId="1" applyNumberFormat="1" applyFont="1" applyFill="1" applyBorder="1" applyAlignment="1" applyProtection="1">
      <alignment horizontal="center" vertical="center"/>
      <protection hidden="1"/>
    </xf>
    <xf numFmtId="0" fontId="0" fillId="2" borderId="42" xfId="0" applyFill="1" applyBorder="1" applyAlignment="1" applyProtection="1">
      <alignment horizontal="center" vertical="center"/>
      <protection locked="0"/>
    </xf>
    <xf numFmtId="0" fontId="25" fillId="2" borderId="1" xfId="0" applyFont="1" applyFill="1" applyBorder="1" applyAlignment="1" applyProtection="1">
      <alignment horizontal="center" vertical="center" wrapText="1"/>
      <protection hidden="1"/>
    </xf>
    <xf numFmtId="43" fontId="0" fillId="2" borderId="41" xfId="1" applyFont="1" applyFill="1" applyBorder="1" applyAlignment="1" applyProtection="1">
      <alignment vertical="center"/>
      <protection hidden="1"/>
    </xf>
    <xf numFmtId="0" fontId="0" fillId="2" borderId="3" xfId="1" applyNumberFormat="1" applyFont="1" applyFill="1" applyBorder="1" applyAlignment="1">
      <alignment horizontal="center" vertical="center"/>
    </xf>
    <xf numFmtId="0" fontId="0" fillId="2" borderId="69" xfId="1" applyNumberFormat="1" applyFont="1" applyFill="1" applyBorder="1" applyAlignment="1">
      <alignment horizontal="center" vertical="center"/>
    </xf>
    <xf numFmtId="1" fontId="0" fillId="2" borderId="16" xfId="1" applyNumberFormat="1" applyFont="1" applyFill="1" applyBorder="1" applyAlignment="1">
      <alignment horizontal="center" vertical="center"/>
    </xf>
    <xf numFmtId="1" fontId="0" fillId="2" borderId="3" xfId="1" applyNumberFormat="1" applyFont="1" applyFill="1" applyBorder="1" applyAlignment="1" applyProtection="1">
      <alignment horizontal="center" vertical="center"/>
      <protection hidden="1"/>
    </xf>
    <xf numFmtId="43" fontId="0" fillId="2" borderId="29" xfId="1" applyFont="1" applyFill="1" applyBorder="1" applyAlignment="1" applyProtection="1">
      <alignment vertical="center"/>
      <protection hidden="1"/>
    </xf>
    <xf numFmtId="0" fontId="0" fillId="2" borderId="15" xfId="0" applyFill="1" applyBorder="1" applyAlignment="1" applyProtection="1">
      <alignment vertical="center"/>
      <protection locked="0"/>
    </xf>
    <xf numFmtId="1" fontId="0" fillId="2" borderId="16" xfId="1" applyNumberFormat="1" applyFont="1" applyFill="1" applyBorder="1" applyAlignment="1" applyProtection="1">
      <alignment horizontal="center" vertical="center"/>
      <protection hidden="1"/>
    </xf>
    <xf numFmtId="43" fontId="0" fillId="2" borderId="55" xfId="1" applyFont="1" applyFill="1" applyBorder="1" applyAlignment="1" applyProtection="1">
      <alignment vertical="center"/>
      <protection hidden="1"/>
    </xf>
    <xf numFmtId="0" fontId="0" fillId="2" borderId="75" xfId="0" applyFill="1" applyBorder="1" applyAlignment="1" applyProtection="1">
      <alignment vertical="center"/>
      <protection locked="0"/>
    </xf>
    <xf numFmtId="0" fontId="0" fillId="2" borderId="1" xfId="0" applyFill="1" applyBorder="1" applyAlignment="1" applyProtection="1">
      <alignment horizontal="center" vertical="center"/>
      <protection hidden="1"/>
    </xf>
    <xf numFmtId="0" fontId="0" fillId="2" borderId="1" xfId="1" applyNumberFormat="1" applyFont="1" applyFill="1" applyBorder="1" applyAlignment="1" applyProtection="1">
      <alignment horizontal="center" vertical="center"/>
      <protection locked="0" hidden="1"/>
    </xf>
    <xf numFmtId="0" fontId="0" fillId="2" borderId="1" xfId="3" applyNumberFormat="1" applyFont="1" applyFill="1" applyBorder="1" applyAlignment="1" applyProtection="1">
      <alignment horizontal="center" vertical="center"/>
      <protection hidden="1"/>
    </xf>
    <xf numFmtId="0" fontId="0" fillId="2" borderId="73" xfId="0" applyFill="1" applyBorder="1" applyAlignment="1" applyProtection="1">
      <alignment horizontal="center" vertical="center"/>
      <protection locked="0"/>
    </xf>
    <xf numFmtId="0" fontId="0" fillId="2" borderId="1" xfId="0" applyFill="1" applyBorder="1" applyAlignment="1" applyProtection="1">
      <alignment horizontal="center" vertical="center"/>
      <protection locked="0" hidden="1"/>
    </xf>
    <xf numFmtId="0" fontId="34" fillId="2" borderId="73" xfId="0" applyFont="1" applyFill="1" applyBorder="1" applyAlignment="1" applyProtection="1">
      <alignment vertical="center" wrapText="1"/>
      <protection locked="0"/>
    </xf>
    <xf numFmtId="167" fontId="0" fillId="2" borderId="1" xfId="0" applyNumberForma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1" fontId="0" fillId="2" borderId="1" xfId="0" applyNumberFormat="1" applyFill="1" applyBorder="1" applyAlignment="1" applyProtection="1">
      <alignment horizontal="center" vertical="center" wrapText="1"/>
      <protection hidden="1"/>
    </xf>
    <xf numFmtId="1" fontId="1" fillId="2" borderId="11" xfId="1" applyNumberFormat="1" applyFont="1" applyFill="1" applyBorder="1" applyAlignment="1" applyProtection="1">
      <alignment horizontal="center" vertical="center"/>
      <protection hidden="1"/>
    </xf>
    <xf numFmtId="43" fontId="1" fillId="2" borderId="11" xfId="1" applyFont="1" applyFill="1" applyBorder="1" applyAlignment="1">
      <alignment vertical="center"/>
    </xf>
    <xf numFmtId="0" fontId="0" fillId="2" borderId="74" xfId="0" applyFill="1" applyBorder="1" applyAlignment="1" applyProtection="1">
      <alignment horizontal="center" vertical="center" wrapText="1"/>
      <protection locked="0"/>
    </xf>
    <xf numFmtId="1" fontId="1" fillId="2" borderId="1" xfId="1" applyNumberFormat="1" applyFont="1" applyFill="1" applyBorder="1" applyAlignment="1" applyProtection="1">
      <alignment horizontal="center" vertical="center"/>
      <protection hidden="1"/>
    </xf>
    <xf numFmtId="43" fontId="1" fillId="2" borderId="1" xfId="1" applyFont="1" applyFill="1" applyBorder="1" applyAlignment="1">
      <alignment vertical="center"/>
    </xf>
    <xf numFmtId="0" fontId="0" fillId="2" borderId="42" xfId="0" applyFill="1" applyBorder="1" applyAlignment="1" applyProtection="1">
      <alignment horizontal="center" vertical="center" wrapText="1"/>
      <protection locked="0"/>
    </xf>
    <xf numFmtId="0" fontId="27" fillId="2" borderId="42" xfId="0" applyFont="1" applyFill="1" applyBorder="1" applyAlignment="1" applyProtection="1">
      <alignment horizontal="center" vertical="center" wrapText="1"/>
      <protection locked="0"/>
    </xf>
    <xf numFmtId="44" fontId="0" fillId="2" borderId="42" xfId="0" applyNumberFormat="1" applyFill="1" applyBorder="1" applyAlignment="1" applyProtection="1">
      <alignment horizontal="center" vertical="center" wrapText="1"/>
      <protection locked="0"/>
    </xf>
    <xf numFmtId="164" fontId="35" fillId="2" borderId="42" xfId="4" applyNumberFormat="1" applyFont="1" applyFill="1" applyBorder="1" applyAlignment="1" applyProtection="1">
      <alignment horizontal="center" vertical="center" wrapText="1"/>
    </xf>
    <xf numFmtId="164" fontId="35" fillId="2" borderId="42" xfId="4" applyNumberFormat="1" applyFont="1" applyFill="1" applyBorder="1" applyAlignment="1">
      <alignment horizontal="center" vertical="center" wrapText="1"/>
    </xf>
    <xf numFmtId="1" fontId="1" fillId="2" borderId="16" xfId="1" applyNumberFormat="1" applyFont="1" applyFill="1" applyBorder="1" applyAlignment="1" applyProtection="1">
      <alignment horizontal="center" vertical="center"/>
      <protection hidden="1"/>
    </xf>
    <xf numFmtId="43" fontId="1" fillId="2" borderId="16" xfId="1" applyFont="1" applyFill="1" applyBorder="1" applyAlignment="1">
      <alignment vertical="center"/>
    </xf>
    <xf numFmtId="0" fontId="0" fillId="2" borderId="66" xfId="0" applyFill="1" applyBorder="1" applyAlignment="1">
      <alignment vertical="center"/>
    </xf>
    <xf numFmtId="0" fontId="27" fillId="2" borderId="42" xfId="0" applyFont="1" applyFill="1" applyBorder="1" applyAlignment="1" applyProtection="1">
      <alignment vertical="center"/>
      <protection locked="0"/>
    </xf>
    <xf numFmtId="0" fontId="0" fillId="2" borderId="73" xfId="0" applyFill="1" applyBorder="1" applyAlignment="1" applyProtection="1">
      <alignment horizontal="center" vertical="center" wrapText="1"/>
      <protection locked="0"/>
    </xf>
    <xf numFmtId="43" fontId="1" fillId="2" borderId="41" xfId="1" applyFont="1" applyFill="1" applyBorder="1" applyAlignment="1" applyProtection="1">
      <alignment vertical="center"/>
      <protection hidden="1"/>
    </xf>
    <xf numFmtId="43" fontId="1" fillId="2" borderId="55" xfId="1" applyFont="1" applyFill="1" applyBorder="1" applyAlignment="1">
      <alignment vertical="center"/>
    </xf>
    <xf numFmtId="1" fontId="1" fillId="2" borderId="8" xfId="1" applyNumberFormat="1" applyFont="1" applyFill="1" applyBorder="1" applyAlignment="1" applyProtection="1">
      <alignment horizontal="center" vertical="center"/>
      <protection hidden="1"/>
    </xf>
    <xf numFmtId="43" fontId="1" fillId="2" borderId="8" xfId="1" applyFont="1" applyFill="1" applyBorder="1" applyAlignment="1">
      <alignment vertical="center"/>
    </xf>
    <xf numFmtId="0" fontId="0" fillId="2" borderId="43" xfId="0" applyFill="1" applyBorder="1" applyAlignment="1" applyProtection="1">
      <alignment vertical="center"/>
      <protection locked="0"/>
    </xf>
    <xf numFmtId="2" fontId="0" fillId="2" borderId="41" xfId="1" applyNumberFormat="1" applyFont="1" applyFill="1" applyBorder="1" applyAlignment="1" applyProtection="1">
      <alignment horizontal="center" vertical="center"/>
      <protection hidden="1"/>
    </xf>
    <xf numFmtId="43" fontId="0" fillId="2" borderId="8" xfId="1" applyFont="1" applyFill="1" applyBorder="1" applyAlignment="1" applyProtection="1">
      <alignment vertical="center"/>
      <protection hidden="1"/>
    </xf>
    <xf numFmtId="0" fontId="0" fillId="2" borderId="44" xfId="1" applyNumberFormat="1" applyFont="1" applyFill="1" applyBorder="1" applyAlignment="1">
      <alignment horizontal="center" vertical="center"/>
    </xf>
    <xf numFmtId="43" fontId="0" fillId="2" borderId="17" xfId="1" applyFont="1" applyFill="1" applyBorder="1" applyAlignment="1">
      <alignment vertical="center"/>
    </xf>
    <xf numFmtId="0" fontId="0" fillId="2" borderId="41" xfId="1" applyNumberFormat="1" applyFont="1" applyFill="1" applyBorder="1" applyAlignment="1">
      <alignment horizontal="center" vertical="center"/>
    </xf>
    <xf numFmtId="0" fontId="25" fillId="2" borderId="1" xfId="1" applyNumberFormat="1" applyFont="1" applyFill="1" applyBorder="1" applyAlignment="1" applyProtection="1">
      <alignment horizontal="center" vertical="center"/>
      <protection locked="0"/>
    </xf>
    <xf numFmtId="43" fontId="25" fillId="2" borderId="1" xfId="1" applyFont="1" applyFill="1" applyBorder="1" applyAlignment="1" applyProtection="1">
      <alignment vertical="center"/>
      <protection locked="0"/>
    </xf>
    <xf numFmtId="0" fontId="25" fillId="2" borderId="42" xfId="0" applyFont="1" applyFill="1" applyBorder="1" applyAlignment="1" applyProtection="1">
      <alignment vertical="center" wrapText="1"/>
      <protection locked="0"/>
    </xf>
    <xf numFmtId="2" fontId="1" fillId="2" borderId="17" xfId="1" applyNumberFormat="1" applyFont="1" applyFill="1" applyBorder="1" applyAlignment="1">
      <alignment horizontal="center" vertical="center"/>
    </xf>
    <xf numFmtId="10" fontId="72" fillId="3" borderId="44" xfId="0" applyNumberFormat="1" applyFont="1" applyFill="1" applyBorder="1" applyAlignment="1">
      <alignment horizontal="center" vertical="center"/>
    </xf>
    <xf numFmtId="10" fontId="72" fillId="3" borderId="41" xfId="2" applyNumberFormat="1" applyFont="1" applyFill="1" applyBorder="1" applyAlignment="1">
      <alignment horizontal="center" vertical="center"/>
    </xf>
    <xf numFmtId="0" fontId="34" fillId="0" borderId="0" xfId="0" applyFont="1" applyProtection="1">
      <protection hidden="1"/>
    </xf>
    <xf numFmtId="0" fontId="22" fillId="0" borderId="0" xfId="0" applyFont="1" applyProtection="1">
      <protection hidden="1"/>
    </xf>
    <xf numFmtId="0" fontId="22" fillId="0" borderId="1" xfId="0" applyFont="1" applyBorder="1" applyAlignment="1" applyProtection="1">
      <alignment horizontal="center" vertical="center"/>
      <protection locked="0"/>
    </xf>
    <xf numFmtId="0" fontId="22" fillId="5" borderId="1" xfId="0" applyFont="1" applyFill="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22" fillId="0" borderId="11" xfId="0" applyFont="1" applyBorder="1" applyAlignment="1" applyProtection="1">
      <alignment horizontal="center" vertical="center"/>
      <protection locked="0"/>
    </xf>
    <xf numFmtId="0" fontId="21" fillId="9" borderId="5" xfId="0" applyFont="1" applyFill="1" applyBorder="1" applyAlignment="1">
      <alignment vertical="center"/>
    </xf>
    <xf numFmtId="0" fontId="22" fillId="0" borderId="8" xfId="0" applyFont="1" applyBorder="1" applyAlignment="1" applyProtection="1">
      <alignment horizontal="center" vertical="center"/>
      <protection locked="0"/>
    </xf>
    <xf numFmtId="0" fontId="21" fillId="9" borderId="10" xfId="0" applyFont="1" applyFill="1" applyBorder="1" applyAlignment="1">
      <alignment vertical="center"/>
    </xf>
    <xf numFmtId="0" fontId="42" fillId="5" borderId="1" xfId="0" applyFont="1" applyFill="1" applyBorder="1" applyAlignment="1" applyProtection="1">
      <alignment horizontal="center" vertical="center"/>
      <protection locked="0"/>
    </xf>
    <xf numFmtId="0" fontId="41" fillId="9" borderId="5" xfId="0" applyFont="1" applyFill="1" applyBorder="1" applyAlignment="1">
      <alignment vertical="center"/>
    </xf>
    <xf numFmtId="0" fontId="41" fillId="9" borderId="7" xfId="0" applyFont="1" applyFill="1" applyBorder="1" applyAlignment="1">
      <alignment vertical="center"/>
    </xf>
    <xf numFmtId="0" fontId="42" fillId="5" borderId="11" xfId="0" applyFont="1" applyFill="1" applyBorder="1" applyAlignment="1" applyProtection="1">
      <alignment horizontal="center" vertical="center"/>
      <protection locked="0"/>
    </xf>
    <xf numFmtId="0" fontId="21" fillId="9" borderId="48" xfId="0" applyFont="1" applyFill="1" applyBorder="1" applyAlignment="1">
      <alignment vertical="center"/>
    </xf>
    <xf numFmtId="0" fontId="21" fillId="9" borderId="10" xfId="0" applyFont="1" applyFill="1" applyBorder="1" applyAlignment="1">
      <alignment horizontal="left" vertical="center"/>
    </xf>
    <xf numFmtId="0" fontId="21" fillId="9" borderId="48" xfId="0" applyFont="1" applyFill="1" applyBorder="1" applyAlignment="1">
      <alignment horizontal="left" vertical="center"/>
    </xf>
    <xf numFmtId="0" fontId="21" fillId="9" borderId="79" xfId="0" applyFont="1" applyFill="1" applyBorder="1" applyProtection="1">
      <protection hidden="1"/>
    </xf>
    <xf numFmtId="14" fontId="36" fillId="0" borderId="1" xfId="4" applyNumberFormat="1" applyFont="1" applyBorder="1" applyAlignment="1" applyProtection="1">
      <alignment horizontal="center" vertical="center"/>
      <protection locked="0"/>
    </xf>
    <xf numFmtId="14" fontId="22" fillId="0" borderId="1" xfId="0" applyNumberFormat="1" applyFont="1" applyBorder="1" applyAlignment="1" applyProtection="1">
      <alignment horizontal="center" vertical="center"/>
      <protection locked="0"/>
    </xf>
    <xf numFmtId="14" fontId="22" fillId="5" borderId="1" xfId="0" applyNumberFormat="1" applyFont="1" applyFill="1" applyBorder="1" applyAlignment="1" applyProtection="1">
      <alignment horizontal="center" vertical="center"/>
      <protection locked="0"/>
    </xf>
    <xf numFmtId="0" fontId="22" fillId="0" borderId="1" xfId="0" applyFont="1" applyBorder="1" applyAlignment="1" applyProtection="1">
      <alignment horizontal="center" vertical="center" wrapText="1"/>
      <protection locked="0"/>
    </xf>
    <xf numFmtId="174" fontId="42" fillId="0" borderId="1" xfId="0" applyNumberFormat="1" applyFont="1" applyBorder="1" applyAlignment="1" applyProtection="1">
      <alignment horizontal="center" vertical="center"/>
      <protection locked="0"/>
    </xf>
    <xf numFmtId="9" fontId="42" fillId="3" borderId="1" xfId="2" applyFont="1" applyFill="1" applyBorder="1" applyAlignment="1" applyProtection="1">
      <alignment horizontal="center" vertical="center"/>
      <protection locked="0"/>
    </xf>
    <xf numFmtId="0" fontId="42" fillId="3" borderId="1" xfId="0" applyFont="1" applyFill="1" applyBorder="1" applyAlignment="1" applyProtection="1">
      <alignment horizontal="center" vertical="center"/>
      <protection locked="0"/>
    </xf>
    <xf numFmtId="0" fontId="21" fillId="9" borderId="2" xfId="0" applyFont="1" applyFill="1" applyBorder="1" applyAlignment="1">
      <alignment vertical="center"/>
    </xf>
    <xf numFmtId="0" fontId="22" fillId="0" borderId="3" xfId="4" applyFont="1" applyBorder="1" applyAlignment="1" applyProtection="1">
      <alignment horizontal="center" vertical="center"/>
      <protection locked="0"/>
    </xf>
    <xf numFmtId="0" fontId="41" fillId="9" borderId="5" xfId="0" applyFont="1" applyFill="1" applyBorder="1" applyAlignment="1">
      <alignment horizontal="left" vertical="center"/>
    </xf>
    <xf numFmtId="10" fontId="42" fillId="3" borderId="1" xfId="0" applyNumberFormat="1" applyFont="1" applyFill="1" applyBorder="1" applyAlignment="1" applyProtection="1">
      <alignment horizontal="center" vertical="center"/>
      <protection locked="0"/>
    </xf>
    <xf numFmtId="10" fontId="42" fillId="3" borderId="8" xfId="0" applyNumberFormat="1" applyFont="1" applyFill="1" applyBorder="1" applyAlignment="1" applyProtection="1">
      <alignment horizontal="center" vertical="center"/>
      <protection locked="0"/>
    </xf>
    <xf numFmtId="9" fontId="74" fillId="0" borderId="0" xfId="0" applyNumberFormat="1" applyFont="1" applyAlignment="1">
      <alignment horizontal="center" vertical="center"/>
    </xf>
    <xf numFmtId="0" fontId="9" fillId="0" borderId="1" xfId="4" applyBorder="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21" fillId="0" borderId="18" xfId="0" applyFont="1" applyBorder="1" applyAlignment="1">
      <alignment horizontal="center" vertical="center"/>
    </xf>
    <xf numFmtId="0" fontId="21" fillId="0" borderId="52" xfId="0" applyFont="1" applyBorder="1" applyAlignment="1">
      <alignment horizontal="center" vertical="center"/>
    </xf>
    <xf numFmtId="0" fontId="0" fillId="11" borderId="56" xfId="0" applyFill="1" applyBorder="1" applyAlignment="1">
      <alignment vertical="center" wrapText="1"/>
    </xf>
    <xf numFmtId="0" fontId="0" fillId="11" borderId="57" xfId="0" applyFill="1" applyBorder="1" applyAlignment="1">
      <alignment vertical="center" wrapText="1"/>
    </xf>
    <xf numFmtId="0" fontId="31" fillId="9" borderId="31" xfId="0" applyFont="1" applyFill="1" applyBorder="1" applyAlignment="1">
      <alignment horizontal="center" vertical="center"/>
    </xf>
    <xf numFmtId="44" fontId="31" fillId="9" borderId="29" xfId="0" applyNumberFormat="1" applyFont="1" applyFill="1" applyBorder="1" applyAlignment="1">
      <alignment horizontal="center" vertical="center"/>
    </xf>
    <xf numFmtId="0" fontId="31" fillId="9" borderId="29" xfId="1" applyNumberFormat="1" applyFont="1" applyFill="1" applyBorder="1" applyAlignment="1">
      <alignment horizontal="center" vertical="center"/>
    </xf>
    <xf numFmtId="43" fontId="31" fillId="9" borderId="29" xfId="1" applyFont="1" applyFill="1" applyBorder="1" applyAlignment="1">
      <alignment horizontal="center" vertical="center"/>
    </xf>
    <xf numFmtId="44" fontId="32" fillId="9" borderId="29" xfId="0" applyNumberFormat="1" applyFont="1" applyFill="1" applyBorder="1" applyAlignment="1">
      <alignment horizontal="center" vertical="center"/>
    </xf>
    <xf numFmtId="0" fontId="31" fillId="9" borderId="67" xfId="0" applyFont="1" applyFill="1" applyBorder="1" applyAlignment="1">
      <alignment horizontal="center" vertical="center" wrapText="1"/>
    </xf>
    <xf numFmtId="0" fontId="21" fillId="12" borderId="2" xfId="0" applyFont="1" applyFill="1" applyBorder="1" applyAlignment="1">
      <alignment horizontal="center" vertical="center"/>
    </xf>
    <xf numFmtId="0" fontId="0" fillId="12" borderId="4" xfId="0" applyFill="1" applyBorder="1" applyAlignment="1">
      <alignment horizontal="center" vertical="center"/>
    </xf>
    <xf numFmtId="0" fontId="0" fillId="12" borderId="25" xfId="0" applyFill="1" applyBorder="1" applyAlignment="1">
      <alignment horizontal="center" vertical="center"/>
    </xf>
    <xf numFmtId="0" fontId="17" fillId="0" borderId="1" xfId="0" applyFont="1" applyBorder="1" applyAlignment="1">
      <alignment horizontal="left" vertical="center"/>
    </xf>
    <xf numFmtId="9" fontId="4" fillId="3" borderId="1" xfId="0" applyNumberFormat="1" applyFont="1" applyFill="1" applyBorder="1" applyAlignment="1">
      <alignment horizontal="center" vertical="center"/>
    </xf>
    <xf numFmtId="0" fontId="17" fillId="0" borderId="1" xfId="0" applyFont="1" applyBorder="1" applyAlignment="1">
      <alignment horizontal="left" vertical="center" wrapText="1"/>
    </xf>
    <xf numFmtId="9" fontId="4" fillId="0" borderId="1" xfId="0" applyNumberFormat="1" applyFont="1" applyBorder="1" applyAlignment="1">
      <alignment horizontal="center" vertical="center" wrapText="1"/>
    </xf>
    <xf numFmtId="0" fontId="17" fillId="0" borderId="1" xfId="0" quotePrefix="1" applyFont="1" applyBorder="1" applyAlignment="1">
      <alignment horizontal="left" vertical="center" wrapText="1"/>
    </xf>
    <xf numFmtId="9" fontId="4" fillId="0" borderId="1" xfId="0" quotePrefix="1" applyNumberFormat="1" applyFont="1" applyBorder="1" applyAlignment="1">
      <alignment horizontal="center" vertical="center" wrapText="1"/>
    </xf>
    <xf numFmtId="10" fontId="4" fillId="0" borderId="1" xfId="0" applyNumberFormat="1" applyFont="1" applyBorder="1" applyAlignment="1">
      <alignment horizontal="center" vertical="center" wrapText="1"/>
    </xf>
    <xf numFmtId="0" fontId="17" fillId="0" borderId="1" xfId="0" applyFont="1" applyBorder="1" applyAlignment="1">
      <alignment vertical="center" wrapText="1"/>
    </xf>
    <xf numFmtId="0" fontId="4" fillId="3" borderId="1" xfId="0" applyFont="1" applyFill="1" applyBorder="1" applyAlignment="1">
      <alignment horizontal="center" vertical="center" wrapText="1"/>
    </xf>
    <xf numFmtId="0" fontId="17" fillId="0" borderId="5" xfId="0" applyFont="1" applyBorder="1" applyAlignment="1">
      <alignment horizontal="center" vertical="center"/>
    </xf>
    <xf numFmtId="0" fontId="4" fillId="22" borderId="7" xfId="0" applyFont="1" applyFill="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left" vertical="center"/>
    </xf>
    <xf numFmtId="0" fontId="17" fillId="0" borderId="11" xfId="0" applyFont="1" applyBorder="1" applyAlignment="1">
      <alignment horizontal="center" vertical="center"/>
    </xf>
    <xf numFmtId="0" fontId="4" fillId="3" borderId="16" xfId="0" applyFont="1" applyFill="1" applyBorder="1" applyAlignment="1">
      <alignment horizontal="center" vertical="center" wrapText="1"/>
    </xf>
    <xf numFmtId="0" fontId="17" fillId="0" borderId="48" xfId="0" applyFont="1" applyBorder="1" applyAlignment="1">
      <alignment horizontal="center" vertical="center"/>
    </xf>
    <xf numFmtId="0" fontId="17" fillId="0" borderId="16" xfId="0" applyFont="1" applyBorder="1" applyAlignment="1">
      <alignment horizontal="left" vertical="center" wrapText="1"/>
    </xf>
    <xf numFmtId="0" fontId="4" fillId="22" borderId="31" xfId="0" applyFont="1" applyFill="1" applyBorder="1" applyAlignment="1">
      <alignment horizontal="center" vertical="center"/>
    </xf>
    <xf numFmtId="0" fontId="4" fillId="22" borderId="32" xfId="0" applyFont="1" applyFill="1" applyBorder="1" applyAlignment="1">
      <alignment horizontal="center" vertical="center"/>
    </xf>
    <xf numFmtId="0" fontId="22" fillId="13" borderId="1" xfId="0" applyFont="1" applyFill="1" applyBorder="1" applyAlignment="1">
      <alignment horizontal="center" vertical="center"/>
    </xf>
    <xf numFmtId="0" fontId="22" fillId="2" borderId="1" xfId="0" applyFont="1" applyFill="1" applyBorder="1" applyProtection="1">
      <protection hidden="1"/>
    </xf>
    <xf numFmtId="0" fontId="4" fillId="13" borderId="65" xfId="0" applyFont="1" applyFill="1" applyBorder="1" applyAlignment="1">
      <alignment vertical="center" wrapText="1"/>
    </xf>
    <xf numFmtId="0" fontId="4" fillId="13" borderId="33" xfId="0" applyFont="1" applyFill="1" applyBorder="1" applyAlignment="1">
      <alignment horizontal="center" vertical="center" wrapText="1"/>
    </xf>
    <xf numFmtId="0" fontId="33" fillId="6" borderId="2" xfId="0" applyFont="1" applyFill="1" applyBorder="1" applyAlignment="1" applyProtection="1">
      <alignment horizontal="left" vertical="center"/>
      <protection hidden="1"/>
    </xf>
    <xf numFmtId="0" fontId="33" fillId="6" borderId="5" xfId="0" applyFont="1" applyFill="1" applyBorder="1" applyAlignment="1" applyProtection="1">
      <alignment horizontal="left" vertical="center"/>
      <protection hidden="1"/>
    </xf>
    <xf numFmtId="0" fontId="33" fillId="6" borderId="5" xfId="0" applyFont="1" applyFill="1" applyBorder="1" applyAlignment="1" applyProtection="1">
      <alignment horizontal="left"/>
      <protection hidden="1"/>
    </xf>
    <xf numFmtId="0" fontId="33" fillId="6" borderId="48" xfId="0" applyFont="1" applyFill="1" applyBorder="1" applyAlignment="1" applyProtection="1">
      <alignment horizontal="left"/>
      <protection hidden="1"/>
    </xf>
    <xf numFmtId="0" fontId="33" fillId="6" borderId="48" xfId="0" applyFont="1" applyFill="1" applyBorder="1" applyAlignment="1">
      <alignment horizontal="left" vertical="center"/>
    </xf>
    <xf numFmtId="0" fontId="33" fillId="6" borderId="7" xfId="0" applyFont="1" applyFill="1" applyBorder="1" applyAlignment="1">
      <alignment horizontal="left" vertical="center"/>
    </xf>
    <xf numFmtId="44" fontId="17" fillId="7" borderId="39" xfId="0" applyNumberFormat="1" applyFont="1" applyFill="1" applyBorder="1" applyAlignment="1" applyProtection="1">
      <alignment horizontal="center" vertical="center"/>
      <protection hidden="1"/>
    </xf>
    <xf numFmtId="44" fontId="17" fillId="7" borderId="37" xfId="0" applyNumberFormat="1" applyFont="1" applyFill="1" applyBorder="1" applyAlignment="1" applyProtection="1">
      <alignment horizontal="center" vertical="center"/>
      <protection hidden="1"/>
    </xf>
    <xf numFmtId="44" fontId="17" fillId="7" borderId="40" xfId="0" applyNumberFormat="1" applyFont="1" applyFill="1" applyBorder="1" applyAlignment="1" applyProtection="1">
      <alignment horizontal="center" vertical="center"/>
      <protection hidden="1"/>
    </xf>
    <xf numFmtId="174" fontId="0" fillId="6" borderId="4" xfId="2" applyNumberFormat="1" applyFont="1" applyFill="1" applyBorder="1" applyAlignment="1">
      <alignment horizontal="center" vertical="center"/>
    </xf>
    <xf numFmtId="174" fontId="0" fillId="6" borderId="6" xfId="2" applyNumberFormat="1" applyFont="1" applyFill="1" applyBorder="1" applyAlignment="1">
      <alignment horizontal="center" vertical="center"/>
    </xf>
    <xf numFmtId="174" fontId="0" fillId="6" borderId="9" xfId="2" applyNumberFormat="1" applyFont="1" applyFill="1" applyBorder="1" applyAlignment="1">
      <alignment horizontal="center" vertical="center"/>
    </xf>
    <xf numFmtId="0" fontId="31" fillId="13" borderId="19" xfId="0" applyFont="1" applyFill="1" applyBorder="1" applyAlignment="1">
      <alignment vertical="center"/>
    </xf>
    <xf numFmtId="44" fontId="31" fillId="13" borderId="20" xfId="0" applyNumberFormat="1" applyFont="1" applyFill="1" applyBorder="1" applyAlignment="1">
      <alignment vertical="center"/>
    </xf>
    <xf numFmtId="0" fontId="31" fillId="4" borderId="31"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33" xfId="0" applyFont="1" applyFill="1" applyBorder="1" applyAlignment="1">
      <alignment horizontal="center" vertical="center"/>
    </xf>
    <xf numFmtId="0" fontId="31" fillId="9" borderId="2" xfId="0" applyFont="1" applyFill="1" applyBorder="1" applyAlignment="1">
      <alignment horizontal="left" vertical="center"/>
    </xf>
    <xf numFmtId="0" fontId="31" fillId="9" borderId="5" xfId="0" applyFont="1" applyFill="1" applyBorder="1" applyAlignment="1">
      <alignment horizontal="left" vertical="center"/>
    </xf>
    <xf numFmtId="0" fontId="31" fillId="9" borderId="7" xfId="0" applyFont="1" applyFill="1" applyBorder="1" applyAlignment="1">
      <alignment horizontal="left" vertical="center"/>
    </xf>
    <xf numFmtId="9" fontId="31" fillId="13" borderId="25" xfId="2" applyFont="1" applyFill="1" applyBorder="1" applyAlignment="1">
      <alignment horizontal="center" vertical="center"/>
    </xf>
    <xf numFmtId="164" fontId="31" fillId="7" borderId="47" xfId="0" applyNumberFormat="1" applyFont="1" applyFill="1" applyBorder="1" applyAlignment="1">
      <alignment vertical="center"/>
    </xf>
    <xf numFmtId="44" fontId="31" fillId="7" borderId="47" xfId="0" applyNumberFormat="1" applyFont="1" applyFill="1" applyBorder="1" applyAlignment="1">
      <alignment vertical="center"/>
    </xf>
    <xf numFmtId="0" fontId="31" fillId="7" borderId="18" xfId="0" applyFont="1" applyFill="1" applyBorder="1" applyAlignment="1">
      <alignment horizontal="center" vertical="center"/>
    </xf>
    <xf numFmtId="0" fontId="31" fillId="7" borderId="53" xfId="0" applyFont="1" applyFill="1" applyBorder="1" applyAlignment="1">
      <alignment vertical="center"/>
    </xf>
    <xf numFmtId="165" fontId="33" fillId="0" borderId="0" xfId="1" applyNumberFormat="1" applyFont="1" applyAlignment="1">
      <alignment vertical="center"/>
    </xf>
    <xf numFmtId="0" fontId="31" fillId="7" borderId="18" xfId="0" applyFont="1" applyFill="1" applyBorder="1" applyAlignment="1">
      <alignment vertical="center" wrapText="1"/>
    </xf>
    <xf numFmtId="164" fontId="31" fillId="7" borderId="47" xfId="0" applyNumberFormat="1" applyFont="1" applyFill="1" applyBorder="1" applyAlignment="1" applyProtection="1">
      <alignment vertical="center"/>
      <protection hidden="1"/>
    </xf>
    <xf numFmtId="164" fontId="78" fillId="9" borderId="63" xfId="0" applyNumberFormat="1" applyFont="1" applyFill="1" applyBorder="1" applyAlignment="1">
      <alignment vertical="center"/>
    </xf>
    <xf numFmtId="44" fontId="78" fillId="9" borderId="63" xfId="0" applyNumberFormat="1" applyFont="1" applyFill="1" applyBorder="1" applyAlignment="1">
      <alignment vertical="center"/>
    </xf>
    <xf numFmtId="0" fontId="79" fillId="0" borderId="0" xfId="0" applyFont="1" applyAlignment="1">
      <alignment vertical="center"/>
    </xf>
    <xf numFmtId="0" fontId="79" fillId="0" borderId="0" xfId="0" applyFont="1" applyAlignment="1">
      <alignment horizontal="center" vertical="center"/>
    </xf>
    <xf numFmtId="0" fontId="45" fillId="4" borderId="0" xfId="0" applyFont="1" applyFill="1" applyAlignment="1">
      <alignment vertical="center" wrapText="1"/>
    </xf>
    <xf numFmtId="0" fontId="45" fillId="4" borderId="15" xfId="0" applyFont="1" applyFill="1" applyBorder="1" applyAlignment="1">
      <alignment vertical="center" wrapText="1"/>
    </xf>
    <xf numFmtId="0" fontId="45" fillId="4" borderId="24" xfId="0" applyFont="1" applyFill="1" applyBorder="1" applyAlignment="1">
      <alignment vertical="center" wrapText="1"/>
    </xf>
    <xf numFmtId="0" fontId="45" fillId="4" borderId="30" xfId="0" applyFont="1" applyFill="1" applyBorder="1" applyAlignment="1">
      <alignment vertical="center" wrapText="1"/>
    </xf>
    <xf numFmtId="0" fontId="17" fillId="13" borderId="51" xfId="0" applyFont="1" applyFill="1" applyBorder="1" applyAlignment="1">
      <alignment horizontal="center" vertical="center" wrapText="1"/>
    </xf>
    <xf numFmtId="0" fontId="17" fillId="13" borderId="54" xfId="0" applyFont="1" applyFill="1" applyBorder="1" applyAlignment="1">
      <alignment horizontal="center" vertical="center" wrapText="1"/>
    </xf>
    <xf numFmtId="0" fontId="21" fillId="9" borderId="31" xfId="0" applyFont="1" applyFill="1" applyBorder="1" applyAlignment="1" applyProtection="1">
      <alignment horizontal="center" vertical="center" wrapText="1"/>
      <protection hidden="1"/>
    </xf>
    <xf numFmtId="0" fontId="21" fillId="9" borderId="32" xfId="0" applyFont="1" applyFill="1" applyBorder="1" applyAlignment="1" applyProtection="1">
      <alignment horizontal="center" vertical="center" wrapText="1"/>
      <protection hidden="1"/>
    </xf>
    <xf numFmtId="0" fontId="21" fillId="9" borderId="33" xfId="0" applyFont="1" applyFill="1" applyBorder="1" applyAlignment="1" applyProtection="1">
      <alignment horizontal="center" vertical="center" wrapText="1"/>
      <protection hidden="1"/>
    </xf>
    <xf numFmtId="0" fontId="21" fillId="9" borderId="28" xfId="0" applyFont="1" applyFill="1" applyBorder="1" applyAlignment="1">
      <alignment horizontal="center" vertical="center" wrapText="1"/>
    </xf>
    <xf numFmtId="0" fontId="21" fillId="9" borderId="2" xfId="0" applyFont="1" applyFill="1" applyBorder="1" applyAlignment="1">
      <alignment horizontal="center" vertical="center" wrapText="1"/>
    </xf>
    <xf numFmtId="0" fontId="41" fillId="4" borderId="7" xfId="0" applyFont="1" applyFill="1" applyBorder="1" applyAlignment="1">
      <alignment horizontal="center" vertical="center" wrapText="1"/>
    </xf>
    <xf numFmtId="0" fontId="41" fillId="4" borderId="8" xfId="0" applyFont="1" applyFill="1" applyBorder="1" applyAlignment="1">
      <alignment horizontal="center" vertical="center" wrapText="1"/>
    </xf>
    <xf numFmtId="0" fontId="41" fillId="4" borderId="16" xfId="0" applyFont="1" applyFill="1" applyBorder="1" applyAlignment="1">
      <alignment horizontal="center" vertical="center"/>
    </xf>
    <xf numFmtId="0" fontId="41" fillId="4" borderId="16" xfId="0" applyFont="1" applyFill="1" applyBorder="1" applyAlignment="1">
      <alignment horizontal="center" vertical="center" wrapText="1"/>
    </xf>
    <xf numFmtId="0" fontId="41" fillId="4" borderId="17" xfId="0" applyFont="1" applyFill="1" applyBorder="1" applyAlignment="1">
      <alignment horizontal="center" vertical="center" wrapText="1"/>
    </xf>
    <xf numFmtId="0" fontId="39" fillId="3" borderId="16" xfId="0" applyFont="1" applyFill="1" applyBorder="1" applyAlignment="1">
      <alignment horizontal="center" vertical="center" wrapText="1"/>
    </xf>
    <xf numFmtId="0" fontId="41" fillId="4" borderId="35" xfId="0" applyFont="1" applyFill="1" applyBorder="1" applyAlignment="1">
      <alignment horizontal="center" vertical="center" wrapText="1"/>
    </xf>
    <xf numFmtId="0" fontId="42" fillId="9" borderId="76" xfId="0" applyFont="1" applyFill="1" applyBorder="1" applyAlignment="1" applyProtection="1">
      <alignment horizontal="center" vertical="center"/>
      <protection hidden="1"/>
    </xf>
    <xf numFmtId="1" fontId="22" fillId="0" borderId="3" xfId="0" applyNumberFormat="1" applyFont="1" applyBorder="1" applyAlignment="1" applyProtection="1">
      <alignment horizontal="center" vertical="center" wrapText="1"/>
      <protection locked="0"/>
    </xf>
    <xf numFmtId="0" fontId="22" fillId="0" borderId="3" xfId="0" applyFont="1" applyBorder="1" applyAlignment="1" applyProtection="1">
      <alignment horizontal="center" vertical="center" wrapText="1"/>
      <protection locked="0"/>
    </xf>
    <xf numFmtId="0" fontId="42" fillId="9" borderId="23" xfId="0" applyFont="1" applyFill="1" applyBorder="1" applyAlignment="1" applyProtection="1">
      <alignment horizontal="center" vertical="center"/>
      <protection hidden="1"/>
    </xf>
    <xf numFmtId="0" fontId="42" fillId="8" borderId="8" xfId="0" applyFont="1" applyFill="1" applyBorder="1" applyAlignment="1" applyProtection="1">
      <alignment horizontal="center" vertical="center" wrapText="1"/>
      <protection locked="0"/>
    </xf>
    <xf numFmtId="0" fontId="22" fillId="9" borderId="1" xfId="0" applyFont="1" applyFill="1" applyBorder="1" applyAlignment="1">
      <alignment horizontal="center" vertical="center"/>
    </xf>
    <xf numFmtId="0" fontId="42" fillId="9" borderId="72" xfId="0" applyFont="1" applyFill="1" applyBorder="1" applyAlignment="1" applyProtection="1">
      <alignment horizontal="center" vertical="center"/>
      <protection hidden="1"/>
    </xf>
    <xf numFmtId="0" fontId="22" fillId="0" borderId="11" xfId="0" applyFont="1" applyBorder="1" applyAlignment="1" applyProtection="1">
      <alignment horizontal="center" vertical="center" wrapText="1"/>
      <protection locked="0"/>
    </xf>
    <xf numFmtId="0" fontId="42" fillId="9" borderId="63" xfId="0" applyFont="1" applyFill="1" applyBorder="1" applyAlignment="1" applyProtection="1">
      <alignment horizontal="center" vertical="center"/>
      <protection hidden="1"/>
    </xf>
    <xf numFmtId="0" fontId="42" fillId="2" borderId="1" xfId="0" applyFont="1" applyFill="1" applyBorder="1" applyAlignment="1" applyProtection="1">
      <alignment horizontal="center" vertical="center" wrapText="1"/>
      <protection locked="0"/>
    </xf>
    <xf numFmtId="0" fontId="22" fillId="0" borderId="16" xfId="0" applyFont="1" applyBorder="1" applyAlignment="1" applyProtection="1">
      <alignment horizontal="center" vertical="center" wrapText="1"/>
      <protection locked="0"/>
    </xf>
    <xf numFmtId="0" fontId="21" fillId="2" borderId="0" xfId="0" applyFont="1" applyFill="1" applyAlignment="1">
      <alignment horizontal="center" vertical="center"/>
    </xf>
    <xf numFmtId="0" fontId="22" fillId="2" borderId="11" xfId="0" applyFont="1" applyFill="1" applyBorder="1" applyAlignment="1" applyProtection="1">
      <alignment horizontal="center" vertical="center" wrapText="1"/>
      <protection locked="0"/>
    </xf>
    <xf numFmtId="0" fontId="22" fillId="9" borderId="4" xfId="0" applyFont="1" applyFill="1" applyBorder="1" applyAlignment="1" applyProtection="1">
      <alignment horizontal="center" vertical="center" wrapText="1"/>
      <protection hidden="1"/>
    </xf>
    <xf numFmtId="0" fontId="22" fillId="0" borderId="0" xfId="0" applyFont="1" applyAlignment="1" applyProtection="1">
      <alignment vertical="center"/>
      <protection locked="0"/>
    </xf>
    <xf numFmtId="0" fontId="77" fillId="9" borderId="56" xfId="0" applyFont="1" applyFill="1" applyBorder="1" applyAlignment="1">
      <alignment horizontal="center" vertical="center"/>
    </xf>
    <xf numFmtId="0" fontId="77" fillId="2" borderId="2" xfId="0" applyFont="1" applyFill="1" applyBorder="1" applyAlignment="1" applyProtection="1">
      <alignment horizontal="center" vertical="center" wrapText="1"/>
      <protection locked="0"/>
    </xf>
    <xf numFmtId="0" fontId="32" fillId="8" borderId="29" xfId="0" applyFont="1" applyFill="1" applyBorder="1" applyAlignment="1" applyProtection="1">
      <alignment horizontal="center" vertical="center"/>
      <protection locked="0"/>
    </xf>
    <xf numFmtId="0" fontId="77" fillId="2" borderId="29" xfId="0" applyFont="1" applyFill="1" applyBorder="1" applyAlignment="1" applyProtection="1">
      <alignment horizontal="center" vertical="center"/>
      <protection locked="0"/>
    </xf>
    <xf numFmtId="2" fontId="32" fillId="9" borderId="58" xfId="0" applyNumberFormat="1" applyFont="1" applyFill="1" applyBorder="1" applyAlignment="1" applyProtection="1">
      <alignment horizontal="center" vertical="center"/>
      <protection hidden="1"/>
    </xf>
    <xf numFmtId="0" fontId="77" fillId="2" borderId="41" xfId="0" applyFont="1" applyFill="1" applyBorder="1" applyAlignment="1" applyProtection="1">
      <alignment horizontal="center" vertical="center"/>
      <protection locked="0"/>
    </xf>
    <xf numFmtId="0" fontId="77" fillId="2" borderId="1" xfId="0" applyFont="1" applyFill="1" applyBorder="1" applyAlignment="1" applyProtection="1">
      <alignment horizontal="center" vertical="center"/>
      <protection locked="0"/>
    </xf>
    <xf numFmtId="0" fontId="32" fillId="9" borderId="2" xfId="0" applyFont="1" applyFill="1" applyBorder="1" applyAlignment="1" applyProtection="1">
      <alignment horizontal="center" vertical="center"/>
      <protection hidden="1"/>
    </xf>
    <xf numFmtId="2" fontId="77" fillId="9" borderId="4" xfId="0" applyNumberFormat="1" applyFont="1" applyFill="1" applyBorder="1" applyAlignment="1" applyProtection="1">
      <alignment horizontal="center" vertical="center" wrapText="1"/>
      <protection hidden="1"/>
    </xf>
    <xf numFmtId="2" fontId="77" fillId="9" borderId="38" xfId="0" applyNumberFormat="1" applyFont="1" applyFill="1" applyBorder="1" applyAlignment="1">
      <alignment horizontal="center" vertical="center" wrapText="1"/>
    </xf>
    <xf numFmtId="1" fontId="77" fillId="2" borderId="89" xfId="0" applyNumberFormat="1" applyFont="1" applyFill="1" applyBorder="1" applyAlignment="1" applyProtection="1">
      <alignment horizontal="center" vertical="center" wrapText="1"/>
      <protection locked="0"/>
    </xf>
    <xf numFmtId="0" fontId="77" fillId="2" borderId="86" xfId="0" applyFont="1" applyFill="1" applyBorder="1" applyAlignment="1" applyProtection="1">
      <alignment horizontal="center" vertical="center" wrapText="1"/>
      <protection locked="0"/>
    </xf>
    <xf numFmtId="0" fontId="77" fillId="8" borderId="86" xfId="0" applyFont="1" applyFill="1" applyBorder="1" applyAlignment="1" applyProtection="1">
      <alignment horizontal="center" vertical="center" wrapText="1"/>
      <protection locked="0"/>
    </xf>
    <xf numFmtId="0" fontId="77" fillId="8" borderId="86" xfId="0" applyFont="1" applyFill="1" applyBorder="1" applyAlignment="1" applyProtection="1">
      <alignment horizontal="center" vertical="center"/>
      <protection locked="0"/>
    </xf>
    <xf numFmtId="0" fontId="33" fillId="0" borderId="86" xfId="0" applyFont="1" applyBorder="1" applyAlignment="1" applyProtection="1">
      <alignment horizontal="center" vertical="center"/>
      <protection locked="0"/>
    </xf>
    <xf numFmtId="0" fontId="77" fillId="0" borderId="86" xfId="0" applyFont="1" applyBorder="1" applyAlignment="1" applyProtection="1">
      <alignment horizontal="center" vertical="center" wrapText="1"/>
      <protection locked="0"/>
    </xf>
    <xf numFmtId="0" fontId="33" fillId="0" borderId="86" xfId="0" applyFont="1" applyBorder="1" applyAlignment="1" applyProtection="1">
      <alignment horizontal="center"/>
      <protection locked="0"/>
    </xf>
    <xf numFmtId="0" fontId="77" fillId="2" borderId="92" xfId="0" applyFont="1" applyFill="1" applyBorder="1" applyAlignment="1" applyProtection="1">
      <alignment horizontal="center" vertical="center" wrapText="1"/>
      <protection locked="0"/>
    </xf>
    <xf numFmtId="0" fontId="33" fillId="8" borderId="86" xfId="0" applyFont="1" applyFill="1" applyBorder="1" applyAlignment="1" applyProtection="1">
      <alignment horizontal="center"/>
      <protection locked="0"/>
    </xf>
    <xf numFmtId="0" fontId="33" fillId="2" borderId="5" xfId="0" applyFont="1" applyFill="1" applyBorder="1" applyAlignment="1" applyProtection="1">
      <alignment horizontal="center" vertical="center"/>
      <protection locked="0"/>
    </xf>
    <xf numFmtId="0" fontId="33" fillId="2" borderId="1" xfId="0" applyFont="1" applyFill="1" applyBorder="1" applyAlignment="1" applyProtection="1">
      <alignment horizontal="center" vertical="center"/>
      <protection locked="0"/>
    </xf>
    <xf numFmtId="0" fontId="33" fillId="17" borderId="1" xfId="0" applyFont="1" applyFill="1" applyBorder="1" applyAlignment="1">
      <alignment horizontal="center" vertical="center"/>
    </xf>
    <xf numFmtId="0" fontId="33" fillId="2" borderId="6" xfId="0" applyFont="1" applyFill="1" applyBorder="1" applyAlignment="1" applyProtection="1">
      <alignment horizontal="center" vertical="center"/>
      <protection locked="0"/>
    </xf>
    <xf numFmtId="0" fontId="33" fillId="2" borderId="0" xfId="0" applyFont="1" applyFill="1" applyAlignment="1">
      <alignment horizontal="center" vertical="center"/>
    </xf>
    <xf numFmtId="0" fontId="77" fillId="9" borderId="58" xfId="0" applyFont="1" applyFill="1" applyBorder="1" applyAlignment="1">
      <alignment horizontal="center" vertical="center"/>
    </xf>
    <xf numFmtId="0" fontId="32" fillId="8" borderId="1" xfId="0" applyFont="1" applyFill="1" applyBorder="1" applyAlignment="1" applyProtection="1">
      <alignment horizontal="center" vertical="center"/>
      <protection locked="0"/>
    </xf>
    <xf numFmtId="0" fontId="77" fillId="2" borderId="37" xfId="0" applyFont="1" applyFill="1" applyBorder="1" applyAlignment="1" applyProtection="1">
      <alignment horizontal="center" vertical="center"/>
      <protection locked="0"/>
    </xf>
    <xf numFmtId="0" fontId="32" fillId="9" borderId="5" xfId="0" applyFont="1" applyFill="1" applyBorder="1" applyAlignment="1" applyProtection="1">
      <alignment horizontal="center" vertical="center"/>
      <protection hidden="1"/>
    </xf>
    <xf numFmtId="2" fontId="77" fillId="9" borderId="6" xfId="0" applyNumberFormat="1" applyFont="1" applyFill="1" applyBorder="1" applyAlignment="1" applyProtection="1">
      <alignment horizontal="center" vertical="center" wrapText="1"/>
      <protection hidden="1"/>
    </xf>
    <xf numFmtId="0" fontId="33" fillId="2" borderId="86" xfId="0" applyFont="1" applyFill="1" applyBorder="1" applyAlignment="1" applyProtection="1">
      <alignment horizontal="center" vertical="center"/>
      <protection locked="0"/>
    </xf>
    <xf numFmtId="0" fontId="33" fillId="3" borderId="0" xfId="0" applyFont="1" applyFill="1" applyAlignment="1">
      <alignment horizontal="center" vertical="center"/>
    </xf>
    <xf numFmtId="0" fontId="77" fillId="0" borderId="1" xfId="0" applyFont="1" applyBorder="1" applyAlignment="1" applyProtection="1">
      <alignment horizontal="center" vertical="center"/>
      <protection locked="0"/>
    </xf>
    <xf numFmtId="1" fontId="77" fillId="0" borderId="89" xfId="0" applyNumberFormat="1" applyFont="1" applyBorder="1" applyAlignment="1" applyProtection="1">
      <alignment horizontal="center" vertical="center" wrapText="1"/>
      <protection locked="0"/>
    </xf>
    <xf numFmtId="0" fontId="77" fillId="0" borderId="92" xfId="0" applyFont="1" applyBorder="1" applyAlignment="1" applyProtection="1">
      <alignment horizontal="center" vertical="center" wrapText="1"/>
      <protection locked="0"/>
    </xf>
    <xf numFmtId="1" fontId="77" fillId="2" borderId="1" xfId="0" applyNumberFormat="1" applyFont="1" applyFill="1" applyBorder="1" applyAlignment="1" applyProtection="1">
      <alignment horizontal="center" vertical="center"/>
      <protection locked="0"/>
    </xf>
    <xf numFmtId="1" fontId="77" fillId="2" borderId="37" xfId="0" applyNumberFormat="1" applyFont="1" applyFill="1" applyBorder="1" applyAlignment="1" applyProtection="1">
      <alignment horizontal="center" vertical="center"/>
      <protection locked="0"/>
    </xf>
    <xf numFmtId="0" fontId="77" fillId="2" borderId="8" xfId="0" applyFont="1" applyFill="1" applyBorder="1" applyAlignment="1" applyProtection="1">
      <alignment horizontal="center" vertical="center"/>
      <protection locked="0"/>
    </xf>
    <xf numFmtId="2" fontId="32" fillId="9" borderId="57" xfId="0" applyNumberFormat="1" applyFont="1" applyFill="1" applyBorder="1" applyAlignment="1" applyProtection="1">
      <alignment horizontal="center" vertical="center"/>
      <protection hidden="1"/>
    </xf>
    <xf numFmtId="0" fontId="77" fillId="2" borderId="55" xfId="0" applyFont="1" applyFill="1" applyBorder="1" applyAlignment="1" applyProtection="1">
      <alignment horizontal="center" vertical="center"/>
      <protection locked="0"/>
    </xf>
    <xf numFmtId="0" fontId="77" fillId="2" borderId="16" xfId="0" applyFont="1" applyFill="1" applyBorder="1" applyAlignment="1" applyProtection="1">
      <alignment horizontal="center" vertical="center"/>
      <protection locked="0"/>
    </xf>
    <xf numFmtId="0" fontId="77" fillId="2" borderId="59" xfId="0" applyFont="1" applyFill="1" applyBorder="1" applyAlignment="1" applyProtection="1">
      <alignment horizontal="center" vertical="center"/>
      <protection locked="0"/>
    </xf>
    <xf numFmtId="0" fontId="32" fillId="9" borderId="7" xfId="0" applyFont="1" applyFill="1" applyBorder="1" applyAlignment="1" applyProtection="1">
      <alignment horizontal="center" vertical="center"/>
      <protection hidden="1"/>
    </xf>
    <xf numFmtId="2" fontId="77" fillId="9" borderId="9" xfId="0" applyNumberFormat="1" applyFont="1" applyFill="1" applyBorder="1" applyAlignment="1" applyProtection="1">
      <alignment horizontal="center" vertical="center" wrapText="1"/>
      <protection hidden="1"/>
    </xf>
    <xf numFmtId="2" fontId="77" fillId="9" borderId="66" xfId="0" applyNumberFormat="1" applyFont="1" applyFill="1" applyBorder="1" applyAlignment="1">
      <alignment horizontal="center" vertical="center" wrapText="1"/>
    </xf>
    <xf numFmtId="1" fontId="77" fillId="2" borderId="90" xfId="0" applyNumberFormat="1" applyFont="1" applyFill="1" applyBorder="1" applyAlignment="1" applyProtection="1">
      <alignment horizontal="center" vertical="center" wrapText="1"/>
      <protection locked="0"/>
    </xf>
    <xf numFmtId="0" fontId="77" fillId="2" borderId="91" xfId="0" applyFont="1" applyFill="1" applyBorder="1" applyAlignment="1" applyProtection="1">
      <alignment horizontal="center" vertical="center" wrapText="1"/>
      <protection locked="0"/>
    </xf>
    <xf numFmtId="0" fontId="77" fillId="8" borderId="91" xfId="0" applyFont="1" applyFill="1" applyBorder="1" applyAlignment="1" applyProtection="1">
      <alignment horizontal="center" vertical="center" wrapText="1"/>
      <protection locked="0"/>
    </xf>
    <xf numFmtId="0" fontId="77" fillId="8" borderId="91" xfId="0" applyFont="1" applyFill="1" applyBorder="1" applyAlignment="1" applyProtection="1">
      <alignment horizontal="center" vertical="center"/>
      <protection locked="0"/>
    </xf>
    <xf numFmtId="0" fontId="33" fillId="0" borderId="91" xfId="0" applyFont="1" applyBorder="1" applyAlignment="1" applyProtection="1">
      <alignment horizontal="center" vertical="center"/>
      <protection locked="0"/>
    </xf>
    <xf numFmtId="0" fontId="77" fillId="0" borderId="91" xfId="0" applyFont="1" applyBorder="1" applyAlignment="1" applyProtection="1">
      <alignment horizontal="center" vertical="center" wrapText="1"/>
      <protection locked="0"/>
    </xf>
    <xf numFmtId="0" fontId="33" fillId="0" borderId="91" xfId="0" applyFont="1" applyBorder="1" applyAlignment="1" applyProtection="1">
      <alignment horizontal="center"/>
      <protection locked="0"/>
    </xf>
    <xf numFmtId="0" fontId="77" fillId="2" borderId="93" xfId="0" applyFont="1" applyFill="1" applyBorder="1" applyAlignment="1" applyProtection="1">
      <alignment horizontal="center" vertical="center" wrapText="1"/>
      <protection locked="0"/>
    </xf>
    <xf numFmtId="0" fontId="33" fillId="2" borderId="48" xfId="0" applyFont="1" applyFill="1" applyBorder="1" applyAlignment="1" applyProtection="1">
      <alignment horizontal="center" vertical="center"/>
      <protection locked="0"/>
    </xf>
    <xf numFmtId="0" fontId="33" fillId="2" borderId="16" xfId="0" applyFont="1" applyFill="1" applyBorder="1" applyAlignment="1" applyProtection="1">
      <alignment horizontal="center" vertical="center"/>
      <protection locked="0"/>
    </xf>
    <xf numFmtId="0" fontId="33" fillId="17" borderId="16" xfId="0" applyFont="1" applyFill="1" applyBorder="1" applyAlignment="1">
      <alignment horizontal="center" vertical="center"/>
    </xf>
    <xf numFmtId="0" fontId="33" fillId="2" borderId="35" xfId="0" applyFont="1" applyFill="1" applyBorder="1" applyAlignment="1" applyProtection="1">
      <alignment horizontal="center" vertical="center"/>
      <protection locked="0"/>
    </xf>
    <xf numFmtId="0" fontId="41" fillId="9" borderId="71" xfId="0" applyFont="1" applyFill="1" applyBorder="1" applyAlignment="1">
      <alignment horizontal="center" vertical="center"/>
    </xf>
    <xf numFmtId="0" fontId="41" fillId="9" borderId="32" xfId="0" applyFont="1" applyFill="1" applyBorder="1" applyAlignment="1">
      <alignment horizontal="center" vertical="center"/>
    </xf>
    <xf numFmtId="0" fontId="41" fillId="9" borderId="65" xfId="0" applyFont="1" applyFill="1" applyBorder="1" applyAlignment="1">
      <alignment horizontal="center" vertical="center"/>
    </xf>
    <xf numFmtId="2" fontId="41" fillId="9" borderId="47" xfId="0" applyNumberFormat="1" applyFont="1" applyFill="1" applyBorder="1" applyAlignment="1" applyProtection="1">
      <alignment horizontal="center" vertical="center"/>
      <protection hidden="1"/>
    </xf>
    <xf numFmtId="0" fontId="41" fillId="9" borderId="31" xfId="0" applyFont="1" applyFill="1" applyBorder="1" applyAlignment="1" applyProtection="1">
      <alignment horizontal="center" vertical="center"/>
      <protection hidden="1"/>
    </xf>
    <xf numFmtId="2" fontId="42" fillId="9" borderId="33" xfId="0" applyNumberFormat="1" applyFont="1" applyFill="1" applyBorder="1" applyAlignment="1" applyProtection="1">
      <alignment horizontal="center" vertical="center" wrapText="1"/>
      <protection hidden="1"/>
    </xf>
    <xf numFmtId="2" fontId="42" fillId="9" borderId="24" xfId="0" applyNumberFormat="1" applyFont="1" applyFill="1" applyBorder="1" applyAlignment="1">
      <alignment horizontal="center" vertical="center" wrapText="1"/>
    </xf>
    <xf numFmtId="2" fontId="42" fillId="9" borderId="23" xfId="0" applyNumberFormat="1" applyFont="1" applyFill="1" applyBorder="1" applyAlignment="1">
      <alignment horizontal="center" vertical="center" wrapText="1"/>
    </xf>
    <xf numFmtId="0" fontId="41" fillId="9" borderId="20" xfId="0" applyFont="1" applyFill="1" applyBorder="1" applyAlignment="1" applyProtection="1">
      <alignment horizontal="center" vertical="center" wrapText="1"/>
      <protection hidden="1"/>
    </xf>
    <xf numFmtId="0" fontId="41" fillId="9" borderId="80" xfId="0" applyFont="1" applyFill="1" applyBorder="1" applyAlignment="1" applyProtection="1">
      <alignment horizontal="center" vertical="center" wrapText="1"/>
      <protection hidden="1"/>
    </xf>
    <xf numFmtId="0" fontId="41" fillId="9" borderId="32" xfId="0" applyFont="1" applyFill="1" applyBorder="1" applyAlignment="1" applyProtection="1">
      <alignment horizontal="center" vertical="center" wrapText="1"/>
      <protection hidden="1"/>
    </xf>
    <xf numFmtId="0" fontId="21" fillId="3" borderId="3" xfId="0" applyFont="1" applyFill="1" applyBorder="1" applyAlignment="1">
      <alignment horizontal="center" vertical="center" wrapText="1"/>
    </xf>
    <xf numFmtId="0" fontId="21" fillId="28" borderId="4" xfId="0" applyFont="1" applyFill="1" applyBorder="1" applyAlignment="1">
      <alignment horizontal="center" vertical="center"/>
    </xf>
    <xf numFmtId="0" fontId="21" fillId="27" borderId="7" xfId="0" applyFont="1" applyFill="1" applyBorder="1" applyAlignment="1">
      <alignment horizontal="center" vertical="center"/>
    </xf>
    <xf numFmtId="0" fontId="21" fillId="26" borderId="8" xfId="0" applyFont="1" applyFill="1" applyBorder="1" applyAlignment="1">
      <alignment horizontal="center" vertical="center"/>
    </xf>
    <xf numFmtId="0" fontId="21" fillId="25" borderId="9" xfId="0" applyFont="1" applyFill="1" applyBorder="1" applyAlignment="1">
      <alignment horizontal="center" vertical="center"/>
    </xf>
    <xf numFmtId="1" fontId="77" fillId="2" borderId="2" xfId="0" applyNumberFormat="1" applyFont="1" applyFill="1" applyBorder="1" applyAlignment="1" applyProtection="1">
      <alignment horizontal="center" vertical="center"/>
      <protection locked="0"/>
    </xf>
    <xf numFmtId="1" fontId="77" fillId="2" borderId="3" xfId="0" applyNumberFormat="1" applyFont="1" applyFill="1" applyBorder="1" applyAlignment="1" applyProtection="1">
      <alignment horizontal="center" vertical="center"/>
      <protection locked="0"/>
    </xf>
    <xf numFmtId="1" fontId="33" fillId="0" borderId="3" xfId="0" applyNumberFormat="1" applyFont="1" applyBorder="1" applyAlignment="1" applyProtection="1">
      <alignment horizontal="center" vertical="center"/>
      <protection locked="0"/>
    </xf>
    <xf numFmtId="1" fontId="33" fillId="0" borderId="3" xfId="0" applyNumberFormat="1" applyFont="1" applyBorder="1" applyAlignment="1" applyProtection="1">
      <alignment horizontal="center" vertical="center" wrapText="1"/>
      <protection locked="0"/>
    </xf>
    <xf numFmtId="49" fontId="33" fillId="8" borderId="7" xfId="0" applyNumberFormat="1" applyFont="1" applyFill="1" applyBorder="1" applyAlignment="1" applyProtection="1">
      <alignment horizontal="center" vertical="center" wrapText="1"/>
      <protection locked="0"/>
    </xf>
    <xf numFmtId="49" fontId="33" fillId="8" borderId="8" xfId="0" applyNumberFormat="1" applyFont="1" applyFill="1" applyBorder="1" applyAlignment="1" applyProtection="1">
      <alignment horizontal="center" vertical="center" wrapText="1"/>
      <protection locked="0"/>
    </xf>
    <xf numFmtId="0" fontId="77" fillId="8" borderId="8" xfId="0" applyFont="1" applyFill="1" applyBorder="1" applyAlignment="1" applyProtection="1">
      <alignment horizontal="center" vertical="center" wrapText="1"/>
      <protection locked="0"/>
    </xf>
    <xf numFmtId="0" fontId="77" fillId="2" borderId="10" xfId="0" applyFont="1" applyFill="1" applyBorder="1" applyAlignment="1" applyProtection="1">
      <alignment horizontal="center" vertical="center"/>
      <protection locked="0"/>
    </xf>
    <xf numFmtId="0" fontId="77" fillId="2" borderId="11" xfId="0" applyFont="1" applyFill="1" applyBorder="1" applyAlignment="1" applyProtection="1">
      <alignment horizontal="center" vertical="center"/>
      <protection locked="0"/>
    </xf>
    <xf numFmtId="0" fontId="33" fillId="0" borderId="11" xfId="0" applyFont="1" applyBorder="1" applyAlignment="1" applyProtection="1">
      <alignment horizontal="center" vertical="center"/>
      <protection locked="0"/>
    </xf>
    <xf numFmtId="0" fontId="33" fillId="0" borderId="11" xfId="0" applyFont="1" applyBorder="1" applyAlignment="1" applyProtection="1">
      <alignment horizontal="right" vertical="center"/>
      <protection locked="0"/>
    </xf>
    <xf numFmtId="0" fontId="33" fillId="0" borderId="11" xfId="0" applyFont="1" applyBorder="1" applyAlignment="1" applyProtection="1">
      <alignment horizontal="center" vertical="center" wrapText="1"/>
      <protection locked="0"/>
    </xf>
    <xf numFmtId="0" fontId="33" fillId="0" borderId="50" xfId="0" applyFont="1" applyBorder="1" applyAlignment="1" applyProtection="1">
      <alignment horizontal="center" vertical="center" wrapText="1"/>
      <protection locked="0"/>
    </xf>
    <xf numFmtId="49" fontId="33" fillId="8" borderId="40" xfId="0" applyNumberFormat="1" applyFont="1" applyFill="1" applyBorder="1" applyAlignment="1" applyProtection="1">
      <alignment horizontal="center" vertical="center" wrapText="1"/>
      <protection locked="0"/>
    </xf>
    <xf numFmtId="0" fontId="77" fillId="2" borderId="2" xfId="0" applyFont="1" applyFill="1" applyBorder="1" applyAlignment="1" applyProtection="1">
      <alignment horizontal="center" vertical="center"/>
      <protection locked="0"/>
    </xf>
    <xf numFmtId="0" fontId="77" fillId="2" borderId="3" xfId="0" applyFont="1" applyFill="1" applyBorder="1" applyAlignment="1" applyProtection="1">
      <alignment horizontal="center" vertical="center"/>
      <protection locked="0"/>
    </xf>
    <xf numFmtId="0" fontId="33" fillId="0" borderId="3" xfId="0" applyFont="1" applyBorder="1" applyAlignment="1" applyProtection="1">
      <alignment horizontal="center" vertical="center"/>
      <protection locked="0"/>
    </xf>
    <xf numFmtId="0" fontId="33" fillId="0" borderId="3" xfId="0" applyFont="1" applyBorder="1" applyAlignment="1" applyProtection="1">
      <alignment horizontal="right" vertical="center"/>
      <protection locked="0"/>
    </xf>
    <xf numFmtId="0" fontId="33" fillId="0" borderId="3" xfId="0" applyFont="1" applyBorder="1" applyAlignment="1" applyProtection="1">
      <alignment horizontal="center" vertical="center" wrapText="1"/>
      <protection locked="0"/>
    </xf>
    <xf numFmtId="0" fontId="33" fillId="0" borderId="39" xfId="0" applyFont="1" applyBorder="1" applyAlignment="1" applyProtection="1">
      <alignment horizontal="center" vertical="center" wrapText="1"/>
      <protection locked="0"/>
    </xf>
    <xf numFmtId="49" fontId="33" fillId="8" borderId="48" xfId="0" applyNumberFormat="1" applyFont="1" applyFill="1" applyBorder="1" applyAlignment="1" applyProtection="1">
      <alignment horizontal="center" vertical="center" wrapText="1"/>
      <protection locked="0"/>
    </xf>
    <xf numFmtId="49" fontId="33" fillId="8" borderId="16" xfId="0" applyNumberFormat="1" applyFont="1" applyFill="1" applyBorder="1" applyAlignment="1" applyProtection="1">
      <alignment horizontal="center" vertical="center" wrapText="1"/>
      <protection locked="0"/>
    </xf>
    <xf numFmtId="49" fontId="33" fillId="8" borderId="59" xfId="0" applyNumberFormat="1" applyFont="1" applyFill="1" applyBorder="1" applyAlignment="1" applyProtection="1">
      <alignment horizontal="center" vertical="center" wrapText="1"/>
      <protection locked="0"/>
    </xf>
    <xf numFmtId="0" fontId="77" fillId="8" borderId="16" xfId="0" applyFont="1" applyFill="1" applyBorder="1" applyAlignment="1" applyProtection="1">
      <alignment horizontal="center" vertical="center" wrapText="1"/>
      <protection locked="0"/>
    </xf>
    <xf numFmtId="0" fontId="77" fillId="2" borderId="11" xfId="0" applyFont="1" applyFill="1" applyBorder="1" applyAlignment="1" applyProtection="1">
      <alignment vertical="center" wrapText="1"/>
      <protection locked="0"/>
    </xf>
    <xf numFmtId="0" fontId="77" fillId="2" borderId="3" xfId="0" applyFont="1" applyFill="1" applyBorder="1" applyAlignment="1" applyProtection="1">
      <alignment vertical="center" wrapText="1"/>
      <protection locked="0"/>
    </xf>
    <xf numFmtId="0" fontId="33" fillId="2" borderId="11" xfId="0" applyFont="1" applyFill="1" applyBorder="1" applyAlignment="1" applyProtection="1">
      <alignment horizontal="center" vertical="center" wrapText="1"/>
      <protection locked="0"/>
    </xf>
    <xf numFmtId="0" fontId="33" fillId="2" borderId="3" xfId="0" applyFont="1" applyFill="1" applyBorder="1" applyAlignment="1" applyProtection="1">
      <alignment horizontal="center" vertical="center" wrapText="1"/>
      <protection locked="0"/>
    </xf>
    <xf numFmtId="0" fontId="31" fillId="2" borderId="3" xfId="0" applyFont="1" applyFill="1" applyBorder="1" applyAlignment="1" applyProtection="1">
      <alignment horizontal="center" vertical="center"/>
      <protection locked="0"/>
    </xf>
    <xf numFmtId="0" fontId="33" fillId="2" borderId="11" xfId="0" applyFont="1" applyFill="1" applyBorder="1" applyAlignment="1" applyProtection="1">
      <alignment horizontal="center" vertical="center"/>
      <protection locked="0"/>
    </xf>
    <xf numFmtId="0" fontId="33" fillId="2" borderId="3" xfId="0" applyFont="1" applyFill="1" applyBorder="1" applyAlignment="1" applyProtection="1">
      <alignment horizontal="center" vertical="center"/>
      <protection locked="0"/>
    </xf>
    <xf numFmtId="0" fontId="21" fillId="9" borderId="12" xfId="0" applyFont="1" applyFill="1" applyBorder="1" applyAlignment="1">
      <alignment horizontal="center" vertical="center" wrapText="1"/>
    </xf>
    <xf numFmtId="0" fontId="41" fillId="8" borderId="4" xfId="0" applyFont="1" applyFill="1" applyBorder="1" applyAlignment="1" applyProtection="1">
      <alignment horizontal="center" vertical="center"/>
      <protection locked="0"/>
    </xf>
    <xf numFmtId="0" fontId="21" fillId="9" borderId="9" xfId="0" applyFont="1" applyFill="1" applyBorder="1" applyAlignment="1">
      <alignment horizontal="center" vertical="center"/>
    </xf>
    <xf numFmtId="0" fontId="51" fillId="2" borderId="0" xfId="0" applyFont="1" applyFill="1" applyAlignment="1">
      <alignment horizontal="center" vertical="center"/>
    </xf>
    <xf numFmtId="0" fontId="46" fillId="4" borderId="29" xfId="0" applyFont="1" applyFill="1" applyBorder="1" applyAlignment="1">
      <alignment horizontal="center" vertical="center" wrapText="1"/>
    </xf>
    <xf numFmtId="0" fontId="51" fillId="2" borderId="0" xfId="0" applyFont="1" applyFill="1" applyAlignment="1">
      <alignment horizontal="center" vertical="center" wrapText="1"/>
    </xf>
    <xf numFmtId="0" fontId="33" fillId="0" borderId="0" xfId="0" applyFont="1" applyAlignment="1">
      <alignment horizontal="center" vertical="center" wrapText="1"/>
    </xf>
    <xf numFmtId="0" fontId="31" fillId="12" borderId="10" xfId="0" applyFont="1" applyFill="1" applyBorder="1" applyAlignment="1">
      <alignment horizontal="center" vertical="center"/>
    </xf>
    <xf numFmtId="1" fontId="33" fillId="12" borderId="11" xfId="0" applyNumberFormat="1" applyFont="1" applyFill="1" applyBorder="1" applyAlignment="1">
      <alignment horizontal="center" vertical="center"/>
    </xf>
    <xf numFmtId="0" fontId="32" fillId="22" borderId="11" xfId="0" applyFont="1" applyFill="1" applyBorder="1" applyAlignment="1">
      <alignment horizontal="center" vertical="center"/>
    </xf>
    <xf numFmtId="0" fontId="33" fillId="22" borderId="11" xfId="0" applyFont="1" applyFill="1" applyBorder="1" applyAlignment="1">
      <alignment horizontal="center" vertical="center" wrapText="1"/>
    </xf>
    <xf numFmtId="0" fontId="32" fillId="24" borderId="11" xfId="0" applyFont="1" applyFill="1" applyBorder="1" applyAlignment="1">
      <alignment horizontal="center" vertical="center"/>
    </xf>
    <xf numFmtId="0" fontId="77" fillId="24" borderId="11" xfId="0" applyFont="1" applyFill="1" applyBorder="1" applyAlignment="1">
      <alignment horizontal="center" vertical="center" wrapText="1"/>
    </xf>
    <xf numFmtId="0" fontId="32" fillId="11" borderId="11" xfId="0" applyFont="1" applyFill="1" applyBorder="1" applyAlignment="1">
      <alignment horizontal="center" vertical="center"/>
    </xf>
    <xf numFmtId="0" fontId="77" fillId="11" borderId="11" xfId="0" applyFont="1" applyFill="1" applyBorder="1" applyAlignment="1">
      <alignment horizontal="center" vertical="center" wrapText="1"/>
    </xf>
    <xf numFmtId="0" fontId="32" fillId="23" borderId="11" xfId="0" applyFont="1" applyFill="1" applyBorder="1" applyAlignment="1">
      <alignment horizontal="center" vertical="center"/>
    </xf>
    <xf numFmtId="0" fontId="77" fillId="23" borderId="34" xfId="0" applyFont="1" applyFill="1" applyBorder="1" applyAlignment="1">
      <alignment horizontal="center" vertical="center" wrapText="1"/>
    </xf>
    <xf numFmtId="0" fontId="31" fillId="4" borderId="1" xfId="0" applyFont="1" applyFill="1" applyBorder="1" applyAlignment="1">
      <alignment horizontal="center" vertical="center"/>
    </xf>
    <xf numFmtId="0" fontId="31" fillId="12" borderId="5" xfId="0" applyFont="1" applyFill="1" applyBorder="1" applyAlignment="1">
      <alignment horizontal="center" vertical="center"/>
    </xf>
    <xf numFmtId="1" fontId="33" fillId="12" borderId="1" xfId="0" applyNumberFormat="1" applyFont="1" applyFill="1" applyBorder="1" applyAlignment="1">
      <alignment horizontal="center" vertical="center"/>
    </xf>
    <xf numFmtId="0" fontId="32" fillId="22" borderId="1" xfId="0" applyFont="1" applyFill="1" applyBorder="1" applyAlignment="1">
      <alignment horizontal="center" vertical="center"/>
    </xf>
    <xf numFmtId="0" fontId="33" fillId="22" borderId="1" xfId="0" applyFont="1" applyFill="1" applyBorder="1" applyAlignment="1">
      <alignment horizontal="center" vertical="center" wrapText="1"/>
    </xf>
    <xf numFmtId="0" fontId="32" fillId="24" borderId="1" xfId="0" applyFont="1" applyFill="1" applyBorder="1" applyAlignment="1">
      <alignment horizontal="center" vertical="center"/>
    </xf>
    <xf numFmtId="0" fontId="77" fillId="24" borderId="1" xfId="0" applyFont="1" applyFill="1" applyBorder="1" applyAlignment="1">
      <alignment horizontal="center" vertical="center" wrapText="1"/>
    </xf>
    <xf numFmtId="0" fontId="32" fillId="11" borderId="1" xfId="0" applyFont="1" applyFill="1" applyBorder="1" applyAlignment="1">
      <alignment horizontal="center" vertical="center"/>
    </xf>
    <xf numFmtId="0" fontId="77" fillId="11" borderId="1" xfId="0" applyFont="1" applyFill="1" applyBorder="1" applyAlignment="1">
      <alignment horizontal="center" vertical="center" wrapText="1"/>
    </xf>
    <xf numFmtId="0" fontId="32" fillId="23" borderId="1" xfId="0" applyFont="1" applyFill="1" applyBorder="1" applyAlignment="1">
      <alignment horizontal="center" vertical="center"/>
    </xf>
    <xf numFmtId="0" fontId="77" fillId="23" borderId="6" xfId="0" applyFont="1" applyFill="1" applyBorder="1" applyAlignment="1">
      <alignment horizontal="center" vertical="center" wrapText="1"/>
    </xf>
    <xf numFmtId="0" fontId="33" fillId="0" borderId="2" xfId="0" applyFont="1" applyBorder="1" applyAlignment="1">
      <alignment horizontal="center" vertical="center"/>
    </xf>
    <xf numFmtId="0" fontId="33" fillId="0" borderId="4" xfId="0" applyFont="1" applyBorder="1" applyAlignment="1">
      <alignment horizontal="center" vertical="center"/>
    </xf>
    <xf numFmtId="0" fontId="33" fillId="0" borderId="5" xfId="0" applyFont="1" applyBorder="1" applyAlignment="1">
      <alignment horizontal="center" vertical="center"/>
    </xf>
    <xf numFmtId="0" fontId="33" fillId="0" borderId="34" xfId="0" applyFont="1" applyBorder="1" applyAlignment="1">
      <alignment horizontal="center" vertical="center"/>
    </xf>
    <xf numFmtId="166" fontId="33" fillId="9" borderId="1" xfId="0" applyNumberFormat="1" applyFont="1" applyFill="1" applyBorder="1" applyAlignment="1" applyProtection="1">
      <alignment vertical="center"/>
      <protection hidden="1"/>
    </xf>
    <xf numFmtId="0" fontId="33" fillId="0" borderId="7" xfId="0" applyFont="1" applyBorder="1" applyAlignment="1">
      <alignment horizontal="center" vertical="center"/>
    </xf>
    <xf numFmtId="0" fontId="33" fillId="0" borderId="25" xfId="0" applyFont="1" applyBorder="1" applyAlignment="1">
      <alignment horizontal="center" vertical="center"/>
    </xf>
    <xf numFmtId="0" fontId="33" fillId="0" borderId="6" xfId="0" applyFont="1" applyBorder="1" applyAlignment="1">
      <alignment horizontal="center" vertical="center"/>
    </xf>
    <xf numFmtId="0" fontId="31" fillId="12" borderId="48" xfId="0" applyFont="1" applyFill="1" applyBorder="1" applyAlignment="1">
      <alignment horizontal="center" vertical="center"/>
    </xf>
    <xf numFmtId="1" fontId="33" fillId="12" borderId="16" xfId="0" applyNumberFormat="1" applyFont="1" applyFill="1" applyBorder="1" applyAlignment="1">
      <alignment horizontal="center" vertical="center"/>
    </xf>
    <xf numFmtId="0" fontId="32" fillId="22" borderId="16" xfId="0" applyFont="1" applyFill="1" applyBorder="1" applyAlignment="1">
      <alignment horizontal="center" vertical="center"/>
    </xf>
    <xf numFmtId="0" fontId="33" fillId="22" borderId="16" xfId="0" applyFont="1" applyFill="1" applyBorder="1" applyAlignment="1">
      <alignment horizontal="center" vertical="center" wrapText="1"/>
    </xf>
    <xf numFmtId="0" fontId="32" fillId="24" borderId="16" xfId="0" applyFont="1" applyFill="1" applyBorder="1" applyAlignment="1">
      <alignment horizontal="center" vertical="center"/>
    </xf>
    <xf numFmtId="0" fontId="77" fillId="24" borderId="16" xfId="0" applyFont="1" applyFill="1" applyBorder="1" applyAlignment="1">
      <alignment horizontal="center" vertical="center" wrapText="1"/>
    </xf>
    <xf numFmtId="0" fontId="32" fillId="11" borderId="16" xfId="0" applyFont="1" applyFill="1" applyBorder="1" applyAlignment="1">
      <alignment horizontal="center" vertical="center"/>
    </xf>
    <xf numFmtId="0" fontId="77" fillId="11" borderId="16" xfId="0" applyFont="1" applyFill="1" applyBorder="1" applyAlignment="1">
      <alignment horizontal="center" vertical="center" wrapText="1"/>
    </xf>
    <xf numFmtId="0" fontId="32" fillId="23" borderId="16" xfId="0" applyFont="1" applyFill="1" applyBorder="1" applyAlignment="1">
      <alignment horizontal="center" vertical="center"/>
    </xf>
    <xf numFmtId="0" fontId="77" fillId="23" borderId="35" xfId="0" applyFont="1" applyFill="1" applyBorder="1" applyAlignment="1">
      <alignment horizontal="center" vertical="center" wrapText="1"/>
    </xf>
    <xf numFmtId="0" fontId="33" fillId="0" borderId="9" xfId="0" applyFont="1" applyBorder="1" applyAlignment="1">
      <alignment horizontal="center" vertical="center"/>
    </xf>
    <xf numFmtId="0" fontId="33" fillId="12" borderId="11" xfId="0" applyFont="1" applyFill="1" applyBorder="1" applyAlignment="1">
      <alignment horizontal="center" vertical="center"/>
    </xf>
    <xf numFmtId="17" fontId="33" fillId="0" borderId="0" xfId="0" applyNumberFormat="1" applyFont="1" applyAlignment="1">
      <alignment horizontal="center" vertical="center"/>
    </xf>
    <xf numFmtId="0" fontId="33" fillId="12" borderId="1" xfId="0" applyFont="1" applyFill="1" applyBorder="1" applyAlignment="1">
      <alignment horizontal="center" vertical="center"/>
    </xf>
    <xf numFmtId="0" fontId="33" fillId="12" borderId="16" xfId="0" applyFont="1" applyFill="1" applyBorder="1" applyAlignment="1">
      <alignment horizontal="center" vertical="center"/>
    </xf>
    <xf numFmtId="0" fontId="33" fillId="19" borderId="11" xfId="0" applyFont="1" applyFill="1" applyBorder="1" applyAlignment="1">
      <alignment horizontal="center" vertical="center"/>
    </xf>
    <xf numFmtId="0" fontId="33" fillId="19" borderId="34" xfId="0" applyFont="1" applyFill="1" applyBorder="1" applyAlignment="1">
      <alignment horizontal="center" vertical="center"/>
    </xf>
    <xf numFmtId="0" fontId="33" fillId="19" borderId="1" xfId="0" applyFont="1" applyFill="1" applyBorder="1" applyAlignment="1">
      <alignment horizontal="center" vertical="center"/>
    </xf>
    <xf numFmtId="0" fontId="33" fillId="19" borderId="6" xfId="0" applyFont="1" applyFill="1" applyBorder="1" applyAlignment="1">
      <alignment horizontal="center" vertical="center"/>
    </xf>
    <xf numFmtId="0" fontId="31" fillId="8" borderId="1" xfId="0" applyFont="1" applyFill="1" applyBorder="1" applyAlignment="1">
      <alignment vertical="center"/>
    </xf>
    <xf numFmtId="44" fontId="33" fillId="8" borderId="1" xfId="3" applyFont="1" applyFill="1" applyBorder="1" applyAlignment="1" applyProtection="1">
      <alignment vertical="center"/>
      <protection hidden="1"/>
    </xf>
    <xf numFmtId="0" fontId="33" fillId="19" borderId="8" xfId="0" applyFont="1" applyFill="1" applyBorder="1" applyAlignment="1">
      <alignment horizontal="center" vertical="center"/>
    </xf>
    <xf numFmtId="0" fontId="33" fillId="19" borderId="9" xfId="0" applyFont="1" applyFill="1" applyBorder="1" applyAlignment="1">
      <alignment horizontal="center" vertical="center"/>
    </xf>
    <xf numFmtId="44" fontId="31" fillId="2" borderId="0" xfId="3" applyFont="1" applyFill="1" applyAlignment="1">
      <alignment horizontal="center" vertical="center"/>
    </xf>
    <xf numFmtId="0" fontId="32" fillId="4" borderId="79" xfId="0" applyFont="1" applyFill="1" applyBorder="1" applyAlignment="1">
      <alignment horizontal="center" vertical="center" wrapText="1"/>
    </xf>
    <xf numFmtId="0" fontId="32" fillId="4" borderId="36" xfId="0" applyFont="1" applyFill="1" applyBorder="1" applyAlignment="1">
      <alignment horizontal="center" vertical="center" wrapText="1"/>
    </xf>
    <xf numFmtId="0" fontId="32" fillId="4" borderId="0" xfId="0" applyFont="1" applyFill="1" applyAlignment="1">
      <alignment horizontal="center" vertical="center" wrapText="1"/>
    </xf>
    <xf numFmtId="0" fontId="31" fillId="4" borderId="47" xfId="0" applyFont="1" applyFill="1" applyBorder="1" applyAlignment="1">
      <alignment horizontal="center" vertical="center"/>
    </xf>
    <xf numFmtId="0" fontId="32" fillId="8" borderId="2" xfId="0" applyFont="1" applyFill="1" applyBorder="1" applyAlignment="1">
      <alignment horizontal="center" vertical="center"/>
    </xf>
    <xf numFmtId="0" fontId="32" fillId="8" borderId="3" xfId="0" applyFont="1" applyFill="1" applyBorder="1" applyAlignment="1">
      <alignment horizontal="center" vertical="center"/>
    </xf>
    <xf numFmtId="1" fontId="33" fillId="8" borderId="4" xfId="0" applyNumberFormat="1" applyFont="1" applyFill="1" applyBorder="1" applyAlignment="1" applyProtection="1">
      <alignment horizontal="center" vertical="center"/>
      <protection hidden="1"/>
    </xf>
    <xf numFmtId="0" fontId="31" fillId="8" borderId="3" xfId="0" applyFont="1" applyFill="1" applyBorder="1" applyAlignment="1">
      <alignment horizontal="center" vertical="center"/>
    </xf>
    <xf numFmtId="0" fontId="31" fillId="8" borderId="4" xfId="0" applyFont="1" applyFill="1" applyBorder="1" applyAlignment="1">
      <alignment horizontal="center" vertical="center"/>
    </xf>
    <xf numFmtId="0" fontId="32" fillId="8" borderId="5" xfId="0" applyFont="1" applyFill="1" applyBorder="1" applyAlignment="1">
      <alignment horizontal="center" vertical="center"/>
    </xf>
    <xf numFmtId="0" fontId="32" fillId="8" borderId="1" xfId="0" applyFont="1" applyFill="1" applyBorder="1" applyAlignment="1">
      <alignment horizontal="center" vertical="center"/>
    </xf>
    <xf numFmtId="1" fontId="33" fillId="8" borderId="6" xfId="0" applyNumberFormat="1" applyFont="1" applyFill="1" applyBorder="1" applyAlignment="1" applyProtection="1">
      <alignment horizontal="center" vertical="center"/>
      <protection hidden="1"/>
    </xf>
    <xf numFmtId="0" fontId="31" fillId="8" borderId="1" xfId="0" applyFont="1" applyFill="1" applyBorder="1" applyAlignment="1">
      <alignment horizontal="center" vertical="center"/>
    </xf>
    <xf numFmtId="0" fontId="31" fillId="8" borderId="6" xfId="0" applyFont="1" applyFill="1" applyBorder="1" applyAlignment="1">
      <alignment horizontal="center" vertical="center"/>
    </xf>
    <xf numFmtId="0" fontId="32" fillId="8" borderId="7" xfId="0" applyFont="1" applyFill="1" applyBorder="1" applyAlignment="1">
      <alignment horizontal="center" vertical="center"/>
    </xf>
    <xf numFmtId="0" fontId="32" fillId="8" borderId="8" xfId="0" applyFont="1" applyFill="1" applyBorder="1" applyAlignment="1">
      <alignment horizontal="center" vertical="center"/>
    </xf>
    <xf numFmtId="1" fontId="33" fillId="8" borderId="9" xfId="0" applyNumberFormat="1" applyFont="1" applyFill="1" applyBorder="1" applyAlignment="1" applyProtection="1">
      <alignment horizontal="center" vertical="center"/>
      <protection hidden="1"/>
    </xf>
    <xf numFmtId="0" fontId="31" fillId="8" borderId="8" xfId="0" applyFont="1" applyFill="1" applyBorder="1" applyAlignment="1">
      <alignment horizontal="center" vertical="center"/>
    </xf>
    <xf numFmtId="0" fontId="31" fillId="8" borderId="9" xfId="0" applyFont="1" applyFill="1" applyBorder="1" applyAlignment="1">
      <alignment horizontal="center" vertical="center"/>
    </xf>
    <xf numFmtId="0" fontId="31" fillId="2" borderId="0" xfId="0" applyFont="1" applyFill="1" applyAlignment="1">
      <alignment horizontal="center" vertical="center"/>
    </xf>
    <xf numFmtId="0" fontId="33" fillId="8" borderId="2" xfId="0" applyFont="1" applyFill="1" applyBorder="1" applyAlignment="1">
      <alignment vertical="center"/>
    </xf>
    <xf numFmtId="0" fontId="33" fillId="8" borderId="4" xfId="0" applyFont="1" applyFill="1" applyBorder="1" applyAlignment="1">
      <alignment horizontal="center" vertical="center"/>
    </xf>
    <xf numFmtId="0" fontId="31" fillId="12" borderId="7" xfId="0" applyFont="1" applyFill="1" applyBorder="1" applyAlignment="1">
      <alignment horizontal="center" vertical="center"/>
    </xf>
    <xf numFmtId="0" fontId="33" fillId="12" borderId="8" xfId="0" applyFont="1" applyFill="1" applyBorder="1" applyAlignment="1">
      <alignment horizontal="center" vertical="center"/>
    </xf>
    <xf numFmtId="0" fontId="32" fillId="22" borderId="8" xfId="0" applyFont="1" applyFill="1" applyBorder="1" applyAlignment="1">
      <alignment horizontal="center" vertical="center"/>
    </xf>
    <xf numFmtId="0" fontId="33" fillId="22" borderId="8" xfId="0" applyFont="1" applyFill="1" applyBorder="1" applyAlignment="1">
      <alignment horizontal="center" vertical="center" wrapText="1"/>
    </xf>
    <xf numFmtId="0" fontId="32" fillId="24" borderId="8" xfId="0" applyFont="1" applyFill="1" applyBorder="1" applyAlignment="1">
      <alignment horizontal="center" vertical="center"/>
    </xf>
    <xf numFmtId="0" fontId="77" fillId="24" borderId="8" xfId="0" applyFont="1" applyFill="1" applyBorder="1" applyAlignment="1">
      <alignment horizontal="center" vertical="center" wrapText="1"/>
    </xf>
    <xf numFmtId="0" fontId="32" fillId="11" borderId="8" xfId="0" applyFont="1" applyFill="1" applyBorder="1" applyAlignment="1">
      <alignment horizontal="center" vertical="center"/>
    </xf>
    <xf numFmtId="0" fontId="77" fillId="11" borderId="8" xfId="0" applyFont="1" applyFill="1" applyBorder="1" applyAlignment="1">
      <alignment horizontal="center" vertical="center" wrapText="1"/>
    </xf>
    <xf numFmtId="0" fontId="32" fillId="23" borderId="8" xfId="0" applyFont="1" applyFill="1" applyBorder="1" applyAlignment="1">
      <alignment horizontal="center" vertical="center"/>
    </xf>
    <xf numFmtId="0" fontId="77" fillId="23" borderId="9" xfId="0" applyFont="1" applyFill="1" applyBorder="1" applyAlignment="1">
      <alignment horizontal="center" vertical="center" wrapText="1"/>
    </xf>
    <xf numFmtId="0" fontId="33" fillId="8" borderId="5" xfId="0" applyFont="1" applyFill="1" applyBorder="1" applyAlignment="1">
      <alignment vertical="center"/>
    </xf>
    <xf numFmtId="0" fontId="33" fillId="8" borderId="6" xfId="0" applyFont="1" applyFill="1" applyBorder="1" applyAlignment="1">
      <alignment horizontal="center" vertical="center"/>
    </xf>
    <xf numFmtId="0" fontId="31" fillId="14" borderId="18" xfId="0" applyFont="1" applyFill="1" applyBorder="1" applyAlignment="1">
      <alignment horizontal="center" vertical="center"/>
    </xf>
    <xf numFmtId="0" fontId="31" fillId="14" borderId="32" xfId="0" applyFont="1" applyFill="1" applyBorder="1" applyAlignment="1">
      <alignment horizontal="center" vertical="center"/>
    </xf>
    <xf numFmtId="0" fontId="76" fillId="2" borderId="56" xfId="0" applyFont="1" applyFill="1" applyBorder="1" applyAlignment="1">
      <alignment horizontal="center" vertical="center"/>
    </xf>
    <xf numFmtId="0" fontId="31" fillId="2" borderId="2" xfId="0" applyFont="1" applyFill="1" applyBorder="1" applyAlignment="1" applyProtection="1">
      <alignment horizontal="center" vertical="center"/>
      <protection locked="0"/>
    </xf>
    <xf numFmtId="0" fontId="31" fillId="2" borderId="4" xfId="0" applyFont="1" applyFill="1" applyBorder="1" applyAlignment="1" applyProtection="1">
      <alignment horizontal="center" vertical="center"/>
      <protection locked="0"/>
    </xf>
    <xf numFmtId="0" fontId="83" fillId="9" borderId="58" xfId="0" applyFont="1" applyFill="1" applyBorder="1" applyAlignment="1">
      <alignment horizontal="center" vertical="center"/>
    </xf>
    <xf numFmtId="44" fontId="33" fillId="9" borderId="5" xfId="3" applyFont="1" applyFill="1" applyBorder="1" applyAlignment="1" applyProtection="1">
      <alignment horizontal="center" vertical="center"/>
    </xf>
    <xf numFmtId="44" fontId="33" fillId="9" borderId="41" xfId="3" applyFont="1" applyFill="1" applyBorder="1" applyAlignment="1" applyProtection="1">
      <alignment horizontal="center" vertical="center"/>
    </xf>
    <xf numFmtId="44" fontId="33" fillId="9" borderId="1" xfId="3" applyFont="1" applyFill="1" applyBorder="1" applyAlignment="1" applyProtection="1">
      <alignment horizontal="center" vertical="center"/>
    </xf>
    <xf numFmtId="44" fontId="33" fillId="9" borderId="6" xfId="3" applyFont="1" applyFill="1" applyBorder="1" applyAlignment="1" applyProtection="1">
      <alignment horizontal="center" vertical="center"/>
    </xf>
    <xf numFmtId="0" fontId="76" fillId="2" borderId="58" xfId="0" applyFont="1" applyFill="1" applyBorder="1" applyAlignment="1">
      <alignment horizontal="center" vertical="center"/>
    </xf>
    <xf numFmtId="0" fontId="31" fillId="2" borderId="5"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31" fillId="2" borderId="6" xfId="0" applyFont="1" applyFill="1" applyBorder="1" applyAlignment="1" applyProtection="1">
      <alignment horizontal="center" vertical="center"/>
      <protection locked="0"/>
    </xf>
    <xf numFmtId="44" fontId="33" fillId="9" borderId="48" xfId="3" applyFont="1" applyFill="1" applyBorder="1" applyAlignment="1">
      <alignment horizontal="center" vertical="center"/>
    </xf>
    <xf numFmtId="44" fontId="33" fillId="9" borderId="16" xfId="3" applyFont="1" applyFill="1" applyBorder="1" applyAlignment="1">
      <alignment horizontal="center" vertical="center"/>
    </xf>
    <xf numFmtId="0" fontId="33" fillId="9" borderId="16" xfId="0" applyFont="1" applyFill="1" applyBorder="1" applyAlignment="1">
      <alignment horizontal="center" vertical="center"/>
    </xf>
    <xf numFmtId="44" fontId="33" fillId="9" borderId="35" xfId="3" applyFont="1" applyFill="1" applyBorder="1" applyAlignment="1">
      <alignment horizontal="center" vertical="center"/>
    </xf>
    <xf numFmtId="3" fontId="31" fillId="2" borderId="1" xfId="0" applyNumberFormat="1" applyFont="1" applyFill="1" applyBorder="1" applyAlignment="1" applyProtection="1">
      <alignment horizontal="center" vertical="center"/>
      <protection locked="0"/>
    </xf>
    <xf numFmtId="3" fontId="31" fillId="2" borderId="6" xfId="0" applyNumberFormat="1" applyFont="1" applyFill="1" applyBorder="1" applyAlignment="1" applyProtection="1">
      <alignment horizontal="center" vertical="center"/>
      <protection locked="0"/>
    </xf>
    <xf numFmtId="0" fontId="33" fillId="0" borderId="6" xfId="0" applyFont="1" applyBorder="1" applyAlignment="1" applyProtection="1">
      <alignment horizontal="center" vertical="center"/>
      <protection locked="0"/>
    </xf>
    <xf numFmtId="0" fontId="31" fillId="0" borderId="1" xfId="0" applyFont="1" applyBorder="1" applyAlignment="1" applyProtection="1">
      <alignment horizontal="center" vertical="center"/>
      <protection locked="0"/>
    </xf>
    <xf numFmtId="0" fontId="31" fillId="0" borderId="6" xfId="0" applyFont="1" applyBorder="1" applyAlignment="1" applyProtection="1">
      <alignment horizontal="center" vertical="center"/>
      <protection locked="0"/>
    </xf>
    <xf numFmtId="0" fontId="76" fillId="0" borderId="58" xfId="0" applyFont="1" applyBorder="1" applyAlignment="1">
      <alignment horizontal="center" vertical="center"/>
    </xf>
    <xf numFmtId="0" fontId="31" fillId="0" borderId="5" xfId="0" applyFont="1" applyBorder="1" applyAlignment="1" applyProtection="1">
      <alignment horizontal="center" vertical="center"/>
      <protection locked="0"/>
    </xf>
    <xf numFmtId="0" fontId="31" fillId="0" borderId="5" xfId="0" applyFont="1" applyBorder="1" applyAlignment="1" applyProtection="1">
      <alignment horizontal="center" vertical="center" wrapText="1"/>
      <protection locked="0"/>
    </xf>
    <xf numFmtId="0" fontId="31" fillId="0" borderId="1" xfId="0" applyFont="1" applyBorder="1" applyAlignment="1" applyProtection="1">
      <alignment horizontal="center" vertical="center" wrapText="1"/>
      <protection locked="0"/>
    </xf>
    <xf numFmtId="44" fontId="33" fillId="9" borderId="5" xfId="3" applyFont="1" applyFill="1" applyBorder="1" applyAlignment="1" applyProtection="1">
      <alignment horizontal="center" vertical="center" wrapText="1"/>
    </xf>
    <xf numFmtId="44" fontId="33" fillId="9" borderId="1" xfId="3" applyFont="1" applyFill="1" applyBorder="1" applyAlignment="1" applyProtection="1">
      <alignment horizontal="center" vertical="center" wrapText="1"/>
    </xf>
    <xf numFmtId="44" fontId="84" fillId="9" borderId="5" xfId="3" applyFont="1" applyFill="1" applyBorder="1" applyAlignment="1" applyProtection="1">
      <alignment horizontal="center" vertical="center"/>
    </xf>
    <xf numFmtId="44" fontId="84" fillId="9" borderId="1" xfId="3" applyFont="1" applyFill="1" applyBorder="1" applyAlignment="1" applyProtection="1">
      <alignment horizontal="center" vertical="center"/>
    </xf>
    <xf numFmtId="44" fontId="84" fillId="9" borderId="6" xfId="3" applyFont="1" applyFill="1" applyBorder="1" applyAlignment="1" applyProtection="1">
      <alignment horizontal="center" vertical="center"/>
    </xf>
    <xf numFmtId="0" fontId="83" fillId="9" borderId="57" xfId="0" applyFont="1" applyFill="1" applyBorder="1" applyAlignment="1">
      <alignment horizontal="center" vertical="center"/>
    </xf>
    <xf numFmtId="44" fontId="84" fillId="9" borderId="7" xfId="3" applyFont="1" applyFill="1" applyBorder="1" applyAlignment="1" applyProtection="1">
      <alignment horizontal="center" vertical="center"/>
    </xf>
    <xf numFmtId="44" fontId="84" fillId="9" borderId="8" xfId="3" applyFont="1" applyFill="1" applyBorder="1" applyAlignment="1" applyProtection="1">
      <alignment horizontal="center" vertical="center"/>
    </xf>
    <xf numFmtId="44" fontId="84" fillId="9" borderId="9" xfId="3" applyFont="1" applyFill="1" applyBorder="1" applyAlignment="1" applyProtection="1">
      <alignment horizontal="center" vertical="center"/>
    </xf>
    <xf numFmtId="0" fontId="33" fillId="8" borderId="2" xfId="0" applyFont="1" applyFill="1" applyBorder="1" applyAlignment="1">
      <alignment horizontal="center" vertical="center"/>
    </xf>
    <xf numFmtId="0" fontId="31" fillId="8" borderId="21" xfId="0" applyFont="1" applyFill="1" applyBorder="1" applyAlignment="1">
      <alignment horizontal="center" vertical="center"/>
    </xf>
    <xf numFmtId="0" fontId="33" fillId="8" borderId="5" xfId="0" applyFont="1" applyFill="1" applyBorder="1" applyAlignment="1">
      <alignment horizontal="center" vertical="center"/>
    </xf>
    <xf numFmtId="0" fontId="33" fillId="8" borderId="0" xfId="0" applyFont="1" applyFill="1" applyAlignment="1">
      <alignment horizontal="center" vertical="center"/>
    </xf>
    <xf numFmtId="0" fontId="33" fillId="8" borderId="7" xfId="0" applyFont="1" applyFill="1" applyBorder="1" applyAlignment="1">
      <alignment horizontal="center" vertical="center"/>
    </xf>
    <xf numFmtId="0" fontId="33" fillId="8" borderId="9" xfId="0" applyFont="1" applyFill="1" applyBorder="1" applyAlignment="1">
      <alignment horizontal="center" vertical="center"/>
    </xf>
    <xf numFmtId="0" fontId="33" fillId="8" borderId="24" xfId="0" applyFont="1" applyFill="1" applyBorder="1" applyAlignment="1">
      <alignment horizontal="center" vertical="center"/>
    </xf>
    <xf numFmtId="0" fontId="33" fillId="8" borderId="34" xfId="0" applyFont="1" applyFill="1" applyBorder="1" applyAlignment="1">
      <alignment horizontal="center" vertical="center"/>
    </xf>
    <xf numFmtId="175" fontId="31" fillId="4" borderId="1" xfId="0" applyNumberFormat="1" applyFont="1" applyFill="1" applyBorder="1" applyAlignment="1">
      <alignment horizontal="center" vertical="center"/>
    </xf>
    <xf numFmtId="0" fontId="4" fillId="16" borderId="12" xfId="0" applyFont="1" applyFill="1" applyBorder="1" applyAlignment="1">
      <alignment vertical="center"/>
    </xf>
    <xf numFmtId="44" fontId="17" fillId="16" borderId="2" xfId="3" applyFont="1" applyFill="1" applyBorder="1" applyAlignment="1" applyProtection="1">
      <alignment horizontal="center" vertical="center"/>
    </xf>
    <xf numFmtId="44" fontId="17" fillId="16" borderId="3" xfId="3" applyFont="1" applyFill="1" applyBorder="1" applyAlignment="1" applyProtection="1">
      <alignment horizontal="center" vertical="center"/>
    </xf>
    <xf numFmtId="44" fontId="17" fillId="16" borderId="4" xfId="3" applyFont="1" applyFill="1" applyBorder="1" applyAlignment="1" applyProtection="1">
      <alignment horizontal="center" vertical="center"/>
    </xf>
    <xf numFmtId="0" fontId="17" fillId="0" borderId="0" xfId="0" applyFont="1" applyAlignment="1">
      <alignment horizontal="center" vertical="center" wrapText="1"/>
    </xf>
    <xf numFmtId="0" fontId="4" fillId="16" borderId="51" xfId="0" applyFont="1" applyFill="1" applyBorder="1" applyAlignment="1">
      <alignment vertical="center"/>
    </xf>
    <xf numFmtId="164" fontId="4" fillId="16" borderId="49" xfId="3" applyNumberFormat="1" applyFont="1" applyFill="1" applyBorder="1" applyAlignment="1" applyProtection="1">
      <alignment vertical="center"/>
    </xf>
    <xf numFmtId="2" fontId="75" fillId="20" borderId="34" xfId="0" applyNumberFormat="1" applyFont="1" applyFill="1" applyBorder="1" applyAlignment="1" applyProtection="1">
      <alignment horizontal="center" vertical="center"/>
      <protection hidden="1"/>
    </xf>
    <xf numFmtId="2" fontId="75" fillId="20" borderId="6" xfId="0" applyNumberFormat="1" applyFont="1" applyFill="1" applyBorder="1" applyAlignment="1" applyProtection="1">
      <alignment horizontal="center" vertical="center"/>
      <protection hidden="1"/>
    </xf>
    <xf numFmtId="2" fontId="75" fillId="20" borderId="9" xfId="0" applyNumberFormat="1" applyFont="1" applyFill="1" applyBorder="1" applyAlignment="1" applyProtection="1">
      <alignment horizontal="center" vertical="center"/>
      <protection hidden="1"/>
    </xf>
    <xf numFmtId="2" fontId="75" fillId="20" borderId="33" xfId="0" applyNumberFormat="1" applyFont="1" applyFill="1" applyBorder="1" applyAlignment="1" applyProtection="1">
      <alignment horizontal="center" vertical="center"/>
      <protection hidden="1"/>
    </xf>
    <xf numFmtId="0" fontId="0" fillId="11" borderId="47" xfId="0" applyFill="1" applyBorder="1" applyAlignment="1">
      <alignment vertical="center"/>
    </xf>
    <xf numFmtId="0" fontId="0" fillId="11" borderId="56" xfId="0" applyFill="1" applyBorder="1" applyAlignment="1">
      <alignment vertical="center"/>
    </xf>
    <xf numFmtId="0" fontId="0" fillId="11" borderId="58" xfId="0" applyFill="1" applyBorder="1" applyAlignment="1">
      <alignment vertical="center"/>
    </xf>
    <xf numFmtId="0" fontId="0" fillId="11" borderId="63" xfId="0" applyFill="1" applyBorder="1" applyAlignment="1">
      <alignment vertical="center"/>
    </xf>
    <xf numFmtId="0" fontId="0" fillId="11" borderId="58" xfId="0" applyFill="1" applyBorder="1" applyAlignment="1">
      <alignment vertical="center" wrapText="1"/>
    </xf>
    <xf numFmtId="0" fontId="0" fillId="11" borderId="72" xfId="0" applyFill="1" applyBorder="1" applyAlignment="1">
      <alignment vertical="center" wrapText="1"/>
    </xf>
    <xf numFmtId="164" fontId="25" fillId="2" borderId="60" xfId="0" applyNumberFormat="1" applyFont="1" applyFill="1" applyBorder="1" applyAlignment="1">
      <alignment vertical="center"/>
    </xf>
    <xf numFmtId="164" fontId="25" fillId="2" borderId="41" xfId="0" applyNumberFormat="1" applyFont="1" applyFill="1" applyBorder="1" applyAlignment="1">
      <alignment vertical="center"/>
    </xf>
    <xf numFmtId="164" fontId="25" fillId="2" borderId="55" xfId="0" applyNumberFormat="1" applyFont="1" applyFill="1" applyBorder="1" applyAlignment="1">
      <alignment vertical="center"/>
    </xf>
    <xf numFmtId="44" fontId="25" fillId="2" borderId="44" xfId="3" applyFont="1" applyFill="1" applyBorder="1" applyAlignment="1">
      <alignment vertical="center"/>
    </xf>
    <xf numFmtId="164" fontId="25" fillId="2" borderId="68" xfId="0" applyNumberFormat="1" applyFont="1" applyFill="1" applyBorder="1" applyAlignment="1" applyProtection="1">
      <alignment vertical="center"/>
      <protection hidden="1"/>
    </xf>
    <xf numFmtId="164" fontId="25" fillId="2" borderId="41" xfId="0" applyNumberFormat="1" applyFont="1" applyFill="1" applyBorder="1" applyAlignment="1" applyProtection="1">
      <alignment vertical="center"/>
      <protection hidden="1"/>
    </xf>
    <xf numFmtId="164" fontId="25" fillId="2" borderId="55" xfId="0" applyNumberFormat="1" applyFont="1" applyFill="1" applyBorder="1" applyAlignment="1" applyProtection="1">
      <alignment vertical="center"/>
      <protection hidden="1"/>
    </xf>
    <xf numFmtId="164" fontId="25" fillId="2" borderId="69" xfId="0" applyNumberFormat="1" applyFont="1" applyFill="1" applyBorder="1" applyAlignment="1" applyProtection="1">
      <alignment vertical="center"/>
      <protection hidden="1"/>
    </xf>
    <xf numFmtId="164" fontId="1" fillId="2" borderId="68" xfId="3" applyNumberFormat="1" applyFont="1" applyFill="1" applyBorder="1" applyAlignment="1" applyProtection="1">
      <alignment horizontal="center" vertical="center" wrapText="1"/>
      <protection hidden="1"/>
    </xf>
    <xf numFmtId="164" fontId="1" fillId="2" borderId="60" xfId="3" applyNumberFormat="1" applyFont="1" applyFill="1" applyBorder="1" applyAlignment="1" applyProtection="1">
      <alignment horizontal="center" vertical="center" wrapText="1"/>
      <protection hidden="1"/>
    </xf>
    <xf numFmtId="164" fontId="1" fillId="2" borderId="41" xfId="3" applyNumberFormat="1" applyFont="1" applyFill="1" applyBorder="1" applyAlignment="1" applyProtection="1">
      <alignment horizontal="center" vertical="center" wrapText="1"/>
      <protection hidden="1"/>
    </xf>
    <xf numFmtId="164" fontId="1" fillId="2" borderId="55" xfId="3" applyNumberFormat="1" applyFont="1" applyFill="1" applyBorder="1" applyAlignment="1" applyProtection="1">
      <alignment horizontal="center" vertical="center" wrapText="1"/>
      <protection hidden="1"/>
    </xf>
    <xf numFmtId="164" fontId="25" fillId="2" borderId="41" xfId="0" applyNumberFormat="1" applyFont="1" applyFill="1" applyBorder="1" applyAlignment="1" applyProtection="1">
      <alignment horizontal="left" vertical="center"/>
      <protection hidden="1"/>
    </xf>
    <xf numFmtId="0" fontId="0" fillId="11" borderId="57" xfId="0" applyFill="1" applyBorder="1" applyAlignment="1">
      <alignment vertical="center"/>
    </xf>
    <xf numFmtId="44" fontId="0" fillId="11" borderId="56" xfId="0" applyNumberFormat="1" applyFill="1" applyBorder="1" applyAlignment="1">
      <alignment vertical="center"/>
    </xf>
    <xf numFmtId="44" fontId="25" fillId="2" borderId="60" xfId="0" applyNumberFormat="1" applyFont="1" applyFill="1" applyBorder="1" applyAlignment="1" applyProtection="1">
      <alignment vertical="center"/>
      <protection hidden="1"/>
    </xf>
    <xf numFmtId="44" fontId="0" fillId="11" borderId="57" xfId="0" applyNumberFormat="1" applyFill="1" applyBorder="1" applyAlignment="1">
      <alignment vertical="center"/>
    </xf>
    <xf numFmtId="44" fontId="25" fillId="2" borderId="55" xfId="0" applyNumberFormat="1" applyFont="1" applyFill="1" applyBorder="1" applyAlignment="1" applyProtection="1">
      <alignment vertical="center"/>
      <protection hidden="1"/>
    </xf>
    <xf numFmtId="44" fontId="0" fillId="11" borderId="56" xfId="0" applyNumberFormat="1" applyFill="1" applyBorder="1" applyAlignment="1" applyProtection="1">
      <alignment vertical="center" wrapText="1"/>
      <protection locked="0"/>
    </xf>
    <xf numFmtId="164" fontId="25" fillId="2" borderId="60" xfId="3" applyNumberFormat="1" applyFont="1" applyFill="1" applyBorder="1" applyAlignment="1">
      <alignment vertical="center"/>
    </xf>
    <xf numFmtId="44" fontId="0" fillId="11" borderId="57" xfId="0" applyNumberFormat="1" applyFill="1" applyBorder="1" applyAlignment="1" applyProtection="1">
      <alignment vertical="center" wrapText="1"/>
      <protection locked="0"/>
    </xf>
    <xf numFmtId="164" fontId="25" fillId="2" borderId="55" xfId="3" applyNumberFormat="1" applyFont="1" applyFill="1" applyBorder="1" applyAlignment="1">
      <alignment vertical="center"/>
    </xf>
    <xf numFmtId="44" fontId="0" fillId="11" borderId="58" xfId="0" applyNumberFormat="1" applyFill="1" applyBorder="1" applyAlignment="1" applyProtection="1">
      <alignment vertical="center" wrapText="1"/>
      <protection locked="0"/>
    </xf>
    <xf numFmtId="164" fontId="25" fillId="2" borderId="41" xfId="3" applyNumberFormat="1" applyFont="1" applyFill="1" applyBorder="1" applyAlignment="1">
      <alignment vertical="center"/>
    </xf>
    <xf numFmtId="44" fontId="0" fillId="11" borderId="75" xfId="0" applyNumberFormat="1" applyFill="1" applyBorder="1" applyAlignment="1" applyProtection="1">
      <alignment vertical="center" wrapText="1"/>
      <protection locked="0"/>
    </xf>
    <xf numFmtId="175" fontId="25" fillId="38" borderId="60" xfId="3" applyNumberFormat="1" applyFont="1" applyFill="1" applyBorder="1" applyAlignment="1">
      <alignment vertical="center"/>
    </xf>
    <xf numFmtId="175" fontId="25" fillId="38" borderId="41" xfId="3" applyNumberFormat="1" applyFont="1" applyFill="1" applyBorder="1" applyAlignment="1">
      <alignment vertical="center"/>
    </xf>
    <xf numFmtId="175" fontId="25" fillId="38" borderId="55" xfId="3" applyNumberFormat="1" applyFont="1" applyFill="1" applyBorder="1" applyAlignment="1">
      <alignment vertical="center"/>
    </xf>
    <xf numFmtId="0" fontId="0" fillId="11" borderId="75" xfId="0" applyFill="1" applyBorder="1" applyAlignment="1">
      <alignment vertical="center" wrapText="1"/>
    </xf>
    <xf numFmtId="164" fontId="25" fillId="2" borderId="38" xfId="0" applyNumberFormat="1" applyFont="1" applyFill="1" applyBorder="1" applyAlignment="1">
      <alignment vertical="center"/>
    </xf>
    <xf numFmtId="164" fontId="25" fillId="2" borderId="60" xfId="0" applyNumberFormat="1" applyFont="1" applyFill="1" applyBorder="1" applyAlignment="1" applyProtection="1">
      <alignment vertical="center"/>
      <protection hidden="1"/>
    </xf>
    <xf numFmtId="164" fontId="25" fillId="2" borderId="38" xfId="0" applyNumberFormat="1" applyFont="1" applyFill="1" applyBorder="1" applyAlignment="1" applyProtection="1">
      <alignment vertical="center"/>
      <protection hidden="1"/>
    </xf>
    <xf numFmtId="164" fontId="25" fillId="2" borderId="68" xfId="3" applyNumberFormat="1" applyFont="1" applyFill="1" applyBorder="1" applyAlignment="1" applyProtection="1">
      <alignment vertical="center"/>
      <protection hidden="1"/>
    </xf>
    <xf numFmtId="164" fontId="25" fillId="2" borderId="55" xfId="3" applyNumberFormat="1" applyFont="1" applyFill="1" applyBorder="1" applyAlignment="1" applyProtection="1">
      <alignment vertical="center"/>
      <protection hidden="1"/>
    </xf>
    <xf numFmtId="0" fontId="25" fillId="11" borderId="57" xfId="0" applyFont="1" applyFill="1" applyBorder="1" applyAlignment="1">
      <alignment vertical="center" wrapText="1"/>
    </xf>
    <xf numFmtId="164" fontId="25" fillId="2" borderId="85" xfId="3" applyNumberFormat="1" applyFont="1" applyFill="1" applyBorder="1" applyAlignment="1" applyProtection="1">
      <alignment vertical="center"/>
      <protection hidden="1"/>
    </xf>
    <xf numFmtId="164" fontId="25" fillId="2" borderId="60" xfId="3" applyNumberFormat="1" applyFont="1" applyFill="1" applyBorder="1" applyAlignment="1" applyProtection="1">
      <alignment vertical="center"/>
      <protection hidden="1"/>
    </xf>
    <xf numFmtId="0" fontId="86" fillId="0" borderId="2" xfId="0" applyFont="1" applyBorder="1" applyAlignment="1">
      <alignment horizontal="left" vertical="center"/>
    </xf>
    <xf numFmtId="0" fontId="86" fillId="0" borderId="5" xfId="0" applyFont="1" applyBorder="1" applyAlignment="1">
      <alignment horizontal="left" vertical="center"/>
    </xf>
    <xf numFmtId="0" fontId="86" fillId="0" borderId="7" xfId="0" applyFont="1" applyBorder="1" applyAlignment="1">
      <alignment horizontal="left" vertical="center"/>
    </xf>
    <xf numFmtId="2" fontId="39" fillId="0" borderId="8" xfId="0" applyNumberFormat="1" applyFont="1" applyBorder="1" applyAlignment="1" applyProtection="1">
      <alignment horizontal="center" vertical="center"/>
      <protection hidden="1"/>
    </xf>
    <xf numFmtId="2" fontId="39" fillId="0" borderId="9" xfId="0" applyNumberFormat="1" applyFont="1" applyBorder="1" applyAlignment="1">
      <alignment horizontal="center" vertical="center"/>
    </xf>
    <xf numFmtId="164" fontId="4" fillId="0" borderId="3" xfId="27" applyNumberFormat="1" applyFont="1" applyBorder="1" applyAlignment="1">
      <alignment horizontal="left" vertical="center"/>
    </xf>
    <xf numFmtId="164" fontId="4" fillId="22" borderId="3" xfId="27" applyNumberFormat="1" applyFont="1" applyFill="1" applyBorder="1" applyAlignment="1">
      <alignment horizontal="left" vertical="center"/>
    </xf>
    <xf numFmtId="164" fontId="4" fillId="0" borderId="1" xfId="27" applyNumberFormat="1" applyFont="1" applyBorder="1" applyAlignment="1">
      <alignment horizontal="left" vertical="center"/>
    </xf>
    <xf numFmtId="164" fontId="4" fillId="22" borderId="1" xfId="27" applyNumberFormat="1" applyFont="1" applyFill="1" applyBorder="1" applyAlignment="1">
      <alignment horizontal="left" vertical="center"/>
    </xf>
    <xf numFmtId="164" fontId="4" fillId="0" borderId="8" xfId="27" applyNumberFormat="1" applyFont="1" applyBorder="1" applyAlignment="1">
      <alignment horizontal="left" vertical="center"/>
    </xf>
    <xf numFmtId="164" fontId="4" fillId="22" borderId="8" xfId="27" applyNumberFormat="1" applyFont="1" applyFill="1" applyBorder="1" applyAlignment="1">
      <alignment horizontal="left" vertical="center"/>
    </xf>
    <xf numFmtId="0" fontId="17" fillId="0" borderId="2" xfId="0" applyFont="1" applyBorder="1" applyAlignment="1">
      <alignment horizontal="left" vertical="center"/>
    </xf>
    <xf numFmtId="0" fontId="17" fillId="0" borderId="5" xfId="0" applyFont="1" applyBorder="1" applyAlignment="1">
      <alignment horizontal="left" vertical="center"/>
    </xf>
    <xf numFmtId="0" fontId="17" fillId="0" borderId="7" xfId="0" applyFont="1" applyBorder="1" applyAlignment="1">
      <alignment horizontal="left" vertical="center"/>
    </xf>
    <xf numFmtId="0" fontId="21" fillId="9" borderId="32" xfId="0" applyFont="1" applyFill="1" applyBorder="1" applyAlignment="1">
      <alignment horizontal="center" vertical="center" wrapText="1"/>
    </xf>
    <xf numFmtId="0" fontId="21" fillId="9" borderId="31" xfId="0" applyFont="1" applyFill="1" applyBorder="1" applyAlignment="1">
      <alignment horizontal="center" vertical="center" wrapText="1"/>
    </xf>
    <xf numFmtId="164" fontId="25" fillId="2" borderId="77" xfId="0" applyNumberFormat="1" applyFont="1" applyFill="1" applyBorder="1" applyAlignment="1" applyProtection="1">
      <alignment vertical="center"/>
      <protection hidden="1"/>
    </xf>
    <xf numFmtId="164" fontId="0" fillId="2" borderId="41" xfId="0" applyNumberFormat="1" applyFill="1" applyBorder="1" applyAlignment="1" applyProtection="1">
      <alignment vertical="center"/>
      <protection hidden="1"/>
    </xf>
    <xf numFmtId="0" fontId="0" fillId="11" borderId="61" xfId="0" applyFill="1" applyBorder="1" applyAlignment="1">
      <alignment vertical="center"/>
    </xf>
    <xf numFmtId="0" fontId="0" fillId="11" borderId="75" xfId="0" applyFill="1" applyBorder="1" applyAlignment="1">
      <alignment vertical="center"/>
    </xf>
    <xf numFmtId="44" fontId="0" fillId="11" borderId="58" xfId="0" applyNumberFormat="1" applyFill="1" applyBorder="1" applyAlignment="1">
      <alignment horizontal="left" vertical="center"/>
    </xf>
    <xf numFmtId="0" fontId="0" fillId="11" borderId="58" xfId="0" applyFill="1" applyBorder="1" applyAlignment="1" applyProtection="1">
      <alignment vertical="center" wrapText="1"/>
      <protection hidden="1"/>
    </xf>
    <xf numFmtId="0" fontId="25" fillId="11" borderId="58" xfId="0" applyFont="1" applyFill="1" applyBorder="1" applyAlignment="1">
      <alignment vertical="center" wrapText="1"/>
    </xf>
    <xf numFmtId="166" fontId="25" fillId="2" borderId="41" xfId="0" applyNumberFormat="1" applyFont="1" applyFill="1" applyBorder="1" applyAlignment="1">
      <alignment vertical="center"/>
    </xf>
    <xf numFmtId="0" fontId="25" fillId="11" borderId="72" xfId="0" applyFont="1" applyFill="1" applyBorder="1" applyAlignment="1">
      <alignment horizontal="left" vertical="center"/>
    </xf>
    <xf numFmtId="0" fontId="25" fillId="11" borderId="58" xfId="0" applyFont="1" applyFill="1" applyBorder="1" applyAlignment="1">
      <alignment horizontal="left" vertical="center"/>
    </xf>
    <xf numFmtId="166" fontId="25" fillId="2" borderId="55" xfId="0" applyNumberFormat="1" applyFont="1" applyFill="1" applyBorder="1" applyAlignment="1">
      <alignment vertical="center"/>
    </xf>
    <xf numFmtId="1"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87" fillId="11" borderId="57" xfId="0" applyFont="1" applyFill="1" applyBorder="1" applyAlignment="1">
      <alignment vertical="center"/>
    </xf>
    <xf numFmtId="164" fontId="25" fillId="2" borderId="69" xfId="0" applyNumberFormat="1" applyFont="1" applyFill="1" applyBorder="1" applyAlignment="1">
      <alignment vertical="center"/>
    </xf>
    <xf numFmtId="0" fontId="25" fillId="11" borderId="56" xfId="0" applyFont="1" applyFill="1" applyBorder="1" applyAlignment="1" applyProtection="1">
      <alignment vertical="center" wrapText="1"/>
      <protection locked="0"/>
    </xf>
    <xf numFmtId="0" fontId="25" fillId="11" borderId="58" xfId="0" applyFont="1" applyFill="1" applyBorder="1" applyAlignment="1" applyProtection="1">
      <alignment vertical="center" wrapText="1"/>
      <protection locked="0"/>
    </xf>
    <xf numFmtId="0" fontId="87" fillId="11" borderId="56" xfId="0" applyFont="1" applyFill="1" applyBorder="1" applyAlignment="1">
      <alignment vertical="center" wrapText="1"/>
    </xf>
    <xf numFmtId="0" fontId="87" fillId="11" borderId="58" xfId="0" applyFont="1" applyFill="1" applyBorder="1" applyAlignment="1">
      <alignment vertical="center" wrapText="1"/>
    </xf>
    <xf numFmtId="164" fontId="1" fillId="2" borderId="41" xfId="3" applyNumberFormat="1" applyFont="1" applyFill="1" applyBorder="1" applyAlignment="1" applyProtection="1">
      <alignment vertical="center"/>
      <protection hidden="1"/>
    </xf>
    <xf numFmtId="0" fontId="87" fillId="11" borderId="58" xfId="0" applyFont="1" applyFill="1" applyBorder="1" applyAlignment="1">
      <alignment vertical="center"/>
    </xf>
    <xf numFmtId="0" fontId="87" fillId="11" borderId="75" xfId="0" applyFont="1" applyFill="1" applyBorder="1" applyAlignment="1">
      <alignment vertical="center"/>
    </xf>
    <xf numFmtId="0" fontId="0" fillId="11" borderId="72" xfId="0" applyFill="1" applyBorder="1" applyAlignment="1">
      <alignment vertical="center"/>
    </xf>
    <xf numFmtId="0" fontId="25" fillId="0" borderId="21" xfId="0" applyFont="1" applyBorder="1" applyAlignment="1">
      <alignment horizontal="center" vertical="center"/>
    </xf>
    <xf numFmtId="0" fontId="25" fillId="0" borderId="0" xfId="0" applyFont="1" applyAlignment="1">
      <alignment horizontal="center" vertical="center"/>
    </xf>
    <xf numFmtId="0" fontId="25" fillId="0" borderId="24" xfId="0" applyFont="1" applyBorder="1" applyAlignment="1">
      <alignment horizontal="center" vertical="center"/>
    </xf>
    <xf numFmtId="164" fontId="25" fillId="2" borderId="62" xfId="0" applyNumberFormat="1" applyFont="1" applyFill="1" applyBorder="1" applyAlignment="1">
      <alignment horizontal="center" vertical="center" wrapText="1"/>
    </xf>
    <xf numFmtId="164" fontId="25" fillId="2" borderId="72" xfId="0" applyNumberFormat="1" applyFont="1" applyFill="1" applyBorder="1" applyAlignment="1">
      <alignment horizontal="center" vertical="center" wrapText="1"/>
    </xf>
    <xf numFmtId="164" fontId="25" fillId="2" borderId="75" xfId="0" applyNumberFormat="1" applyFont="1" applyFill="1" applyBorder="1" applyAlignment="1">
      <alignment horizontal="center" vertical="center" wrapText="1"/>
    </xf>
    <xf numFmtId="164" fontId="25" fillId="2" borderId="58" xfId="0" applyNumberFormat="1" applyFont="1" applyFill="1" applyBorder="1" applyAlignment="1">
      <alignment horizontal="center" vertical="center" wrapText="1"/>
    </xf>
    <xf numFmtId="164" fontId="25" fillId="2" borderId="62" xfId="0" applyNumberFormat="1" applyFont="1" applyFill="1" applyBorder="1" applyAlignment="1" applyProtection="1">
      <alignment horizontal="center" vertical="center" wrapText="1"/>
      <protection hidden="1"/>
    </xf>
    <xf numFmtId="164" fontId="25" fillId="2" borderId="56" xfId="0" applyNumberFormat="1" applyFont="1" applyFill="1" applyBorder="1" applyAlignment="1" applyProtection="1">
      <alignment horizontal="center" vertical="center" wrapText="1"/>
      <protection hidden="1"/>
    </xf>
    <xf numFmtId="164" fontId="25" fillId="2" borderId="58" xfId="4" applyNumberFormat="1" applyFont="1" applyFill="1" applyBorder="1" applyAlignment="1" applyProtection="1">
      <alignment horizontal="center" vertical="center" wrapText="1"/>
    </xf>
    <xf numFmtId="164" fontId="25" fillId="2" borderId="75" xfId="4" applyNumberFormat="1" applyFont="1" applyFill="1" applyBorder="1" applyAlignment="1" applyProtection="1">
      <alignment horizontal="center" vertical="center" wrapText="1"/>
    </xf>
    <xf numFmtId="164" fontId="25" fillId="2" borderId="58" xfId="4" applyNumberFormat="1" applyFont="1" applyFill="1" applyBorder="1" applyAlignment="1">
      <alignment horizontal="center" vertical="center" wrapText="1"/>
    </xf>
    <xf numFmtId="164" fontId="25" fillId="2" borderId="57" xfId="0" applyNumberFormat="1" applyFont="1" applyFill="1" applyBorder="1" applyAlignment="1">
      <alignment horizontal="center" vertical="center"/>
    </xf>
    <xf numFmtId="164" fontId="25" fillId="2" borderId="56" xfId="0" applyNumberFormat="1" applyFont="1" applyFill="1" applyBorder="1" applyAlignment="1">
      <alignment horizontal="center" vertical="center" wrapText="1"/>
    </xf>
    <xf numFmtId="0" fontId="25" fillId="0" borderId="0" xfId="0" applyFont="1" applyAlignment="1">
      <alignment vertical="center"/>
    </xf>
    <xf numFmtId="9" fontId="25" fillId="0" borderId="0" xfId="0" applyNumberFormat="1" applyFont="1" applyAlignment="1">
      <alignment vertical="center"/>
    </xf>
    <xf numFmtId="0" fontId="25" fillId="2" borderId="0" xfId="0" applyFont="1" applyFill="1" applyAlignment="1">
      <alignment vertical="center"/>
    </xf>
    <xf numFmtId="44" fontId="25" fillId="0" borderId="0" xfId="3" applyFont="1" applyAlignment="1">
      <alignment vertical="center"/>
    </xf>
    <xf numFmtId="164" fontId="1" fillId="9" borderId="56" xfId="3" applyNumberFormat="1" applyFont="1" applyFill="1" applyBorder="1"/>
    <xf numFmtId="164" fontId="1" fillId="0" borderId="58" xfId="3" applyNumberFormat="1" applyFont="1" applyBorder="1"/>
    <xf numFmtId="164" fontId="1" fillId="0" borderId="57" xfId="3" applyNumberFormat="1" applyFont="1" applyBorder="1"/>
    <xf numFmtId="164" fontId="1" fillId="9" borderId="61" xfId="3" applyNumberFormat="1" applyFont="1" applyFill="1" applyBorder="1"/>
    <xf numFmtId="164" fontId="1" fillId="0" borderId="4" xfId="3" applyNumberFormat="1" applyFont="1" applyBorder="1"/>
    <xf numFmtId="164" fontId="1" fillId="0" borderId="6" xfId="3" applyNumberFormat="1" applyFont="1" applyBorder="1"/>
    <xf numFmtId="164" fontId="1" fillId="0" borderId="9" xfId="3" applyNumberFormat="1" applyFont="1" applyBorder="1"/>
    <xf numFmtId="0" fontId="0" fillId="11" borderId="4" xfId="0" applyFill="1" applyBorder="1" applyAlignment="1">
      <alignment vertical="center" wrapText="1"/>
    </xf>
    <xf numFmtId="0" fontId="0" fillId="11" borderId="6" xfId="0" applyFill="1" applyBorder="1" applyAlignment="1">
      <alignment vertical="center" wrapText="1"/>
    </xf>
    <xf numFmtId="0" fontId="25" fillId="0" borderId="9" xfId="0" applyFont="1" applyBorder="1" applyAlignment="1">
      <alignment vertical="center"/>
    </xf>
    <xf numFmtId="0" fontId="25" fillId="17" borderId="33" xfId="0" applyFont="1" applyFill="1" applyBorder="1" applyAlignment="1">
      <alignment horizontal="center" vertical="center"/>
    </xf>
    <xf numFmtId="164" fontId="1" fillId="0" borderId="34" xfId="3" applyNumberFormat="1" applyFont="1" applyBorder="1" applyAlignment="1">
      <alignment vertical="center"/>
    </xf>
    <xf numFmtId="164" fontId="1" fillId="0" borderId="6" xfId="3" applyNumberFormat="1" applyFont="1" applyBorder="1" applyAlignment="1">
      <alignment vertical="center"/>
    </xf>
    <xf numFmtId="164" fontId="1" fillId="0" borderId="9" xfId="3" applyNumberFormat="1" applyFont="1" applyBorder="1" applyAlignment="1">
      <alignment vertical="center"/>
    </xf>
    <xf numFmtId="0" fontId="25" fillId="17" borderId="82" xfId="0" applyFont="1" applyFill="1" applyBorder="1" applyAlignment="1">
      <alignment horizontal="center" vertical="center"/>
    </xf>
    <xf numFmtId="164" fontId="25" fillId="0" borderId="4" xfId="3" applyNumberFormat="1" applyFont="1" applyBorder="1" applyAlignment="1">
      <alignment vertical="center"/>
    </xf>
    <xf numFmtId="164" fontId="25" fillId="0" borderId="25" xfId="3" applyNumberFormat="1" applyFont="1" applyBorder="1" applyAlignment="1">
      <alignment vertical="center"/>
    </xf>
    <xf numFmtId="0" fontId="36" fillId="0" borderId="0" xfId="0" applyFont="1" applyAlignment="1">
      <alignment horizontal="center" vertical="center"/>
    </xf>
    <xf numFmtId="44" fontId="1" fillId="0" borderId="56" xfId="3" applyFont="1" applyBorder="1" applyAlignment="1">
      <alignment horizontal="left" vertical="center"/>
    </xf>
    <xf numFmtId="44" fontId="1" fillId="0" borderId="58" xfId="3" applyFont="1" applyBorder="1" applyAlignment="1">
      <alignment horizontal="left" vertical="center"/>
    </xf>
    <xf numFmtId="164" fontId="4" fillId="21" borderId="47" xfId="0" applyNumberFormat="1" applyFont="1" applyFill="1" applyBorder="1" applyAlignment="1">
      <alignment vertical="center"/>
    </xf>
    <xf numFmtId="9" fontId="17" fillId="0" borderId="0" xfId="0" applyNumberFormat="1" applyFont="1" applyAlignment="1">
      <alignment vertical="center"/>
    </xf>
    <xf numFmtId="175" fontId="0" fillId="0" borderId="11" xfId="0" applyNumberFormat="1" applyBorder="1" applyAlignment="1">
      <alignment vertical="center"/>
    </xf>
    <xf numFmtId="9" fontId="1" fillId="0" borderId="11" xfId="2" applyFont="1" applyBorder="1" applyAlignment="1">
      <alignment horizontal="center" vertical="center"/>
    </xf>
    <xf numFmtId="0" fontId="0" fillId="0" borderId="11" xfId="0" applyBorder="1" applyAlignment="1">
      <alignment vertical="center"/>
    </xf>
    <xf numFmtId="175" fontId="0" fillId="0" borderId="8" xfId="0" applyNumberFormat="1" applyBorder="1" applyAlignment="1">
      <alignment vertical="center"/>
    </xf>
    <xf numFmtId="0" fontId="0" fillId="0" borderId="8" xfId="0" applyBorder="1" applyAlignment="1">
      <alignment horizontal="center" vertical="center"/>
    </xf>
    <xf numFmtId="44" fontId="17" fillId="21" borderId="53" xfId="0" applyNumberFormat="1" applyFont="1" applyFill="1" applyBorder="1" applyAlignment="1">
      <alignment vertical="center"/>
    </xf>
    <xf numFmtId="0" fontId="31" fillId="7" borderId="52" xfId="0" applyFont="1" applyFill="1" applyBorder="1" applyAlignment="1">
      <alignment vertical="center" wrapText="1"/>
    </xf>
    <xf numFmtId="0" fontId="31" fillId="7" borderId="32" xfId="0" applyFont="1" applyFill="1" applyBorder="1" applyAlignment="1">
      <alignment vertical="center" wrapText="1"/>
    </xf>
    <xf numFmtId="0" fontId="31" fillId="7" borderId="53" xfId="0" applyFont="1" applyFill="1" applyBorder="1" applyAlignment="1">
      <alignment vertical="center" wrapText="1"/>
    </xf>
    <xf numFmtId="9" fontId="4" fillId="21" borderId="53" xfId="2" applyFont="1" applyFill="1" applyBorder="1" applyAlignment="1">
      <alignment vertical="center"/>
    </xf>
    <xf numFmtId="0" fontId="4" fillId="21" borderId="18" xfId="0" applyFont="1" applyFill="1" applyBorder="1" applyAlignment="1">
      <alignment vertical="center"/>
    </xf>
    <xf numFmtId="9" fontId="4" fillId="21" borderId="71" xfId="2" applyFont="1" applyFill="1" applyBorder="1" applyAlignment="1">
      <alignment vertical="center"/>
    </xf>
    <xf numFmtId="10" fontId="4" fillId="3" borderId="31" xfId="2" applyNumberFormat="1" applyFont="1" applyFill="1" applyBorder="1" applyAlignment="1">
      <alignment horizontal="center" vertical="center"/>
    </xf>
    <xf numFmtId="44" fontId="4" fillId="21" borderId="47" xfId="3" applyFont="1" applyFill="1" applyBorder="1" applyAlignment="1">
      <alignment vertical="center"/>
    </xf>
    <xf numFmtId="0" fontId="0" fillId="2" borderId="14" xfId="0" applyFill="1" applyBorder="1" applyAlignment="1" applyProtection="1">
      <alignment vertical="center"/>
      <protection locked="0"/>
    </xf>
    <xf numFmtId="44" fontId="34" fillId="2" borderId="42" xfId="3" applyFont="1" applyFill="1" applyBorder="1" applyAlignment="1" applyProtection="1">
      <alignment vertical="center" wrapText="1"/>
      <protection locked="0"/>
    </xf>
    <xf numFmtId="0" fontId="0" fillId="2" borderId="43" xfId="0" applyFill="1" applyBorder="1" applyAlignment="1" applyProtection="1">
      <alignment horizontal="center" vertical="center" wrapText="1"/>
      <protection locked="0"/>
    </xf>
    <xf numFmtId="164" fontId="0" fillId="2" borderId="58" xfId="0" applyNumberFormat="1" applyFill="1" applyBorder="1" applyAlignment="1">
      <alignment horizontal="center" vertical="center" wrapText="1"/>
    </xf>
    <xf numFmtId="44" fontId="79" fillId="9" borderId="24" xfId="0" applyNumberFormat="1" applyFont="1" applyFill="1" applyBorder="1" applyAlignment="1">
      <alignment horizontal="center" vertical="center"/>
    </xf>
    <xf numFmtId="0" fontId="79" fillId="9" borderId="30" xfId="0" applyFont="1" applyFill="1" applyBorder="1" applyAlignment="1">
      <alignment horizontal="center" vertical="center" wrapText="1"/>
    </xf>
    <xf numFmtId="164" fontId="88" fillId="9" borderId="47" xfId="0" applyNumberFormat="1" applyFont="1" applyFill="1" applyBorder="1" applyAlignment="1">
      <alignment horizontal="center" vertical="center" wrapText="1"/>
    </xf>
    <xf numFmtId="0" fontId="0" fillId="2" borderId="15" xfId="0" applyFill="1" applyBorder="1" applyAlignment="1" applyProtection="1">
      <alignment horizontal="center" vertical="center" wrapText="1"/>
      <protection locked="0"/>
    </xf>
    <xf numFmtId="0" fontId="33" fillId="7" borderId="47" xfId="0" applyFont="1" applyFill="1" applyBorder="1" applyAlignment="1">
      <alignment vertical="center"/>
    </xf>
    <xf numFmtId="0" fontId="31" fillId="7" borderId="47" xfId="0" applyFont="1" applyFill="1" applyBorder="1" applyAlignment="1">
      <alignment vertical="center"/>
    </xf>
    <xf numFmtId="44" fontId="17" fillId="21" borderId="47" xfId="0" applyNumberFormat="1" applyFont="1" applyFill="1" applyBorder="1" applyAlignment="1">
      <alignment vertical="center"/>
    </xf>
    <xf numFmtId="0" fontId="0" fillId="0" borderId="74" xfId="0" applyBorder="1" applyAlignment="1">
      <alignment vertical="center"/>
    </xf>
    <xf numFmtId="0" fontId="0" fillId="0" borderId="43" xfId="0" applyBorder="1" applyAlignment="1">
      <alignment vertical="center"/>
    </xf>
    <xf numFmtId="0" fontId="25" fillId="0" borderId="56" xfId="0" applyFont="1" applyBorder="1" applyAlignment="1">
      <alignment vertical="center"/>
    </xf>
    <xf numFmtId="0" fontId="25" fillId="0" borderId="57" xfId="0" applyFont="1" applyBorder="1" applyAlignment="1">
      <alignment vertical="center"/>
    </xf>
    <xf numFmtId="164" fontId="0" fillId="2" borderId="45" xfId="0" applyNumberFormat="1" applyFill="1" applyBorder="1" applyAlignment="1">
      <alignment vertical="center"/>
    </xf>
    <xf numFmtId="44" fontId="0" fillId="2" borderId="47" xfId="0" applyNumberFormat="1" applyFill="1" applyBorder="1" applyAlignment="1">
      <alignment vertical="center"/>
    </xf>
    <xf numFmtId="164" fontId="0" fillId="2" borderId="39" xfId="0" applyNumberFormat="1" applyFill="1" applyBorder="1" applyAlignment="1" applyProtection="1">
      <alignment vertical="center"/>
      <protection hidden="1"/>
    </xf>
    <xf numFmtId="164" fontId="0" fillId="2" borderId="50" xfId="0" applyNumberFormat="1" applyFill="1" applyBorder="1" applyAlignment="1" applyProtection="1">
      <alignment vertical="center"/>
      <protection hidden="1"/>
    </xf>
    <xf numFmtId="164" fontId="0" fillId="2" borderId="45" xfId="0" applyNumberFormat="1" applyFill="1" applyBorder="1" applyAlignment="1" applyProtection="1">
      <alignment vertical="center"/>
      <protection hidden="1"/>
    </xf>
    <xf numFmtId="164" fontId="0" fillId="2" borderId="40" xfId="0" applyNumberFormat="1" applyFill="1" applyBorder="1" applyAlignment="1" applyProtection="1">
      <alignment vertical="center"/>
      <protection hidden="1"/>
    </xf>
    <xf numFmtId="44" fontId="0" fillId="2" borderId="56" xfId="0" applyNumberFormat="1" applyFill="1" applyBorder="1" applyAlignment="1" applyProtection="1">
      <alignment vertical="center"/>
      <protection hidden="1"/>
    </xf>
    <xf numFmtId="44" fontId="0" fillId="2" borderId="58" xfId="0" applyNumberFormat="1" applyFill="1" applyBorder="1" applyAlignment="1" applyProtection="1">
      <alignment vertical="center"/>
      <protection hidden="1"/>
    </xf>
    <xf numFmtId="44" fontId="0" fillId="2" borderId="75" xfId="0" applyNumberFormat="1" applyFill="1" applyBorder="1" applyAlignment="1" applyProtection="1">
      <alignment vertical="center"/>
      <protection hidden="1"/>
    </xf>
    <xf numFmtId="44" fontId="0" fillId="2" borderId="57" xfId="0" applyNumberFormat="1" applyFill="1" applyBorder="1" applyAlignment="1" applyProtection="1">
      <alignment horizontal="right" vertical="center"/>
      <protection hidden="1"/>
    </xf>
    <xf numFmtId="164" fontId="0" fillId="2" borderId="39" xfId="0" applyNumberFormat="1" applyFill="1" applyBorder="1" applyAlignment="1">
      <alignment vertical="center"/>
    </xf>
    <xf numFmtId="164" fontId="0" fillId="2" borderId="37" xfId="0" applyNumberFormat="1" applyFill="1" applyBorder="1" applyAlignment="1">
      <alignment vertical="center"/>
    </xf>
    <xf numFmtId="164" fontId="0" fillId="2" borderId="59" xfId="0" applyNumberFormat="1" applyFill="1" applyBorder="1" applyAlignment="1">
      <alignment vertical="center"/>
    </xf>
    <xf numFmtId="44" fontId="3" fillId="2" borderId="73" xfId="0" applyNumberFormat="1" applyFont="1" applyFill="1" applyBorder="1" applyAlignment="1">
      <alignment horizontal="center" vertical="center"/>
    </xf>
    <xf numFmtId="44" fontId="0" fillId="2" borderId="56" xfId="0" applyNumberFormat="1" applyFill="1" applyBorder="1" applyAlignment="1">
      <alignment vertical="center"/>
    </xf>
    <xf numFmtId="44" fontId="0" fillId="2" borderId="72" xfId="0" applyNumberFormat="1" applyFill="1" applyBorder="1" applyAlignment="1">
      <alignment vertical="center"/>
    </xf>
    <xf numFmtId="44" fontId="0" fillId="2" borderId="58" xfId="0" applyNumberFormat="1" applyFill="1" applyBorder="1" applyAlignment="1">
      <alignment vertical="center"/>
    </xf>
    <xf numFmtId="44" fontId="0" fillId="2" borderId="75" xfId="0" applyNumberFormat="1" applyFill="1" applyBorder="1" applyAlignment="1">
      <alignment vertical="center"/>
    </xf>
    <xf numFmtId="164" fontId="0" fillId="2" borderId="50" xfId="0" applyNumberFormat="1" applyFill="1" applyBorder="1" applyAlignment="1">
      <alignment vertical="center"/>
    </xf>
    <xf numFmtId="164" fontId="0" fillId="2" borderId="37" xfId="0" applyNumberFormat="1" applyFill="1" applyBorder="1" applyAlignment="1" applyProtection="1">
      <alignment vertical="center"/>
      <protection hidden="1"/>
    </xf>
    <xf numFmtId="164" fontId="0" fillId="2" borderId="59" xfId="0" applyNumberFormat="1" applyFill="1" applyBorder="1" applyAlignment="1" applyProtection="1">
      <alignment vertical="center"/>
      <protection hidden="1"/>
    </xf>
    <xf numFmtId="44" fontId="89" fillId="2" borderId="66" xfId="0" applyNumberFormat="1" applyFont="1" applyFill="1" applyBorder="1" applyAlignment="1" applyProtection="1">
      <alignment horizontal="center" vertical="center" wrapText="1"/>
      <protection hidden="1"/>
    </xf>
    <xf numFmtId="164" fontId="0" fillId="2" borderId="40" xfId="0" applyNumberFormat="1" applyFill="1" applyBorder="1" applyAlignment="1">
      <alignment vertical="center"/>
    </xf>
    <xf numFmtId="44" fontId="0" fillId="2" borderId="57" xfId="0" applyNumberFormat="1" applyFill="1" applyBorder="1" applyAlignment="1">
      <alignment vertical="center"/>
    </xf>
    <xf numFmtId="44" fontId="25" fillId="2" borderId="42" xfId="0" applyNumberFormat="1" applyFont="1" applyFill="1" applyBorder="1" applyAlignment="1">
      <alignment vertical="center"/>
    </xf>
    <xf numFmtId="44" fontId="0" fillId="2" borderId="42" xfId="0" applyNumberFormat="1" applyFill="1" applyBorder="1" applyAlignment="1">
      <alignment vertical="center"/>
    </xf>
    <xf numFmtId="44" fontId="0" fillId="2" borderId="73" xfId="0" applyNumberFormat="1" applyFill="1" applyBorder="1" applyAlignment="1">
      <alignment vertical="center"/>
    </xf>
    <xf numFmtId="164" fontId="0" fillId="2" borderId="70" xfId="0" applyNumberFormat="1" applyFill="1" applyBorder="1" applyAlignment="1" applyProtection="1">
      <alignment vertical="center"/>
      <protection hidden="1"/>
    </xf>
    <xf numFmtId="44" fontId="0" fillId="2" borderId="61" xfId="0" applyNumberFormat="1" applyFill="1" applyBorder="1" applyAlignment="1" applyProtection="1">
      <alignment vertical="center"/>
      <protection hidden="1"/>
    </xf>
    <xf numFmtId="0" fontId="0" fillId="2" borderId="38" xfId="0" applyFill="1" applyBorder="1" applyAlignment="1" applyProtection="1">
      <alignment horizontal="center" vertical="center" wrapText="1"/>
      <protection hidden="1"/>
    </xf>
    <xf numFmtId="44" fontId="3" fillId="2" borderId="38" xfId="0" applyNumberFormat="1" applyFont="1" applyFill="1" applyBorder="1" applyAlignment="1" applyProtection="1">
      <alignment vertical="center"/>
      <protection hidden="1"/>
    </xf>
    <xf numFmtId="44" fontId="0" fillId="2" borderId="38" xfId="0" applyNumberFormat="1" applyFill="1" applyBorder="1" applyAlignment="1" applyProtection="1">
      <alignment horizontal="left" vertical="center"/>
      <protection hidden="1"/>
    </xf>
    <xf numFmtId="0" fontId="25" fillId="2" borderId="38" xfId="0" applyFont="1" applyFill="1" applyBorder="1" applyAlignment="1" applyProtection="1">
      <alignment horizontal="left" vertical="center"/>
      <protection hidden="1"/>
    </xf>
    <xf numFmtId="44" fontId="0" fillId="2" borderId="66" xfId="0" applyNumberFormat="1" applyFill="1" applyBorder="1" applyAlignment="1" applyProtection="1">
      <alignment vertical="center"/>
      <protection hidden="1"/>
    </xf>
    <xf numFmtId="166" fontId="0" fillId="2" borderId="64" xfId="0" applyNumberFormat="1" applyFill="1" applyBorder="1" applyAlignment="1">
      <alignment vertical="center"/>
    </xf>
    <xf numFmtId="166" fontId="0" fillId="2" borderId="38" xfId="0" applyNumberFormat="1" applyFill="1" applyBorder="1" applyAlignment="1">
      <alignment vertical="center"/>
    </xf>
    <xf numFmtId="44" fontId="3" fillId="2" borderId="38" xfId="0" applyNumberFormat="1" applyFont="1" applyFill="1" applyBorder="1" applyAlignment="1">
      <alignment vertical="center"/>
    </xf>
    <xf numFmtId="44" fontId="30" fillId="2" borderId="38" xfId="0" applyNumberFormat="1" applyFont="1" applyFill="1" applyBorder="1" applyAlignment="1">
      <alignment vertical="center"/>
    </xf>
    <xf numFmtId="44" fontId="25" fillId="2" borderId="38" xfId="0" applyNumberFormat="1" applyFont="1" applyFill="1" applyBorder="1" applyAlignment="1">
      <alignment vertical="center"/>
    </xf>
    <xf numFmtId="44" fontId="3" fillId="2" borderId="66" xfId="0" applyNumberFormat="1" applyFont="1" applyFill="1" applyBorder="1" applyAlignment="1">
      <alignment vertical="center"/>
    </xf>
    <xf numFmtId="44" fontId="3" fillId="2" borderId="38" xfId="0" applyNumberFormat="1" applyFont="1" applyFill="1" applyBorder="1" applyAlignment="1" applyProtection="1">
      <alignment vertical="center" wrapText="1"/>
      <protection hidden="1"/>
    </xf>
    <xf numFmtId="44" fontId="0" fillId="2" borderId="66" xfId="0" applyNumberFormat="1" applyFill="1" applyBorder="1" applyAlignment="1">
      <alignment vertical="center"/>
    </xf>
    <xf numFmtId="168" fontId="0" fillId="0" borderId="50" xfId="0" applyNumberFormat="1" applyBorder="1" applyAlignment="1">
      <alignment vertical="center"/>
    </xf>
    <xf numFmtId="175" fontId="0" fillId="0" borderId="40" xfId="0" applyNumberFormat="1" applyBorder="1" applyAlignment="1">
      <alignment vertical="center"/>
    </xf>
    <xf numFmtId="168" fontId="0" fillId="0" borderId="56" xfId="0" applyNumberFormat="1" applyBorder="1" applyAlignment="1">
      <alignment vertical="center"/>
    </xf>
    <xf numFmtId="168" fontId="0" fillId="0" borderId="57" xfId="0" applyNumberFormat="1" applyBorder="1" applyAlignment="1">
      <alignment vertical="center"/>
    </xf>
    <xf numFmtId="44" fontId="30" fillId="2" borderId="38" xfId="0" applyNumberFormat="1" applyFont="1" applyFill="1" applyBorder="1" applyAlignment="1" applyProtection="1">
      <alignment vertical="center"/>
      <protection locked="0"/>
    </xf>
    <xf numFmtId="44" fontId="25" fillId="2" borderId="56" xfId="0" applyNumberFormat="1" applyFont="1" applyFill="1" applyBorder="1" applyAlignment="1">
      <alignment vertical="center"/>
    </xf>
    <xf numFmtId="44" fontId="25" fillId="2" borderId="58" xfId="0" applyNumberFormat="1" applyFont="1" applyFill="1" applyBorder="1" applyAlignment="1">
      <alignment vertical="center"/>
    </xf>
    <xf numFmtId="44" fontId="0" fillId="2" borderId="57" xfId="0" applyNumberFormat="1" applyFill="1" applyBorder="1" applyAlignment="1" applyProtection="1">
      <alignment vertical="center"/>
      <protection hidden="1"/>
    </xf>
    <xf numFmtId="164" fontId="25" fillId="6" borderId="58" xfId="0" applyNumberFormat="1" applyFont="1" applyFill="1" applyBorder="1" applyAlignment="1">
      <alignment vertical="center"/>
    </xf>
    <xf numFmtId="0" fontId="78" fillId="9" borderId="24" xfId="0" applyFont="1" applyFill="1" applyBorder="1" applyAlignment="1">
      <alignment vertical="center"/>
    </xf>
    <xf numFmtId="0" fontId="78" fillId="9" borderId="30" xfId="0" applyFont="1" applyFill="1" applyBorder="1" applyAlignment="1">
      <alignment vertical="center"/>
    </xf>
    <xf numFmtId="0" fontId="78" fillId="9" borderId="32" xfId="0" applyFont="1" applyFill="1" applyBorder="1" applyAlignment="1">
      <alignment vertical="center"/>
    </xf>
    <xf numFmtId="164" fontId="30" fillId="6" borderId="51" xfId="0" applyNumberFormat="1" applyFont="1" applyFill="1" applyBorder="1" applyAlignment="1">
      <alignment vertical="center"/>
    </xf>
    <xf numFmtId="164" fontId="30" fillId="6" borderId="38" xfId="0" applyNumberFormat="1" applyFont="1" applyFill="1" applyBorder="1" applyAlignment="1">
      <alignment vertical="center"/>
    </xf>
    <xf numFmtId="164" fontId="30" fillId="6" borderId="58" xfId="0" applyNumberFormat="1" applyFont="1" applyFill="1" applyBorder="1" applyAlignment="1">
      <alignment vertical="center"/>
    </xf>
    <xf numFmtId="164" fontId="30" fillId="6" borderId="42" xfId="0" applyNumberFormat="1" applyFont="1" applyFill="1" applyBorder="1" applyAlignment="1">
      <alignment vertical="center"/>
    </xf>
    <xf numFmtId="0" fontId="85" fillId="9" borderId="4" xfId="0" applyFont="1" applyFill="1" applyBorder="1" applyAlignment="1" applyProtection="1">
      <alignment horizontal="center" vertical="center"/>
      <protection hidden="1"/>
    </xf>
    <xf numFmtId="0" fontId="85" fillId="9" borderId="6" xfId="0" applyFont="1" applyFill="1" applyBorder="1" applyAlignment="1" applyProtection="1">
      <alignment horizontal="center" vertical="center"/>
      <protection hidden="1"/>
    </xf>
    <xf numFmtId="170" fontId="0" fillId="2" borderId="16" xfId="1" applyNumberFormat="1" applyFont="1" applyFill="1" applyBorder="1" applyAlignment="1">
      <alignment horizontal="center" vertical="center"/>
    </xf>
    <xf numFmtId="0" fontId="17" fillId="0" borderId="48" xfId="0" applyFont="1" applyBorder="1" applyAlignment="1">
      <alignment vertical="center"/>
    </xf>
    <xf numFmtId="164" fontId="1" fillId="0" borderId="35" xfId="3" applyNumberFormat="1" applyFont="1" applyBorder="1"/>
    <xf numFmtId="1" fontId="0" fillId="2" borderId="11" xfId="1" applyNumberFormat="1" applyFont="1" applyFill="1" applyBorder="1" applyAlignment="1" applyProtection="1">
      <alignment horizontal="center" vertical="center"/>
    </xf>
    <xf numFmtId="1" fontId="0" fillId="2" borderId="16" xfId="1" applyNumberFormat="1" applyFont="1" applyFill="1" applyBorder="1" applyAlignment="1" applyProtection="1">
      <alignment horizontal="center" vertical="center"/>
    </xf>
    <xf numFmtId="165" fontId="1" fillId="2" borderId="1" xfId="1" applyNumberFormat="1" applyFont="1" applyFill="1" applyBorder="1" applyAlignment="1" applyProtection="1">
      <alignment horizontal="center" vertical="center"/>
      <protection hidden="1"/>
    </xf>
    <xf numFmtId="164" fontId="3" fillId="2" borderId="38" xfId="0" applyNumberFormat="1" applyFont="1" applyFill="1" applyBorder="1" applyAlignment="1">
      <alignment vertical="center"/>
    </xf>
    <xf numFmtId="1" fontId="41" fillId="9" borderId="19" xfId="0" applyNumberFormat="1" applyFont="1" applyFill="1" applyBorder="1" applyAlignment="1" applyProtection="1">
      <alignment horizontal="center" vertical="center" wrapText="1"/>
      <protection hidden="1"/>
    </xf>
    <xf numFmtId="1" fontId="77" fillId="2" borderId="96" xfId="0" applyNumberFormat="1" applyFont="1" applyFill="1" applyBorder="1" applyAlignment="1" applyProtection="1">
      <alignment horizontal="center" vertical="center" wrapText="1"/>
      <protection locked="0"/>
    </xf>
    <xf numFmtId="0" fontId="77" fillId="2" borderId="97" xfId="0" applyFont="1" applyFill="1" applyBorder="1" applyAlignment="1" applyProtection="1">
      <alignment horizontal="center" vertical="center" wrapText="1"/>
      <protection locked="0"/>
    </xf>
    <xf numFmtId="0" fontId="77" fillId="8" borderId="97" xfId="0" applyFont="1" applyFill="1" applyBorder="1" applyAlignment="1" applyProtection="1">
      <alignment horizontal="center" vertical="center" wrapText="1"/>
      <protection locked="0"/>
    </xf>
    <xf numFmtId="0" fontId="77" fillId="8" borderId="97" xfId="0" applyFont="1" applyFill="1" applyBorder="1" applyAlignment="1" applyProtection="1">
      <alignment horizontal="center" vertical="center"/>
      <protection locked="0"/>
    </xf>
    <xf numFmtId="0" fontId="33" fillId="0" borderId="97" xfId="0" applyFont="1" applyBorder="1" applyAlignment="1" applyProtection="1">
      <alignment horizontal="center" vertical="center"/>
      <protection locked="0"/>
    </xf>
    <xf numFmtId="0" fontId="77" fillId="0" borderId="97" xfId="0" applyFont="1" applyBorder="1" applyAlignment="1" applyProtection="1">
      <alignment horizontal="center" vertical="center" wrapText="1"/>
      <protection locked="0"/>
    </xf>
    <xf numFmtId="0" fontId="33" fillId="0" borderId="97" xfId="0" applyFont="1" applyBorder="1" applyAlignment="1" applyProtection="1">
      <alignment horizontal="center"/>
      <protection locked="0"/>
    </xf>
    <xf numFmtId="0" fontId="77" fillId="2" borderId="98" xfId="0" applyFont="1" applyFill="1" applyBorder="1" applyAlignment="1" applyProtection="1">
      <alignment horizontal="center" vertical="center" wrapText="1"/>
      <protection locked="0"/>
    </xf>
    <xf numFmtId="0" fontId="33" fillId="8" borderId="97" xfId="0" applyFont="1" applyFill="1" applyBorder="1" applyAlignment="1" applyProtection="1">
      <alignment horizontal="center"/>
      <protection locked="0"/>
    </xf>
    <xf numFmtId="0" fontId="77" fillId="17" borderId="98" xfId="0" applyFont="1" applyFill="1" applyBorder="1" applyAlignment="1">
      <alignment horizontal="center" vertical="center" wrapText="1"/>
    </xf>
    <xf numFmtId="0" fontId="33" fillId="2" borderId="10" xfId="0" applyFont="1" applyFill="1" applyBorder="1" applyAlignment="1" applyProtection="1">
      <alignment horizontal="center" vertical="center"/>
      <protection locked="0"/>
    </xf>
    <xf numFmtId="0" fontId="33" fillId="17" borderId="11" xfId="0" applyFont="1" applyFill="1" applyBorder="1" applyAlignment="1">
      <alignment horizontal="center" vertical="center"/>
    </xf>
    <xf numFmtId="0" fontId="33" fillId="2" borderId="34" xfId="0" applyFont="1" applyFill="1" applyBorder="1" applyAlignment="1" applyProtection="1">
      <alignment horizontal="center" vertical="center"/>
      <protection locked="0"/>
    </xf>
    <xf numFmtId="0" fontId="21" fillId="9" borderId="99" xfId="0" applyFont="1" applyFill="1" applyBorder="1" applyAlignment="1">
      <alignment horizontal="center" vertical="center" wrapText="1"/>
    </xf>
    <xf numFmtId="0" fontId="21" fillId="9" borderId="100" xfId="0" applyFont="1" applyFill="1" applyBorder="1" applyAlignment="1">
      <alignment horizontal="center" vertical="center" wrapText="1"/>
    </xf>
    <xf numFmtId="0" fontId="21" fillId="9" borderId="101" xfId="0" applyFont="1" applyFill="1" applyBorder="1" applyAlignment="1">
      <alignment horizontal="center" vertical="center" wrapText="1"/>
    </xf>
    <xf numFmtId="44" fontId="25" fillId="2" borderId="58" xfId="0" applyNumberFormat="1" applyFont="1" applyFill="1" applyBorder="1" applyAlignment="1">
      <alignment vertical="center" wrapText="1"/>
    </xf>
    <xf numFmtId="1" fontId="33" fillId="2" borderId="0" xfId="0" applyNumberFormat="1" applyFont="1" applyFill="1" applyAlignment="1">
      <alignment horizontal="center" vertical="center"/>
    </xf>
    <xf numFmtId="44" fontId="0" fillId="2" borderId="66" xfId="0" applyNumberFormat="1" applyFill="1" applyBorder="1" applyAlignment="1">
      <alignment horizontal="left" vertical="center" wrapText="1"/>
    </xf>
    <xf numFmtId="0" fontId="31" fillId="9" borderId="57" xfId="0" applyFont="1" applyFill="1" applyBorder="1" applyAlignment="1">
      <alignment horizontal="center" vertical="center"/>
    </xf>
    <xf numFmtId="0" fontId="17" fillId="6" borderId="58" xfId="0" applyFont="1" applyFill="1" applyBorder="1" applyAlignment="1">
      <alignment vertical="center" wrapText="1"/>
    </xf>
    <xf numFmtId="0" fontId="17" fillId="6" borderId="47" xfId="0" applyFont="1" applyFill="1" applyBorder="1" applyAlignment="1">
      <alignment vertical="center" wrapText="1"/>
    </xf>
    <xf numFmtId="0" fontId="78" fillId="9" borderId="47" xfId="0" applyFont="1" applyFill="1" applyBorder="1" applyAlignment="1">
      <alignment horizontal="center" vertical="center"/>
    </xf>
    <xf numFmtId="164" fontId="25" fillId="6" borderId="51" xfId="0" applyNumberFormat="1" applyFont="1" applyFill="1" applyBorder="1" applyAlignment="1">
      <alignment vertical="center"/>
    </xf>
    <xf numFmtId="164" fontId="25" fillId="6" borderId="38" xfId="0" applyNumberFormat="1" applyFont="1" applyFill="1" applyBorder="1" applyAlignment="1">
      <alignment vertical="center"/>
    </xf>
    <xf numFmtId="164" fontId="25" fillId="6" borderId="42" xfId="0" applyNumberFormat="1" applyFont="1" applyFill="1" applyBorder="1" applyAlignment="1">
      <alignment vertical="center"/>
    </xf>
    <xf numFmtId="0" fontId="0" fillId="2" borderId="13" xfId="0" applyFill="1" applyBorder="1" applyAlignment="1">
      <alignment vertical="center"/>
    </xf>
    <xf numFmtId="0" fontId="0" fillId="2" borderId="38" xfId="0" applyFill="1" applyBorder="1" applyAlignment="1">
      <alignment vertical="center"/>
    </xf>
    <xf numFmtId="0" fontId="31" fillId="9" borderId="58" xfId="0" applyFont="1" applyFill="1" applyBorder="1" applyAlignment="1">
      <alignment horizontal="center" vertical="center"/>
    </xf>
    <xf numFmtId="0" fontId="0" fillId="11" borderId="86" xfId="0" applyFill="1" applyBorder="1" applyAlignment="1">
      <alignment vertical="center" wrapText="1"/>
    </xf>
    <xf numFmtId="43" fontId="0" fillId="2" borderId="86" xfId="1" applyFont="1" applyFill="1" applyBorder="1" applyAlignment="1">
      <alignment vertical="center"/>
    </xf>
    <xf numFmtId="164" fontId="25" fillId="2" borderId="86" xfId="0" applyNumberFormat="1" applyFont="1" applyFill="1" applyBorder="1" applyAlignment="1">
      <alignment horizontal="center" vertical="center" wrapText="1"/>
    </xf>
    <xf numFmtId="44" fontId="0" fillId="11" borderId="86" xfId="0" applyNumberFormat="1" applyFill="1" applyBorder="1" applyAlignment="1">
      <alignment horizontal="left" vertical="center"/>
    </xf>
    <xf numFmtId="43" fontId="0" fillId="2" borderId="86" xfId="1" applyFont="1" applyFill="1" applyBorder="1" applyAlignment="1" applyProtection="1">
      <alignment vertical="center"/>
      <protection hidden="1"/>
    </xf>
    <xf numFmtId="0" fontId="25" fillId="2" borderId="86" xfId="0" applyFont="1" applyFill="1" applyBorder="1" applyAlignment="1">
      <alignment vertical="center" wrapText="1"/>
    </xf>
    <xf numFmtId="0" fontId="0" fillId="11" borderId="86" xfId="0" applyFill="1" applyBorder="1" applyAlignment="1">
      <alignment vertical="center"/>
    </xf>
    <xf numFmtId="0" fontId="25" fillId="11" borderId="86" xfId="0" applyFont="1" applyFill="1" applyBorder="1" applyAlignment="1">
      <alignment vertical="center" wrapText="1"/>
    </xf>
    <xf numFmtId="164" fontId="25" fillId="2" borderId="86" xfId="4" applyNumberFormat="1" applyFont="1" applyFill="1" applyBorder="1" applyAlignment="1">
      <alignment horizontal="center" vertical="center" wrapText="1"/>
    </xf>
    <xf numFmtId="0" fontId="25" fillId="11" borderId="86" xfId="0" applyFont="1" applyFill="1" applyBorder="1" applyAlignment="1">
      <alignment horizontal="left" vertical="center"/>
    </xf>
    <xf numFmtId="164" fontId="35" fillId="2" borderId="86" xfId="4" applyNumberFormat="1" applyFont="1" applyFill="1" applyBorder="1" applyAlignment="1">
      <alignment horizontal="center" vertical="center" wrapText="1"/>
    </xf>
    <xf numFmtId="0" fontId="25" fillId="3" borderId="86" xfId="0" applyFont="1" applyFill="1" applyBorder="1" applyAlignment="1">
      <alignment horizontal="left" vertical="center"/>
    </xf>
    <xf numFmtId="0" fontId="0" fillId="2" borderId="86" xfId="4" applyFont="1" applyFill="1" applyBorder="1" applyAlignment="1">
      <alignment horizontal="center" vertical="center" wrapText="1"/>
    </xf>
    <xf numFmtId="0" fontId="87" fillId="11" borderId="86" xfId="0" applyFont="1" applyFill="1" applyBorder="1" applyAlignment="1">
      <alignment vertical="center"/>
    </xf>
    <xf numFmtId="164" fontId="25" fillId="2" borderId="86" xfId="0" applyNumberFormat="1" applyFont="1" applyFill="1" applyBorder="1" applyAlignment="1">
      <alignment horizontal="center" vertical="center"/>
    </xf>
    <xf numFmtId="0" fontId="0" fillId="11" borderId="97" xfId="0" applyFill="1" applyBorder="1" applyAlignment="1">
      <alignment vertical="center" wrapText="1"/>
    </xf>
    <xf numFmtId="43" fontId="0" fillId="2" borderId="97" xfId="1" applyFont="1" applyFill="1" applyBorder="1" applyAlignment="1">
      <alignment vertical="center"/>
    </xf>
    <xf numFmtId="164" fontId="35" fillId="2" borderId="97" xfId="4" applyNumberFormat="1" applyFont="1" applyFill="1" applyBorder="1" applyAlignment="1">
      <alignment horizontal="center" vertical="center" wrapText="1"/>
    </xf>
    <xf numFmtId="0" fontId="3" fillId="3" borderId="103" xfId="0" applyFont="1" applyFill="1" applyBorder="1" applyAlignment="1">
      <alignment horizontal="center"/>
    </xf>
    <xf numFmtId="0" fontId="3" fillId="3" borderId="104" xfId="0" applyFont="1" applyFill="1" applyBorder="1" applyAlignment="1">
      <alignment horizontal="center"/>
    </xf>
    <xf numFmtId="0" fontId="3" fillId="3" borderId="105" xfId="0" applyFont="1" applyFill="1" applyBorder="1" applyAlignment="1">
      <alignment horizontal="center"/>
    </xf>
    <xf numFmtId="0" fontId="3" fillId="3" borderId="106" xfId="0" applyFont="1" applyFill="1" applyBorder="1" applyAlignment="1">
      <alignment horizontal="center"/>
    </xf>
    <xf numFmtId="164" fontId="25" fillId="2" borderId="97" xfId="0" applyNumberFormat="1" applyFont="1" applyFill="1" applyBorder="1" applyAlignment="1">
      <alignment horizontal="center" vertical="center" wrapText="1"/>
    </xf>
    <xf numFmtId="0" fontId="0" fillId="11" borderId="107" xfId="0" applyFill="1" applyBorder="1" applyAlignment="1">
      <alignment vertical="center" wrapText="1"/>
    </xf>
    <xf numFmtId="0" fontId="0" fillId="11" borderId="108" xfId="0" applyFill="1" applyBorder="1" applyAlignment="1">
      <alignment vertical="center" wrapText="1"/>
    </xf>
    <xf numFmtId="43" fontId="0" fillId="2" borderId="108" xfId="1" applyFont="1" applyFill="1" applyBorder="1" applyAlignment="1">
      <alignment vertical="center"/>
    </xf>
    <xf numFmtId="164" fontId="35" fillId="2" borderId="108" xfId="4" applyNumberFormat="1" applyFont="1" applyFill="1" applyBorder="1" applyAlignment="1">
      <alignment horizontal="center" vertical="center" wrapText="1"/>
    </xf>
    <xf numFmtId="0" fontId="0" fillId="11" borderId="103" xfId="0" applyFill="1" applyBorder="1" applyAlignment="1">
      <alignment vertical="center" wrapText="1"/>
    </xf>
    <xf numFmtId="43" fontId="0" fillId="2" borderId="104" xfId="1" applyFont="1" applyFill="1" applyBorder="1" applyAlignment="1">
      <alignment vertical="center"/>
    </xf>
    <xf numFmtId="164" fontId="35" fillId="2" borderId="105" xfId="4" applyNumberFormat="1" applyFont="1" applyFill="1" applyBorder="1" applyAlignment="1">
      <alignment horizontal="center" vertical="center" wrapText="1"/>
    </xf>
    <xf numFmtId="43" fontId="0" fillId="2" borderId="92" xfId="1" applyFont="1" applyFill="1" applyBorder="1" applyAlignment="1">
      <alignment vertical="center"/>
    </xf>
    <xf numFmtId="0" fontId="25" fillId="2" borderId="58" xfId="0" applyFont="1" applyFill="1" applyBorder="1" applyAlignment="1">
      <alignment horizontal="center" vertical="center" wrapText="1"/>
    </xf>
    <xf numFmtId="164" fontId="1" fillId="2" borderId="72" xfId="4" applyNumberFormat="1" applyFont="1" applyFill="1" applyBorder="1" applyAlignment="1" applyProtection="1">
      <alignment horizontal="center" vertical="center" wrapText="1"/>
    </xf>
    <xf numFmtId="164" fontId="1" fillId="2" borderId="72" xfId="4" applyNumberFormat="1" applyFont="1" applyFill="1" applyBorder="1" applyAlignment="1">
      <alignment horizontal="center" vertical="center" wrapText="1"/>
    </xf>
    <xf numFmtId="164" fontId="1" fillId="2" borderId="58" xfId="4" applyNumberFormat="1" applyFont="1" applyFill="1" applyBorder="1" applyAlignment="1" applyProtection="1">
      <alignment horizontal="center" vertical="center" wrapText="1"/>
    </xf>
    <xf numFmtId="164" fontId="1" fillId="2" borderId="75" xfId="4" applyNumberFormat="1" applyFont="1" applyFill="1" applyBorder="1" applyAlignment="1" applyProtection="1">
      <alignment horizontal="center" vertical="center" wrapText="1"/>
    </xf>
    <xf numFmtId="1" fontId="0" fillId="2" borderId="11" xfId="0" applyNumberFormat="1" applyFill="1" applyBorder="1" applyAlignment="1" applyProtection="1">
      <alignment horizontal="center" vertical="center" wrapText="1"/>
      <protection hidden="1"/>
    </xf>
    <xf numFmtId="43" fontId="0" fillId="2" borderId="60" xfId="1" applyFont="1" applyFill="1" applyBorder="1" applyAlignment="1" applyProtection="1">
      <alignment vertical="center"/>
      <protection hidden="1"/>
    </xf>
    <xf numFmtId="44" fontId="0" fillId="2" borderId="72" xfId="0" applyNumberFormat="1" applyFill="1" applyBorder="1" applyAlignment="1" applyProtection="1">
      <alignment vertical="center"/>
      <protection hidden="1"/>
    </xf>
    <xf numFmtId="0" fontId="0" fillId="2" borderId="16" xfId="0" applyFill="1" applyBorder="1" applyAlignment="1" applyProtection="1">
      <alignment horizontal="center" vertical="center" wrapText="1"/>
      <protection hidden="1"/>
    </xf>
    <xf numFmtId="0" fontId="31" fillId="7" borderId="18" xfId="0" applyFont="1" applyFill="1" applyBorder="1" applyAlignment="1" applyProtection="1">
      <alignment horizontal="center" vertical="center"/>
      <protection hidden="1"/>
    </xf>
    <xf numFmtId="44" fontId="17" fillId="21" borderId="52" xfId="0" applyNumberFormat="1" applyFont="1" applyFill="1" applyBorder="1" applyAlignment="1">
      <alignment horizontal="center" vertical="center"/>
    </xf>
    <xf numFmtId="2" fontId="0" fillId="2" borderId="1" xfId="1" applyNumberFormat="1" applyFont="1" applyFill="1" applyBorder="1" applyAlignment="1">
      <alignment horizontal="center" vertical="center"/>
    </xf>
    <xf numFmtId="172" fontId="25" fillId="2" borderId="55" xfId="0" applyNumberFormat="1" applyFont="1" applyFill="1" applyBorder="1" applyAlignment="1" applyProtection="1">
      <alignment horizontal="center" vertical="center" wrapText="1"/>
      <protection hidden="1"/>
    </xf>
    <xf numFmtId="0" fontId="92" fillId="40" borderId="111" xfId="0" applyFont="1" applyFill="1" applyBorder="1" applyAlignment="1">
      <alignment vertical="center"/>
    </xf>
    <xf numFmtId="0" fontId="22" fillId="41" borderId="111" xfId="0" applyFont="1" applyFill="1" applyBorder="1" applyAlignment="1">
      <alignment vertical="center"/>
    </xf>
    <xf numFmtId="0" fontId="22" fillId="0" borderId="111" xfId="0" applyFont="1" applyBorder="1" applyAlignment="1">
      <alignment vertical="center"/>
    </xf>
    <xf numFmtId="0" fontId="22" fillId="41" borderId="111" xfId="0" applyFont="1" applyFill="1" applyBorder="1" applyAlignment="1">
      <alignment horizontal="right" vertical="center"/>
    </xf>
    <xf numFmtId="0" fontId="15" fillId="9" borderId="2" xfId="0" applyFont="1" applyFill="1" applyBorder="1" applyAlignment="1">
      <alignment vertical="center"/>
    </xf>
    <xf numFmtId="0" fontId="15" fillId="9" borderId="5" xfId="0" applyFont="1" applyFill="1" applyBorder="1" applyAlignment="1">
      <alignment vertical="center"/>
    </xf>
    <xf numFmtId="0" fontId="15" fillId="9" borderId="51" xfId="0" applyFont="1" applyFill="1" applyBorder="1" applyAlignment="1">
      <alignment vertical="center"/>
    </xf>
    <xf numFmtId="0" fontId="15" fillId="9" borderId="54" xfId="0" applyFont="1" applyFill="1" applyBorder="1" applyAlignment="1">
      <alignment vertical="center"/>
    </xf>
    <xf numFmtId="0" fontId="15" fillId="9" borderId="31" xfId="0" applyFont="1" applyFill="1" applyBorder="1" applyAlignment="1">
      <alignment horizontal="left" vertical="center" wrapText="1"/>
    </xf>
    <xf numFmtId="2" fontId="15" fillId="9" borderId="33" xfId="0" applyNumberFormat="1" applyFont="1" applyFill="1" applyBorder="1" applyAlignment="1">
      <alignment horizontal="center" vertical="center"/>
    </xf>
    <xf numFmtId="0" fontId="15" fillId="39" borderId="32" xfId="0" applyFont="1" applyFill="1" applyBorder="1" applyAlignment="1">
      <alignment vertical="center"/>
    </xf>
    <xf numFmtId="2" fontId="21" fillId="17" borderId="4" xfId="0" applyNumberFormat="1" applyFont="1" applyFill="1" applyBorder="1" applyAlignment="1" applyProtection="1">
      <alignment horizontal="center" vertical="center"/>
      <protection hidden="1"/>
    </xf>
    <xf numFmtId="2" fontId="21" fillId="17" borderId="34" xfId="0" applyNumberFormat="1" applyFont="1" applyFill="1" applyBorder="1" applyAlignment="1" applyProtection="1">
      <alignment horizontal="center" vertical="center"/>
      <protection hidden="1"/>
    </xf>
    <xf numFmtId="164" fontId="17" fillId="6" borderId="18" xfId="0" applyNumberFormat="1" applyFont="1" applyFill="1" applyBorder="1" applyAlignment="1">
      <alignment vertical="center"/>
    </xf>
    <xf numFmtId="44" fontId="17" fillId="6" borderId="47" xfId="0" applyNumberFormat="1" applyFont="1" applyFill="1" applyBorder="1" applyAlignment="1">
      <alignment vertical="center"/>
    </xf>
    <xf numFmtId="44" fontId="96" fillId="6" borderId="52" xfId="0" applyNumberFormat="1" applyFont="1" applyFill="1" applyBorder="1" applyAlignment="1">
      <alignment vertical="center" wrapText="1"/>
    </xf>
    <xf numFmtId="44" fontId="96" fillId="6" borderId="18" xfId="0" applyNumberFormat="1" applyFont="1" applyFill="1" applyBorder="1" applyAlignment="1">
      <alignment vertical="center" wrapText="1"/>
    </xf>
    <xf numFmtId="44" fontId="96" fillId="6" borderId="47" xfId="0" applyNumberFormat="1" applyFont="1" applyFill="1" applyBorder="1" applyAlignment="1">
      <alignment vertical="center" wrapText="1"/>
    </xf>
    <xf numFmtId="0" fontId="17" fillId="13" borderId="47" xfId="0" applyFont="1" applyFill="1" applyBorder="1" applyAlignment="1">
      <alignment vertical="center" wrapText="1"/>
    </xf>
    <xf numFmtId="0" fontId="17" fillId="13" borderId="26" xfId="0" applyFont="1" applyFill="1" applyBorder="1" applyAlignment="1">
      <alignment vertical="center"/>
    </xf>
    <xf numFmtId="164" fontId="17" fillId="6" borderId="47" xfId="0" applyNumberFormat="1" applyFont="1" applyFill="1" applyBorder="1" applyAlignment="1">
      <alignment vertical="center"/>
    </xf>
    <xf numFmtId="0" fontId="17" fillId="13" borderId="47" xfId="0" applyFont="1" applyFill="1" applyBorder="1" applyAlignment="1">
      <alignment vertical="center"/>
    </xf>
    <xf numFmtId="0" fontId="17" fillId="13" borderId="61" xfId="0" applyFont="1" applyFill="1" applyBorder="1" applyAlignment="1">
      <alignment vertical="center"/>
    </xf>
    <xf numFmtId="168" fontId="17" fillId="6" borderId="47" xfId="0" applyNumberFormat="1" applyFont="1" applyFill="1" applyBorder="1" applyAlignment="1">
      <alignment vertical="center"/>
    </xf>
    <xf numFmtId="0" fontId="0" fillId="6" borderId="52" xfId="0" applyFill="1" applyBorder="1" applyAlignment="1">
      <alignment vertical="center"/>
    </xf>
    <xf numFmtId="0" fontId="0" fillId="6" borderId="18" xfId="0" applyFill="1" applyBorder="1" applyAlignment="1">
      <alignment vertical="center"/>
    </xf>
    <xf numFmtId="0" fontId="0" fillId="6" borderId="47" xfId="0" applyFill="1" applyBorder="1" applyAlignment="1">
      <alignment vertical="center"/>
    </xf>
    <xf numFmtId="0" fontId="17" fillId="13" borderId="18" xfId="0" applyFont="1" applyFill="1" applyBorder="1" applyAlignment="1">
      <alignment vertical="center" wrapText="1"/>
    </xf>
    <xf numFmtId="44" fontId="0" fillId="6" borderId="52" xfId="0" applyNumberFormat="1" applyFill="1" applyBorder="1" applyAlignment="1">
      <alignment vertical="center" wrapText="1"/>
    </xf>
    <xf numFmtId="44" fontId="0" fillId="6" borderId="18" xfId="0" applyNumberFormat="1" applyFill="1" applyBorder="1" applyAlignment="1">
      <alignment vertical="center" wrapText="1"/>
    </xf>
    <xf numFmtId="44" fontId="0" fillId="6" borderId="47" xfId="0" applyNumberFormat="1" applyFill="1" applyBorder="1" applyAlignment="1">
      <alignment vertical="center" wrapText="1"/>
    </xf>
    <xf numFmtId="44" fontId="0" fillId="6" borderId="24" xfId="0" applyNumberFormat="1" applyFill="1" applyBorder="1" applyAlignment="1">
      <alignment vertical="center" wrapText="1"/>
    </xf>
    <xf numFmtId="44" fontId="17" fillId="6" borderId="63" xfId="0" applyNumberFormat="1" applyFont="1" applyFill="1" applyBorder="1" applyAlignment="1">
      <alignment vertical="center"/>
    </xf>
    <xf numFmtId="0" fontId="17" fillId="13" borderId="47" xfId="0" applyFont="1" applyFill="1" applyBorder="1" applyAlignment="1">
      <alignment horizontal="left" vertical="center"/>
    </xf>
    <xf numFmtId="44" fontId="0" fillId="6" borderId="53" xfId="0" applyNumberFormat="1" applyFill="1" applyBorder="1" applyAlignment="1">
      <alignment vertical="center" wrapText="1"/>
    </xf>
    <xf numFmtId="0" fontId="17" fillId="13" borderId="23" xfId="0" applyFont="1" applyFill="1" applyBorder="1" applyAlignment="1">
      <alignment horizontal="left" vertical="center" wrapText="1"/>
    </xf>
    <xf numFmtId="0" fontId="17" fillId="13" borderId="61" xfId="0" applyFont="1" applyFill="1" applyBorder="1" applyAlignment="1">
      <alignment horizontal="left" vertical="center" wrapText="1"/>
    </xf>
    <xf numFmtId="0" fontId="17" fillId="13" borderId="47" xfId="0" applyFont="1" applyFill="1" applyBorder="1" applyAlignment="1">
      <alignment horizontal="left" vertical="center" wrapText="1"/>
    </xf>
    <xf numFmtId="44" fontId="17" fillId="6" borderId="18" xfId="0" applyNumberFormat="1" applyFont="1" applyFill="1" applyBorder="1" applyAlignment="1">
      <alignment vertical="center"/>
    </xf>
    <xf numFmtId="44" fontId="17" fillId="6" borderId="62" xfId="0" applyNumberFormat="1" applyFont="1" applyFill="1" applyBorder="1" applyAlignment="1">
      <alignment vertical="center"/>
    </xf>
    <xf numFmtId="0" fontId="25" fillId="6" borderId="47" xfId="0" applyFont="1" applyFill="1" applyBorder="1" applyAlignment="1">
      <alignment vertical="center"/>
    </xf>
    <xf numFmtId="0" fontId="0" fillId="6" borderId="53" xfId="0" applyFill="1" applyBorder="1" applyAlignment="1">
      <alignment vertical="center"/>
    </xf>
    <xf numFmtId="0" fontId="17" fillId="13" borderId="61" xfId="0" applyFont="1" applyFill="1" applyBorder="1" applyAlignment="1">
      <alignment vertical="center" wrapText="1"/>
    </xf>
    <xf numFmtId="164" fontId="17" fillId="6" borderId="0" xfId="0" applyNumberFormat="1" applyFont="1" applyFill="1" applyAlignment="1">
      <alignment vertical="center"/>
    </xf>
    <xf numFmtId="44" fontId="0" fillId="6" borderId="28" xfId="0" applyNumberFormat="1" applyFill="1" applyBorder="1" applyAlignment="1">
      <alignment vertical="center" wrapText="1"/>
    </xf>
    <xf numFmtId="44" fontId="0" fillId="6" borderId="15" xfId="0" applyNumberFormat="1" applyFill="1" applyBorder="1" applyAlignment="1">
      <alignment vertical="center" wrapText="1"/>
    </xf>
    <xf numFmtId="164" fontId="0" fillId="6" borderId="18" xfId="0" applyNumberFormat="1" applyFill="1" applyBorder="1" applyAlignment="1">
      <alignment vertical="center"/>
    </xf>
    <xf numFmtId="164" fontId="0" fillId="6" borderId="47" xfId="0" applyNumberFormat="1" applyFill="1" applyBorder="1" applyAlignment="1">
      <alignment vertical="center"/>
    </xf>
    <xf numFmtId="164" fontId="0" fillId="6" borderId="53" xfId="0" applyNumberFormat="1" applyFill="1" applyBorder="1" applyAlignment="1">
      <alignment vertical="center"/>
    </xf>
    <xf numFmtId="44" fontId="17" fillId="6" borderId="47" xfId="0" applyNumberFormat="1" applyFont="1" applyFill="1" applyBorder="1" applyAlignment="1" applyProtection="1">
      <alignment vertical="center"/>
      <protection hidden="1"/>
    </xf>
    <xf numFmtId="44" fontId="16" fillId="2" borderId="74" xfId="0" applyNumberFormat="1" applyFont="1" applyFill="1" applyBorder="1" applyAlignment="1">
      <alignment horizontal="center" vertical="center"/>
    </xf>
    <xf numFmtId="44" fontId="16" fillId="2" borderId="14" xfId="0" applyNumberFormat="1" applyFont="1" applyFill="1" applyBorder="1" applyAlignment="1">
      <alignment horizontal="center" vertical="center" wrapText="1"/>
    </xf>
    <xf numFmtId="44" fontId="16" fillId="2" borderId="15" xfId="0" applyNumberFormat="1" applyFont="1" applyFill="1" applyBorder="1" applyAlignment="1">
      <alignment horizontal="center" vertical="center" wrapText="1"/>
    </xf>
    <xf numFmtId="44" fontId="25" fillId="2" borderId="58" xfId="0" applyNumberFormat="1" applyFont="1" applyFill="1" applyBorder="1" applyAlignment="1">
      <alignment horizontal="left" vertical="center" wrapText="1"/>
    </xf>
    <xf numFmtId="44" fontId="25" fillId="2" borderId="74" xfId="0" applyNumberFormat="1" applyFont="1" applyFill="1" applyBorder="1" applyAlignment="1">
      <alignment horizontal="left" vertical="center"/>
    </xf>
    <xf numFmtId="0" fontId="97" fillId="2" borderId="38" xfId="0" applyFont="1" applyFill="1" applyBorder="1" applyAlignment="1" applyProtection="1">
      <alignment horizontal="center" vertical="center"/>
      <protection hidden="1"/>
    </xf>
    <xf numFmtId="44" fontId="16" fillId="2" borderId="66" xfId="0" applyNumberFormat="1" applyFont="1" applyFill="1" applyBorder="1" applyAlignment="1" applyProtection="1">
      <alignment horizontal="center" vertical="center"/>
      <protection hidden="1"/>
    </xf>
    <xf numFmtId="0" fontId="43" fillId="0" borderId="14" xfId="0" applyFont="1" applyBorder="1" applyAlignment="1">
      <alignment horizontal="left" vertical="center"/>
    </xf>
    <xf numFmtId="0" fontId="43" fillId="0" borderId="42" xfId="0" applyFont="1" applyBorder="1" applyAlignment="1">
      <alignment horizontal="left" vertical="center"/>
    </xf>
    <xf numFmtId="0" fontId="43" fillId="0" borderId="43" xfId="0" applyFont="1" applyBorder="1" applyAlignment="1">
      <alignment horizontal="left" vertical="center"/>
    </xf>
    <xf numFmtId="0" fontId="41" fillId="4" borderId="3" xfId="0" applyFont="1" applyFill="1" applyBorder="1" applyAlignment="1">
      <alignment horizontal="center" vertical="center" wrapText="1"/>
    </xf>
    <xf numFmtId="0" fontId="15" fillId="39" borderId="71" xfId="0" applyFont="1" applyFill="1" applyBorder="1" applyAlignment="1">
      <alignment vertical="center"/>
    </xf>
    <xf numFmtId="0" fontId="68" fillId="10" borderId="52" xfId="0" applyFont="1" applyFill="1" applyBorder="1" applyAlignment="1">
      <alignment vertical="center"/>
    </xf>
    <xf numFmtId="14" fontId="22" fillId="0" borderId="60" xfId="0" applyNumberFormat="1" applyFont="1" applyBorder="1" applyAlignment="1" applyProtection="1">
      <alignment horizontal="center" vertical="center"/>
      <protection locked="0"/>
    </xf>
    <xf numFmtId="0" fontId="22" fillId="0" borderId="50" xfId="0" applyFont="1" applyBorder="1" applyAlignment="1" applyProtection="1">
      <alignment horizontal="center" vertical="center"/>
      <protection locked="0"/>
    </xf>
    <xf numFmtId="14" fontId="22" fillId="0" borderId="69" xfId="0" applyNumberFormat="1" applyFont="1" applyBorder="1" applyAlignment="1" applyProtection="1">
      <alignment horizontal="center" vertical="center"/>
      <protection locked="0"/>
    </xf>
    <xf numFmtId="14" fontId="22" fillId="0" borderId="8" xfId="0" applyNumberFormat="1" applyFont="1" applyBorder="1" applyAlignment="1" applyProtection="1">
      <alignment horizontal="center" vertical="center"/>
      <protection locked="0"/>
    </xf>
    <xf numFmtId="0" fontId="22" fillId="0" borderId="40" xfId="0" applyFont="1" applyBorder="1" applyAlignment="1" applyProtection="1">
      <alignment horizontal="center" vertical="center"/>
      <protection locked="0"/>
    </xf>
    <xf numFmtId="176" fontId="30" fillId="2" borderId="72" xfId="0" applyNumberFormat="1" applyFont="1" applyFill="1" applyBorder="1" applyAlignment="1">
      <alignment vertical="center" wrapText="1"/>
    </xf>
    <xf numFmtId="0" fontId="17" fillId="0" borderId="1" xfId="11" applyFont="1" applyBorder="1" applyAlignment="1" applyProtection="1">
      <alignment horizontal="center" vertical="center"/>
      <protection hidden="1"/>
    </xf>
    <xf numFmtId="164" fontId="17" fillId="0" borderId="1" xfId="11" applyNumberFormat="1" applyFont="1" applyBorder="1" applyAlignment="1" applyProtection="1">
      <alignment horizontal="center" vertical="center" wrapText="1"/>
      <protection hidden="1"/>
    </xf>
    <xf numFmtId="164" fontId="25" fillId="2" borderId="58" xfId="0" applyNumberFormat="1" applyFont="1" applyFill="1" applyBorder="1" applyAlignment="1" applyProtection="1">
      <alignment horizontal="center" vertical="center" wrapText="1"/>
      <protection hidden="1"/>
    </xf>
    <xf numFmtId="0" fontId="97" fillId="2" borderId="64" xfId="0" applyFont="1" applyFill="1" applyBorder="1" applyAlignment="1" applyProtection="1">
      <alignment horizontal="center" vertical="center" wrapText="1"/>
      <protection hidden="1"/>
    </xf>
    <xf numFmtId="0" fontId="16" fillId="2" borderId="38" xfId="0" applyFont="1" applyFill="1" applyBorder="1" applyAlignment="1" applyProtection="1">
      <alignment horizontal="center" vertical="center" wrapText="1"/>
      <protection hidden="1"/>
    </xf>
    <xf numFmtId="0" fontId="21" fillId="4" borderId="47" xfId="0" applyFont="1" applyFill="1" applyBorder="1" applyAlignment="1">
      <alignment horizontal="center" vertical="center"/>
    </xf>
    <xf numFmtId="0" fontId="21" fillId="3" borderId="32" xfId="0" applyFont="1" applyFill="1" applyBorder="1" applyAlignment="1">
      <alignment horizontal="center" vertical="center"/>
    </xf>
    <xf numFmtId="0" fontId="21" fillId="26" borderId="32" xfId="0" applyFont="1" applyFill="1" applyBorder="1" applyAlignment="1">
      <alignment horizontal="center" vertical="center"/>
    </xf>
    <xf numFmtId="0" fontId="21" fillId="25" borderId="33" xfId="0" applyFont="1" applyFill="1" applyBorder="1" applyAlignment="1">
      <alignment horizontal="center" vertical="center"/>
    </xf>
    <xf numFmtId="44" fontId="16" fillId="2" borderId="42" xfId="0" applyNumberFormat="1" applyFont="1" applyFill="1" applyBorder="1" applyAlignment="1">
      <alignment horizontal="center" vertical="center" wrapText="1"/>
    </xf>
    <xf numFmtId="44" fontId="16" fillId="2" borderId="43" xfId="0" applyNumberFormat="1" applyFont="1" applyFill="1" applyBorder="1" applyAlignment="1">
      <alignment horizontal="center" vertical="center" wrapText="1"/>
    </xf>
    <xf numFmtId="0" fontId="16" fillId="2" borderId="64" xfId="0" applyFont="1" applyFill="1" applyBorder="1" applyAlignment="1">
      <alignment horizontal="center" vertical="center" wrapText="1"/>
    </xf>
    <xf numFmtId="0" fontId="21" fillId="9" borderId="20" xfId="0" applyFont="1" applyFill="1" applyBorder="1" applyAlignment="1">
      <alignment horizontal="center" vertical="center"/>
    </xf>
    <xf numFmtId="0" fontId="33" fillId="0" borderId="51" xfId="0" applyFont="1" applyBorder="1" applyAlignment="1">
      <alignment horizontal="center" vertical="center"/>
    </xf>
    <xf numFmtId="0" fontId="21" fillId="9" borderId="80" xfId="0" applyFont="1" applyFill="1" applyBorder="1" applyAlignment="1">
      <alignment horizontal="center" vertical="center"/>
    </xf>
    <xf numFmtId="0" fontId="19" fillId="0" borderId="65" xfId="0" applyFont="1" applyBorder="1" applyAlignment="1">
      <alignment vertical="center" wrapText="1"/>
    </xf>
    <xf numFmtId="0" fontId="19" fillId="0" borderId="52" xfId="0" applyFont="1" applyBorder="1" applyAlignment="1">
      <alignment vertical="center" wrapText="1"/>
    </xf>
    <xf numFmtId="0" fontId="100" fillId="0" borderId="0" xfId="0" applyFont="1" applyAlignment="1">
      <alignment vertical="center"/>
    </xf>
    <xf numFmtId="0" fontId="41" fillId="2" borderId="8" xfId="0" applyFont="1" applyFill="1" applyBorder="1" applyAlignment="1" applyProtection="1">
      <alignment horizontal="center" vertical="center"/>
      <protection locked="0"/>
    </xf>
    <xf numFmtId="0" fontId="43" fillId="2" borderId="0" xfId="0" applyFont="1" applyFill="1" applyAlignment="1">
      <alignment horizontal="left" vertical="center"/>
    </xf>
    <xf numFmtId="0" fontId="100" fillId="0" borderId="0" xfId="0" applyFont="1" applyAlignment="1">
      <alignment horizontal="left" vertical="center"/>
    </xf>
    <xf numFmtId="0" fontId="33" fillId="0" borderId="108" xfId="0" applyFont="1" applyBorder="1" applyAlignment="1" applyProtection="1">
      <alignment horizontal="center"/>
      <protection locked="0"/>
    </xf>
    <xf numFmtId="0" fontId="33" fillId="8" borderId="108" xfId="0" applyFont="1" applyFill="1" applyBorder="1" applyAlignment="1" applyProtection="1">
      <alignment horizontal="center"/>
      <protection locked="0"/>
    </xf>
    <xf numFmtId="0" fontId="77" fillId="8" borderId="112" xfId="0" applyFont="1" applyFill="1" applyBorder="1" applyAlignment="1" applyProtection="1">
      <alignment horizontal="center" vertical="center" wrapText="1"/>
      <protection locked="0"/>
    </xf>
    <xf numFmtId="0" fontId="77" fillId="17" borderId="113" xfId="0" applyFont="1" applyFill="1" applyBorder="1" applyAlignment="1">
      <alignment horizontal="center" vertical="center" wrapText="1"/>
    </xf>
    <xf numFmtId="0" fontId="41" fillId="9" borderId="71" xfId="0" applyFont="1" applyFill="1" applyBorder="1" applyAlignment="1" applyProtection="1">
      <alignment horizontal="center" vertical="center" wrapText="1"/>
      <protection hidden="1"/>
    </xf>
    <xf numFmtId="0" fontId="41" fillId="9" borderId="53" xfId="0" applyFont="1" applyFill="1" applyBorder="1" applyAlignment="1" applyProtection="1">
      <alignment horizontal="center" vertical="center" wrapText="1"/>
      <protection hidden="1"/>
    </xf>
    <xf numFmtId="0" fontId="33" fillId="8" borderId="56" xfId="0" applyFont="1" applyFill="1" applyBorder="1" applyAlignment="1">
      <alignment horizontal="center" vertical="center"/>
    </xf>
    <xf numFmtId="0" fontId="33" fillId="8" borderId="58" xfId="0" applyFont="1" applyFill="1" applyBorder="1" applyAlignment="1">
      <alignment horizontal="center" vertical="center"/>
    </xf>
    <xf numFmtId="0" fontId="33" fillId="8" borderId="57" xfId="0" applyFont="1" applyFill="1" applyBorder="1" applyAlignment="1">
      <alignment horizontal="center" vertical="center"/>
    </xf>
    <xf numFmtId="0" fontId="33" fillId="0" borderId="76" xfId="0" applyFont="1" applyBorder="1" applyAlignment="1">
      <alignment horizontal="center" vertical="center"/>
    </xf>
    <xf numFmtId="0" fontId="33" fillId="0" borderId="49" xfId="0" applyFont="1" applyBorder="1" applyAlignment="1">
      <alignment horizontal="center" vertical="center"/>
    </xf>
    <xf numFmtId="0" fontId="21" fillId="0" borderId="3" xfId="0" applyFont="1" applyBorder="1" applyAlignment="1" applyProtection="1">
      <alignment horizontal="center" vertical="center"/>
      <protection locked="0"/>
    </xf>
    <xf numFmtId="0" fontId="77" fillId="2" borderId="70" xfId="0" applyFont="1" applyFill="1" applyBorder="1" applyAlignment="1" applyProtection="1">
      <alignment horizontal="center" vertical="center"/>
      <protection locked="0"/>
    </xf>
    <xf numFmtId="0" fontId="77" fillId="2" borderId="50" xfId="0" applyFont="1" applyFill="1" applyBorder="1" applyAlignment="1" applyProtection="1">
      <alignment horizontal="center" vertical="center"/>
      <protection locked="0"/>
    </xf>
    <xf numFmtId="2" fontId="32" fillId="9" borderId="56" xfId="0" applyNumberFormat="1" applyFont="1" applyFill="1" applyBorder="1" applyAlignment="1" applyProtection="1">
      <alignment horizontal="center" vertical="center"/>
      <protection hidden="1"/>
    </xf>
    <xf numFmtId="164" fontId="25" fillId="0" borderId="75" xfId="0" applyNumberFormat="1" applyFont="1" applyBorder="1" applyAlignment="1">
      <alignment horizontal="center" vertical="center" wrapText="1"/>
    </xf>
    <xf numFmtId="44" fontId="22" fillId="0" borderId="0" xfId="3" applyFont="1" applyFill="1" applyBorder="1" applyAlignment="1" applyProtection="1">
      <alignment horizontal="center" vertical="center"/>
    </xf>
    <xf numFmtId="0" fontId="31" fillId="14" borderId="61" xfId="0" applyFont="1" applyFill="1" applyBorder="1" applyAlignment="1">
      <alignment horizontal="center" vertical="center"/>
    </xf>
    <xf numFmtId="0" fontId="31" fillId="14" borderId="27" xfId="0" applyFont="1" applyFill="1" applyBorder="1" applyAlignment="1">
      <alignment horizontal="center" vertical="center"/>
    </xf>
    <xf numFmtId="0" fontId="31" fillId="9" borderId="42" xfId="0" applyFont="1" applyFill="1" applyBorder="1" applyAlignment="1">
      <alignment horizontal="center" vertical="center"/>
    </xf>
    <xf numFmtId="0" fontId="31" fillId="9" borderId="43" xfId="0" applyFont="1" applyFill="1" applyBorder="1" applyAlignment="1">
      <alignment horizontal="center" vertical="center"/>
    </xf>
    <xf numFmtId="0" fontId="16" fillId="2" borderId="64" xfId="0" applyFont="1" applyFill="1" applyBorder="1" applyAlignment="1" applyProtection="1">
      <alignment horizontal="center" vertical="center"/>
      <protection hidden="1"/>
    </xf>
    <xf numFmtId="0" fontId="16" fillId="2" borderId="38" xfId="0" applyFont="1" applyFill="1" applyBorder="1" applyAlignment="1" applyProtection="1">
      <alignment horizontal="center" vertical="center"/>
      <protection hidden="1"/>
    </xf>
    <xf numFmtId="0" fontId="22" fillId="5" borderId="11" xfId="0" applyFont="1" applyFill="1" applyBorder="1" applyAlignment="1" applyProtection="1">
      <alignment horizontal="center" vertical="center"/>
      <protection locked="0"/>
    </xf>
    <xf numFmtId="0" fontId="22" fillId="5" borderId="16" xfId="0" applyFont="1" applyFill="1" applyBorder="1" applyAlignment="1" applyProtection="1">
      <alignment horizontal="center" vertical="center"/>
      <protection locked="0"/>
    </xf>
    <xf numFmtId="0" fontId="21" fillId="22" borderId="2" xfId="0" applyFont="1" applyFill="1" applyBorder="1" applyAlignment="1">
      <alignment horizontal="center" vertical="center"/>
    </xf>
    <xf numFmtId="0" fontId="22" fillId="22" borderId="3" xfId="0" applyFont="1" applyFill="1" applyBorder="1" applyAlignment="1">
      <alignment vertical="center"/>
    </xf>
    <xf numFmtId="0" fontId="22" fillId="22" borderId="4" xfId="0" applyFont="1" applyFill="1" applyBorder="1" applyAlignment="1">
      <alignment vertical="center"/>
    </xf>
    <xf numFmtId="0" fontId="21" fillId="22" borderId="5" xfId="0" applyFont="1" applyFill="1" applyBorder="1" applyAlignment="1">
      <alignment horizontal="center" vertical="center"/>
    </xf>
    <xf numFmtId="0" fontId="22" fillId="22" borderId="1" xfId="0" applyFont="1" applyFill="1" applyBorder="1" applyAlignment="1">
      <alignment vertical="center"/>
    </xf>
    <xf numFmtId="0" fontId="22" fillId="22" borderId="6" xfId="0" applyFont="1" applyFill="1" applyBorder="1" applyAlignment="1">
      <alignment vertical="center"/>
    </xf>
    <xf numFmtId="0" fontId="21" fillId="22" borderId="48" xfId="0" applyFont="1" applyFill="1" applyBorder="1" applyAlignment="1">
      <alignment horizontal="center" vertical="center"/>
    </xf>
    <xf numFmtId="0" fontId="22" fillId="22" borderId="16" xfId="0" applyFont="1" applyFill="1" applyBorder="1" applyAlignment="1">
      <alignment vertical="center"/>
    </xf>
    <xf numFmtId="0" fontId="22" fillId="22" borderId="35" xfId="0" applyFont="1" applyFill="1" applyBorder="1" applyAlignment="1">
      <alignment vertical="center"/>
    </xf>
    <xf numFmtId="0" fontId="21" fillId="22" borderId="7" xfId="0" applyFont="1" applyFill="1" applyBorder="1" applyAlignment="1">
      <alignment horizontal="center" vertical="center"/>
    </xf>
    <xf numFmtId="0" fontId="22" fillId="22" borderId="8" xfId="0" applyFont="1" applyFill="1" applyBorder="1" applyAlignment="1">
      <alignment vertical="center"/>
    </xf>
    <xf numFmtId="0" fontId="22" fillId="22" borderId="9" xfId="0" applyFont="1" applyFill="1" applyBorder="1" applyAlignment="1">
      <alignment vertical="center"/>
    </xf>
    <xf numFmtId="0" fontId="21" fillId="11" borderId="5" xfId="0" applyFont="1" applyFill="1" applyBorder="1" applyAlignment="1">
      <alignment horizontal="center" vertical="center"/>
    </xf>
    <xf numFmtId="0" fontId="22" fillId="11" borderId="1" xfId="0" applyFont="1" applyFill="1" applyBorder="1" applyAlignment="1">
      <alignment vertical="center"/>
    </xf>
    <xf numFmtId="0" fontId="22" fillId="11" borderId="6" xfId="0" applyFont="1" applyFill="1" applyBorder="1" applyAlignment="1">
      <alignment vertical="center"/>
    </xf>
    <xf numFmtId="0" fontId="21" fillId="11" borderId="2" xfId="0" applyFont="1" applyFill="1" applyBorder="1" applyAlignment="1">
      <alignment horizontal="center" vertical="center"/>
    </xf>
    <xf numFmtId="0" fontId="22" fillId="11" borderId="3" xfId="0" applyFont="1" applyFill="1" applyBorder="1" applyAlignment="1">
      <alignment vertical="center"/>
    </xf>
    <xf numFmtId="0" fontId="22" fillId="11" borderId="4" xfId="0" applyFont="1" applyFill="1" applyBorder="1" applyAlignment="1">
      <alignment vertical="center"/>
    </xf>
    <xf numFmtId="0" fontId="21" fillId="11" borderId="7" xfId="0" applyFont="1" applyFill="1" applyBorder="1" applyAlignment="1">
      <alignment horizontal="center" vertical="center"/>
    </xf>
    <xf numFmtId="0" fontId="22" fillId="11" borderId="8" xfId="0" applyFont="1" applyFill="1" applyBorder="1" applyAlignment="1">
      <alignment vertical="center"/>
    </xf>
    <xf numFmtId="0" fontId="22" fillId="11" borderId="9" xfId="0" applyFont="1" applyFill="1" applyBorder="1" applyAlignment="1">
      <alignment vertical="center"/>
    </xf>
    <xf numFmtId="0" fontId="71" fillId="0" borderId="0" xfId="0" applyFont="1" applyAlignment="1">
      <alignment vertical="center"/>
    </xf>
    <xf numFmtId="0" fontId="21" fillId="23" borderId="5" xfId="0" applyFont="1" applyFill="1" applyBorder="1" applyAlignment="1">
      <alignment horizontal="center" vertical="center"/>
    </xf>
    <xf numFmtId="0" fontId="22" fillId="23" borderId="1" xfId="0" applyFont="1" applyFill="1" applyBorder="1" applyAlignment="1">
      <alignment vertical="center"/>
    </xf>
    <xf numFmtId="0" fontId="22" fillId="23" borderId="6" xfId="0" applyFont="1" applyFill="1" applyBorder="1" applyAlignment="1">
      <alignment vertical="center"/>
    </xf>
    <xf numFmtId="0" fontId="21" fillId="23" borderId="2" xfId="0" applyFont="1" applyFill="1" applyBorder="1" applyAlignment="1">
      <alignment horizontal="center" vertical="center"/>
    </xf>
    <xf numFmtId="0" fontId="22" fillId="23" borderId="3" xfId="0" applyFont="1" applyFill="1" applyBorder="1" applyAlignment="1">
      <alignment vertical="center"/>
    </xf>
    <xf numFmtId="0" fontId="22" fillId="23" borderId="4" xfId="0" applyFont="1" applyFill="1" applyBorder="1" applyAlignment="1">
      <alignment vertical="center"/>
    </xf>
    <xf numFmtId="0" fontId="21" fillId="23" borderId="7" xfId="0" applyFont="1" applyFill="1" applyBorder="1" applyAlignment="1">
      <alignment horizontal="center" vertical="center"/>
    </xf>
    <xf numFmtId="0" fontId="22" fillId="23" borderId="8" xfId="0" applyFont="1" applyFill="1" applyBorder="1" applyAlignment="1">
      <alignment vertical="center"/>
    </xf>
    <xf numFmtId="0" fontId="22" fillId="23" borderId="9" xfId="0" applyFont="1" applyFill="1" applyBorder="1" applyAlignment="1">
      <alignment vertical="center"/>
    </xf>
    <xf numFmtId="0" fontId="21" fillId="42" borderId="17" xfId="0" applyFont="1" applyFill="1" applyBorder="1" applyAlignment="1">
      <alignment vertical="center"/>
    </xf>
    <xf numFmtId="0" fontId="21" fillId="17" borderId="47" xfId="0" applyFont="1" applyFill="1" applyBorder="1" applyAlignment="1">
      <alignment vertical="center"/>
    </xf>
    <xf numFmtId="0" fontId="21" fillId="11" borderId="48" xfId="0" applyFont="1" applyFill="1" applyBorder="1" applyAlignment="1">
      <alignment horizontal="center" vertical="center"/>
    </xf>
    <xf numFmtId="0" fontId="22" fillId="11" borderId="16" xfId="0" applyFont="1" applyFill="1" applyBorder="1" applyAlignment="1">
      <alignment vertical="center"/>
    </xf>
    <xf numFmtId="0" fontId="22" fillId="11" borderId="35" xfId="0" applyFont="1" applyFill="1" applyBorder="1" applyAlignment="1">
      <alignment vertical="center"/>
    </xf>
    <xf numFmtId="0" fontId="21" fillId="3" borderId="26" xfId="0" applyFont="1" applyFill="1" applyBorder="1" applyAlignment="1">
      <alignment vertical="center"/>
    </xf>
    <xf numFmtId="0" fontId="21" fillId="3" borderId="21" xfId="0" applyFont="1" applyFill="1" applyBorder="1" applyAlignment="1">
      <alignment vertical="center"/>
    </xf>
    <xf numFmtId="0" fontId="21" fillId="42" borderId="79" xfId="0" applyFont="1" applyFill="1" applyBorder="1" applyAlignment="1">
      <alignment vertical="center"/>
    </xf>
    <xf numFmtId="0" fontId="22" fillId="0" borderId="15" xfId="0" applyFont="1" applyBorder="1" applyAlignment="1">
      <alignment vertical="center"/>
    </xf>
    <xf numFmtId="0" fontId="22" fillId="0" borderId="24" xfId="0" applyFont="1" applyBorder="1" applyAlignment="1">
      <alignment vertical="center"/>
    </xf>
    <xf numFmtId="0" fontId="22" fillId="0" borderId="30" xfId="0" applyFont="1" applyBorder="1" applyAlignment="1">
      <alignment vertical="center"/>
    </xf>
    <xf numFmtId="0" fontId="22" fillId="3" borderId="27" xfId="0" applyFont="1" applyFill="1" applyBorder="1" applyAlignment="1">
      <alignment vertical="center"/>
    </xf>
    <xf numFmtId="0" fontId="22" fillId="2" borderId="8" xfId="0" applyFont="1" applyFill="1" applyBorder="1" applyAlignment="1" applyProtection="1">
      <alignment horizontal="center" vertical="center"/>
      <protection locked="0"/>
    </xf>
    <xf numFmtId="44" fontId="22" fillId="3" borderId="1" xfId="0" applyNumberFormat="1" applyFont="1" applyFill="1" applyBorder="1" applyAlignment="1">
      <alignment vertical="center"/>
    </xf>
    <xf numFmtId="44" fontId="22" fillId="3" borderId="8" xfId="0" applyNumberFormat="1" applyFont="1" applyFill="1" applyBorder="1" applyAlignment="1">
      <alignment vertical="center"/>
    </xf>
    <xf numFmtId="44" fontId="0" fillId="2" borderId="56" xfId="3" applyFont="1" applyFill="1" applyBorder="1" applyAlignment="1">
      <alignment vertical="center"/>
    </xf>
    <xf numFmtId="44" fontId="21" fillId="9" borderId="47" xfId="0" applyNumberFormat="1" applyFont="1" applyFill="1" applyBorder="1" applyAlignment="1">
      <alignment horizontal="center" vertical="center"/>
    </xf>
    <xf numFmtId="44" fontId="16" fillId="2" borderId="13" xfId="0" applyNumberFormat="1" applyFont="1" applyFill="1" applyBorder="1" applyAlignment="1">
      <alignment horizontal="center" vertical="center" wrapText="1"/>
    </xf>
    <xf numFmtId="44" fontId="16" fillId="2" borderId="64" xfId="0" applyNumberFormat="1" applyFont="1" applyFill="1" applyBorder="1" applyAlignment="1">
      <alignment horizontal="center" vertical="center" wrapText="1"/>
    </xf>
    <xf numFmtId="44" fontId="16" fillId="2" borderId="0" xfId="0" applyNumberFormat="1" applyFont="1" applyFill="1" applyAlignment="1">
      <alignment horizontal="center" vertical="center" wrapText="1"/>
    </xf>
    <xf numFmtId="0" fontId="97" fillId="2" borderId="73" xfId="0" applyFont="1" applyFill="1" applyBorder="1" applyAlignment="1" applyProtection="1">
      <alignment horizontal="center" vertical="center" wrapText="1"/>
      <protection locked="0"/>
    </xf>
    <xf numFmtId="44" fontId="16" fillId="2" borderId="47" xfId="0" applyNumberFormat="1" applyFont="1" applyFill="1" applyBorder="1" applyAlignment="1" applyProtection="1">
      <alignment horizontal="center" vertical="center" wrapText="1"/>
      <protection hidden="1"/>
    </xf>
    <xf numFmtId="0" fontId="16" fillId="2" borderId="15" xfId="0" quotePrefix="1" applyFont="1" applyFill="1" applyBorder="1" applyAlignment="1" applyProtection="1">
      <alignment horizontal="center" vertical="center" wrapText="1"/>
      <protection hidden="1"/>
    </xf>
    <xf numFmtId="164" fontId="16" fillId="2" borderId="42" xfId="0" applyNumberFormat="1" applyFont="1" applyFill="1" applyBorder="1" applyAlignment="1" applyProtection="1">
      <alignment horizontal="center" vertical="center" wrapText="1"/>
      <protection locked="0" hidden="1"/>
    </xf>
    <xf numFmtId="44" fontId="0" fillId="6" borderId="42" xfId="0" applyNumberFormat="1" applyFill="1" applyBorder="1" applyAlignment="1">
      <alignment vertical="center"/>
    </xf>
    <xf numFmtId="44" fontId="97" fillId="2" borderId="38" xfId="0" applyNumberFormat="1" applyFont="1" applyFill="1" applyBorder="1" applyAlignment="1" applyProtection="1">
      <alignment horizontal="center" vertical="center"/>
      <protection hidden="1"/>
    </xf>
    <xf numFmtId="164" fontId="25" fillId="6" borderId="38" xfId="0" applyNumberFormat="1" applyFont="1" applyFill="1" applyBorder="1" applyAlignment="1" applyProtection="1">
      <alignment horizontal="center" vertical="center" wrapText="1"/>
      <protection hidden="1"/>
    </xf>
    <xf numFmtId="0" fontId="97" fillId="2" borderId="38" xfId="0" applyFont="1" applyFill="1" applyBorder="1" applyAlignment="1" applyProtection="1">
      <alignment horizontal="center" vertical="center" wrapText="1"/>
      <protection hidden="1"/>
    </xf>
    <xf numFmtId="44" fontId="97" fillId="2" borderId="46" xfId="0" applyNumberFormat="1" applyFont="1" applyFill="1" applyBorder="1" applyAlignment="1" applyProtection="1">
      <alignment horizontal="center" vertical="center"/>
      <protection hidden="1"/>
    </xf>
    <xf numFmtId="0" fontId="97" fillId="2" borderId="64" xfId="0" applyFont="1" applyFill="1" applyBorder="1" applyAlignment="1">
      <alignment horizontal="center" vertical="center" wrapText="1"/>
    </xf>
    <xf numFmtId="0" fontId="97" fillId="2" borderId="46" xfId="0" applyFont="1" applyFill="1" applyBorder="1" applyAlignment="1">
      <alignment horizontal="center" vertical="center" wrapText="1"/>
    </xf>
    <xf numFmtId="0" fontId="16" fillId="2" borderId="66" xfId="0" applyFont="1" applyFill="1" applyBorder="1" applyAlignment="1">
      <alignment horizontal="center" vertical="center"/>
    </xf>
    <xf numFmtId="0" fontId="25" fillId="6" borderId="66" xfId="0" applyFont="1" applyFill="1" applyBorder="1" applyAlignment="1" applyProtection="1">
      <alignment horizontal="center" vertical="center" wrapText="1"/>
      <protection hidden="1"/>
    </xf>
    <xf numFmtId="0" fontId="97" fillId="2" borderId="46" xfId="0" applyFont="1" applyFill="1" applyBorder="1" applyAlignment="1" applyProtection="1">
      <alignment horizontal="center" vertical="center"/>
      <protection hidden="1"/>
    </xf>
    <xf numFmtId="9" fontId="97" fillId="2" borderId="0" xfId="0" applyNumberFormat="1" applyFont="1" applyFill="1" applyAlignment="1" applyProtection="1">
      <alignment horizontal="center" vertical="center"/>
      <protection hidden="1"/>
    </xf>
    <xf numFmtId="9" fontId="97" fillId="2" borderId="38" xfId="0" applyNumberFormat="1" applyFont="1" applyFill="1" applyBorder="1" applyAlignment="1" applyProtection="1">
      <alignment horizontal="center" vertical="center"/>
      <protection hidden="1"/>
    </xf>
    <xf numFmtId="0" fontId="97" fillId="2" borderId="38" xfId="0" applyFont="1" applyFill="1" applyBorder="1" applyAlignment="1">
      <alignment horizontal="center" vertical="center"/>
    </xf>
    <xf numFmtId="0" fontId="101" fillId="2" borderId="1" xfId="1" applyNumberFormat="1" applyFont="1" applyFill="1" applyBorder="1" applyAlignment="1" applyProtection="1">
      <alignment horizontal="center" vertical="center"/>
      <protection hidden="1"/>
    </xf>
    <xf numFmtId="1" fontId="101" fillId="2" borderId="1" xfId="1" applyNumberFormat="1" applyFont="1" applyFill="1" applyBorder="1" applyAlignment="1" applyProtection="1">
      <alignment horizontal="center" vertical="center"/>
      <protection hidden="1"/>
    </xf>
    <xf numFmtId="1" fontId="101" fillId="2" borderId="8" xfId="1" applyNumberFormat="1" applyFont="1" applyFill="1" applyBorder="1" applyAlignment="1" applyProtection="1">
      <alignment horizontal="center" vertical="center"/>
      <protection hidden="1"/>
    </xf>
    <xf numFmtId="167" fontId="1" fillId="2" borderId="1" xfId="1" applyNumberFormat="1" applyFont="1" applyFill="1" applyBorder="1" applyAlignment="1" applyProtection="1">
      <alignment horizontal="center" vertical="center"/>
      <protection hidden="1"/>
    </xf>
    <xf numFmtId="0" fontId="15" fillId="2" borderId="0" xfId="0" applyFont="1" applyFill="1" applyAlignment="1">
      <alignment horizontal="left" vertical="center"/>
    </xf>
    <xf numFmtId="0" fontId="43" fillId="2" borderId="0" xfId="0" applyFont="1" applyFill="1" applyAlignment="1">
      <alignment vertical="center"/>
    </xf>
    <xf numFmtId="164" fontId="17" fillId="22" borderId="29" xfId="27" applyNumberFormat="1" applyFont="1" applyFill="1" applyBorder="1" applyAlignment="1">
      <alignment horizontal="left" vertical="center"/>
    </xf>
    <xf numFmtId="4" fontId="0" fillId="2" borderId="73" xfId="0" applyNumberFormat="1" applyFill="1" applyBorder="1" applyAlignment="1" applyProtection="1">
      <alignment horizontal="center" vertical="center" wrapText="1"/>
      <protection locked="0"/>
    </xf>
    <xf numFmtId="4" fontId="0" fillId="0" borderId="0" xfId="0" applyNumberFormat="1" applyAlignment="1">
      <alignment vertical="center"/>
    </xf>
    <xf numFmtId="3" fontId="0" fillId="0" borderId="0" xfId="0" applyNumberFormat="1" applyAlignment="1">
      <alignment vertical="center"/>
    </xf>
    <xf numFmtId="3" fontId="0" fillId="0" borderId="7" xfId="0" applyNumberFormat="1" applyBorder="1" applyAlignment="1">
      <alignment vertical="center"/>
    </xf>
    <xf numFmtId="164" fontId="0" fillId="0" borderId="8" xfId="3" applyNumberFormat="1" applyFont="1" applyBorder="1" applyAlignment="1">
      <alignment vertical="center"/>
    </xf>
    <xf numFmtId="0" fontId="0" fillId="0" borderId="8" xfId="3" applyNumberFormat="1" applyFont="1" applyBorder="1" applyAlignment="1">
      <alignment vertical="center"/>
    </xf>
    <xf numFmtId="10" fontId="0" fillId="0" borderId="8" xfId="3" applyNumberFormat="1" applyFont="1" applyBorder="1" applyAlignment="1">
      <alignment vertical="center"/>
    </xf>
    <xf numFmtId="164" fontId="0" fillId="0" borderId="11" xfId="3" applyNumberFormat="1" applyFont="1" applyBorder="1" applyAlignment="1">
      <alignment vertical="center"/>
    </xf>
    <xf numFmtId="0" fontId="0" fillId="0" borderId="11" xfId="3" applyNumberFormat="1" applyFont="1" applyBorder="1" applyAlignment="1">
      <alignment vertical="center"/>
    </xf>
    <xf numFmtId="10" fontId="0" fillId="0" borderId="11" xfId="3" applyNumberFormat="1"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10" fontId="0" fillId="0" borderId="0" xfId="0" applyNumberFormat="1" applyAlignment="1">
      <alignment vertical="center"/>
    </xf>
    <xf numFmtId="0" fontId="1" fillId="2" borderId="11" xfId="1" applyNumberFormat="1" applyFont="1" applyFill="1" applyBorder="1" applyAlignment="1" applyProtection="1">
      <alignment horizontal="center" vertical="center"/>
      <protection hidden="1"/>
    </xf>
    <xf numFmtId="0" fontId="97" fillId="2" borderId="64" xfId="0" applyFont="1" applyFill="1" applyBorder="1" applyAlignment="1" applyProtection="1">
      <alignment horizontal="center" vertical="center"/>
      <protection hidden="1"/>
    </xf>
    <xf numFmtId="0" fontId="22" fillId="0" borderId="1" xfId="0" applyFont="1" applyBorder="1" applyAlignment="1">
      <alignment horizontal="center" vertical="center"/>
    </xf>
    <xf numFmtId="0" fontId="16" fillId="2" borderId="66" xfId="0" applyFont="1" applyFill="1" applyBorder="1" applyAlignment="1" applyProtection="1">
      <alignment horizontal="center" vertical="center" wrapText="1"/>
      <protection hidden="1"/>
    </xf>
    <xf numFmtId="0" fontId="21" fillId="9" borderId="22" xfId="0" applyFont="1" applyFill="1" applyBorder="1" applyAlignment="1">
      <alignment horizontal="center" vertical="center"/>
    </xf>
    <xf numFmtId="0" fontId="21" fillId="9" borderId="29" xfId="0" applyFont="1" applyFill="1" applyBorder="1" applyAlignment="1">
      <alignment horizontal="left" vertical="center"/>
    </xf>
    <xf numFmtId="0" fontId="21" fillId="9" borderId="67" xfId="0" applyFont="1" applyFill="1" applyBorder="1"/>
    <xf numFmtId="171" fontId="22" fillId="0" borderId="4" xfId="1" applyNumberFormat="1" applyFont="1" applyBorder="1" applyAlignment="1">
      <alignment horizontal="left"/>
    </xf>
    <xf numFmtId="171" fontId="22" fillId="0" borderId="6" xfId="1" applyNumberFormat="1" applyFont="1" applyBorder="1" applyAlignment="1">
      <alignment horizontal="left"/>
    </xf>
    <xf numFmtId="171" fontId="22" fillId="0" borderId="9" xfId="1" applyNumberFormat="1" applyFont="1" applyBorder="1" applyAlignment="1">
      <alignment horizontal="left"/>
    </xf>
    <xf numFmtId="0" fontId="21" fillId="9" borderId="47" xfId="0" applyFont="1" applyFill="1" applyBorder="1" applyAlignment="1">
      <alignment vertical="center"/>
    </xf>
    <xf numFmtId="0" fontId="25" fillId="11" borderId="12" xfId="0" applyFont="1" applyFill="1" applyBorder="1" applyAlignment="1" applyProtection="1">
      <alignment vertical="center" wrapText="1"/>
      <protection locked="0"/>
    </xf>
    <xf numFmtId="0" fontId="25" fillId="11" borderId="51" xfId="0" applyFont="1" applyFill="1" applyBorder="1" applyAlignment="1" applyProtection="1">
      <alignment vertical="center" wrapText="1"/>
      <protection locked="0"/>
    </xf>
    <xf numFmtId="0" fontId="0" fillId="43" borderId="51" xfId="0" applyFill="1" applyBorder="1" applyAlignment="1" applyProtection="1">
      <alignment vertical="center" wrapText="1"/>
      <protection locked="0"/>
    </xf>
    <xf numFmtId="0" fontId="25" fillId="11" borderId="49" xfId="0" applyFont="1" applyFill="1" applyBorder="1" applyAlignment="1" applyProtection="1">
      <alignment vertical="center" wrapText="1"/>
      <protection locked="0"/>
    </xf>
    <xf numFmtId="164" fontId="25" fillId="2" borderId="2" xfId="0" applyNumberFormat="1" applyFont="1" applyFill="1" applyBorder="1" applyAlignment="1" applyProtection="1">
      <alignment vertical="center"/>
      <protection locked="0"/>
    </xf>
    <xf numFmtId="0" fontId="25" fillId="2" borderId="3" xfId="1" applyNumberFormat="1" applyFont="1" applyFill="1" applyBorder="1" applyAlignment="1" applyProtection="1">
      <alignment horizontal="center" vertical="center"/>
      <protection locked="0"/>
    </xf>
    <xf numFmtId="43" fontId="25" fillId="2" borderId="3" xfId="1" applyFont="1" applyFill="1" applyBorder="1" applyAlignment="1" applyProtection="1">
      <alignment vertical="center"/>
      <protection locked="0"/>
    </xf>
    <xf numFmtId="164" fontId="0" fillId="2" borderId="4" xfId="0" applyNumberFormat="1" applyFill="1" applyBorder="1" applyAlignment="1">
      <alignment vertical="center"/>
    </xf>
    <xf numFmtId="164" fontId="25" fillId="2" borderId="5" xfId="0" applyNumberFormat="1" applyFont="1" applyFill="1" applyBorder="1" applyAlignment="1" applyProtection="1">
      <alignment vertical="center"/>
      <protection locked="0"/>
    </xf>
    <xf numFmtId="164" fontId="0" fillId="2" borderId="6" xfId="0" applyNumberFormat="1" applyFill="1" applyBorder="1" applyAlignment="1">
      <alignment vertical="center"/>
    </xf>
    <xf numFmtId="164" fontId="25" fillId="2" borderId="7" xfId="0" applyNumberFormat="1" applyFont="1" applyFill="1" applyBorder="1" applyAlignment="1" applyProtection="1">
      <alignment vertical="center"/>
      <protection locked="0"/>
    </xf>
    <xf numFmtId="0" fontId="25" fillId="2" borderId="8" xfId="1" applyNumberFormat="1" applyFont="1" applyFill="1" applyBorder="1" applyAlignment="1" applyProtection="1">
      <alignment horizontal="center" vertical="center"/>
      <protection locked="0"/>
    </xf>
    <xf numFmtId="43" fontId="25" fillId="2" borderId="8" xfId="1" applyFont="1" applyFill="1" applyBorder="1" applyAlignment="1" applyProtection="1">
      <alignment vertical="center"/>
      <protection locked="0"/>
    </xf>
    <xf numFmtId="164" fontId="0" fillId="2" borderId="9" xfId="0" applyNumberFormat="1" applyFill="1" applyBorder="1" applyAlignment="1">
      <alignment vertical="center"/>
    </xf>
    <xf numFmtId="0" fontId="22" fillId="0" borderId="3" xfId="0" applyFont="1" applyBorder="1" applyAlignment="1">
      <alignment horizontal="center" vertical="center"/>
    </xf>
    <xf numFmtId="0" fontId="22" fillId="0" borderId="8" xfId="0" applyFont="1" applyBorder="1" applyAlignment="1">
      <alignment horizontal="center" vertical="center"/>
    </xf>
    <xf numFmtId="0" fontId="22" fillId="0" borderId="6" xfId="0" applyFont="1" applyBorder="1" applyAlignment="1" applyProtection="1">
      <alignment horizontal="center" vertical="center"/>
      <protection locked="0"/>
    </xf>
    <xf numFmtId="0" fontId="22" fillId="0" borderId="3" xfId="0" applyFont="1" applyBorder="1" applyAlignment="1" applyProtection="1">
      <alignment horizontal="center" vertical="center"/>
      <protection locked="0"/>
    </xf>
    <xf numFmtId="0" fontId="22" fillId="0" borderId="4" xfId="0" applyFont="1" applyBorder="1" applyAlignment="1" applyProtection="1">
      <alignment horizontal="center" vertical="center"/>
      <protection locked="0"/>
    </xf>
    <xf numFmtId="0" fontId="22" fillId="0" borderId="9" xfId="0" applyFont="1" applyBorder="1" applyAlignment="1" applyProtection="1">
      <alignment horizontal="center" vertical="center"/>
      <protection locked="0"/>
    </xf>
    <xf numFmtId="0" fontId="22" fillId="0" borderId="17"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wrapText="1"/>
      <protection locked="0"/>
    </xf>
    <xf numFmtId="0" fontId="21" fillId="14" borderId="22" xfId="0" applyFont="1" applyFill="1" applyBorder="1" applyAlignment="1">
      <alignment horizontal="center" vertical="center" wrapText="1"/>
    </xf>
    <xf numFmtId="0" fontId="21" fillId="14" borderId="29" xfId="0" applyFont="1" applyFill="1" applyBorder="1" applyAlignment="1">
      <alignment horizontal="center" vertical="center" wrapText="1"/>
    </xf>
    <xf numFmtId="0" fontId="21" fillId="14" borderId="67" xfId="0" applyFont="1" applyFill="1" applyBorder="1" applyAlignment="1">
      <alignment horizontal="center" vertical="center" wrapText="1"/>
    </xf>
    <xf numFmtId="0" fontId="22" fillId="9" borderId="2" xfId="0" applyFont="1" applyFill="1" applyBorder="1" applyAlignment="1">
      <alignment horizontal="center" vertical="center"/>
    </xf>
    <xf numFmtId="0" fontId="22" fillId="9" borderId="3" xfId="0" applyFont="1" applyFill="1" applyBorder="1" applyAlignment="1">
      <alignment horizontal="center" vertical="center"/>
    </xf>
    <xf numFmtId="0" fontId="22" fillId="9" borderId="5" xfId="0" applyFont="1" applyFill="1" applyBorder="1" applyAlignment="1">
      <alignment horizontal="center" vertical="center"/>
    </xf>
    <xf numFmtId="0" fontId="41" fillId="4" borderId="30" xfId="3" applyNumberFormat="1" applyFont="1" applyFill="1" applyBorder="1" applyAlignment="1">
      <alignment horizontal="center" vertical="center"/>
    </xf>
    <xf numFmtId="0" fontId="22" fillId="9" borderId="48" xfId="0" applyFont="1" applyFill="1" applyBorder="1" applyAlignment="1">
      <alignment horizontal="center" vertical="center"/>
    </xf>
    <xf numFmtId="0" fontId="22" fillId="9" borderId="16" xfId="0" applyFont="1" applyFill="1" applyBorder="1" applyAlignment="1">
      <alignment horizontal="center" vertical="center"/>
    </xf>
    <xf numFmtId="44" fontId="0" fillId="6" borderId="18" xfId="0" quotePrefix="1" applyNumberFormat="1" applyFill="1" applyBorder="1" applyAlignment="1">
      <alignment vertical="center" wrapText="1"/>
    </xf>
    <xf numFmtId="2" fontId="10" fillId="3" borderId="11" xfId="0" applyNumberFormat="1" applyFont="1" applyFill="1" applyBorder="1"/>
    <xf numFmtId="0" fontId="10" fillId="3" borderId="11" xfId="0" applyFont="1" applyFill="1" applyBorder="1"/>
    <xf numFmtId="10" fontId="6" fillId="0" borderId="1" xfId="2" applyNumberFormat="1" applyFont="1" applyBorder="1" applyAlignment="1">
      <alignment horizontal="center" vertical="center"/>
    </xf>
    <xf numFmtId="10" fontId="6" fillId="8" borderId="1" xfId="0" applyNumberFormat="1" applyFont="1" applyFill="1" applyBorder="1" applyAlignment="1">
      <alignment horizontal="center" vertical="center"/>
    </xf>
    <xf numFmtId="0" fontId="10" fillId="21" borderId="5" xfId="0" applyFont="1" applyFill="1" applyBorder="1" applyAlignment="1">
      <alignment horizontal="left" vertical="center" wrapText="1"/>
    </xf>
    <xf numFmtId="0" fontId="7" fillId="18" borderId="5" xfId="0" applyFont="1" applyFill="1" applyBorder="1" applyAlignment="1">
      <alignment horizontal="left" vertical="center" wrapText="1"/>
    </xf>
    <xf numFmtId="10" fontId="6" fillId="0" borderId="6" xfId="2" applyNumberFormat="1" applyFont="1" applyBorder="1" applyAlignment="1">
      <alignment horizontal="center" vertical="center"/>
    </xf>
    <xf numFmtId="0" fontId="10" fillId="21" borderId="7" xfId="0" applyFont="1" applyFill="1" applyBorder="1" applyAlignment="1">
      <alignment horizontal="left" vertical="center" wrapText="1"/>
    </xf>
    <xf numFmtId="0" fontId="6" fillId="0" borderId="8" xfId="0" applyFont="1" applyBorder="1" applyAlignment="1">
      <alignment horizontal="left"/>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10" fillId="21" borderId="10" xfId="0" applyFont="1" applyFill="1" applyBorder="1" applyAlignment="1">
      <alignment horizontal="left" vertical="center" wrapText="1"/>
    </xf>
    <xf numFmtId="0" fontId="6" fillId="0" borderId="11" xfId="0" applyFont="1" applyBorder="1" applyAlignment="1">
      <alignment horizontal="left"/>
    </xf>
    <xf numFmtId="0" fontId="6" fillId="0" borderId="11" xfId="0" applyFont="1" applyBorder="1" applyAlignment="1">
      <alignment horizontal="center" vertical="center"/>
    </xf>
    <xf numFmtId="0" fontId="6" fillId="0" borderId="34" xfId="0" applyFont="1" applyBorder="1" applyAlignment="1">
      <alignment horizontal="center" vertical="center"/>
    </xf>
    <xf numFmtId="0" fontId="5" fillId="21" borderId="16" xfId="0" applyFont="1" applyFill="1" applyBorder="1" applyAlignment="1">
      <alignment horizontal="center"/>
    </xf>
    <xf numFmtId="0" fontId="5" fillId="21" borderId="16" xfId="0" applyFont="1" applyFill="1" applyBorder="1" applyAlignment="1">
      <alignment horizontal="center" vertical="center"/>
    </xf>
    <xf numFmtId="0" fontId="5" fillId="21" borderId="35" xfId="0" applyFont="1" applyFill="1" applyBorder="1" applyAlignment="1">
      <alignment horizontal="center" vertical="center"/>
    </xf>
    <xf numFmtId="0" fontId="10" fillId="21" borderId="2" xfId="0" applyFont="1" applyFill="1" applyBorder="1" applyAlignment="1">
      <alignment horizontal="left" vertical="center" wrapText="1"/>
    </xf>
    <xf numFmtId="0" fontId="6" fillId="0" borderId="3" xfId="0" applyFont="1" applyBorder="1" applyAlignment="1">
      <alignment horizontal="left"/>
    </xf>
    <xf numFmtId="44" fontId="0" fillId="6" borderId="63" xfId="0" applyNumberFormat="1" applyFill="1" applyBorder="1" applyAlignment="1">
      <alignment vertical="center" wrapText="1"/>
    </xf>
    <xf numFmtId="0" fontId="0" fillId="2" borderId="56" xfId="0" applyFill="1" applyBorder="1" applyAlignment="1">
      <alignment vertical="center"/>
    </xf>
    <xf numFmtId="0" fontId="0" fillId="2" borderId="58" xfId="0" applyFill="1" applyBorder="1" applyAlignment="1">
      <alignment vertical="center"/>
    </xf>
    <xf numFmtId="0" fontId="0" fillId="2" borderId="57" xfId="0" applyFill="1" applyBorder="1" applyAlignment="1">
      <alignment vertical="center"/>
    </xf>
    <xf numFmtId="0" fontId="0" fillId="11" borderId="49" xfId="0" applyFill="1" applyBorder="1" applyAlignment="1">
      <alignment vertical="center" wrapText="1"/>
    </xf>
    <xf numFmtId="0" fontId="97" fillId="2" borderId="46" xfId="0" applyFont="1" applyFill="1" applyBorder="1" applyAlignment="1">
      <alignment horizontal="center" vertical="center"/>
    </xf>
    <xf numFmtId="0" fontId="0" fillId="11" borderId="12" xfId="0" applyFill="1" applyBorder="1" applyAlignment="1">
      <alignment vertical="center" wrapText="1"/>
    </xf>
    <xf numFmtId="44" fontId="0" fillId="2" borderId="14" xfId="0" applyNumberFormat="1" applyFill="1" applyBorder="1" applyAlignment="1" applyProtection="1">
      <alignment vertical="center"/>
      <protection hidden="1"/>
    </xf>
    <xf numFmtId="44" fontId="0" fillId="2" borderId="43" xfId="0" applyNumberFormat="1" applyFill="1" applyBorder="1" applyAlignment="1" applyProtection="1">
      <alignment vertical="center"/>
      <protection hidden="1"/>
    </xf>
    <xf numFmtId="164" fontId="17" fillId="6" borderId="63" xfId="0" applyNumberFormat="1" applyFont="1" applyFill="1" applyBorder="1" applyAlignment="1">
      <alignment vertical="center"/>
    </xf>
    <xf numFmtId="164" fontId="0" fillId="2" borderId="2" xfId="3" applyNumberFormat="1" applyFont="1" applyFill="1" applyBorder="1" applyAlignment="1" applyProtection="1">
      <alignment horizontal="center" vertical="center"/>
    </xf>
    <xf numFmtId="164" fontId="0" fillId="2" borderId="4" xfId="0" applyNumberFormat="1" applyFill="1" applyBorder="1" applyAlignment="1" applyProtection="1">
      <alignment vertical="center"/>
      <protection hidden="1"/>
    </xf>
    <xf numFmtId="164" fontId="0" fillId="2" borderId="6" xfId="0" applyNumberFormat="1" applyFill="1" applyBorder="1" applyAlignment="1" applyProtection="1">
      <alignment vertical="center"/>
      <protection hidden="1"/>
    </xf>
    <xf numFmtId="164" fontId="0" fillId="2" borderId="7" xfId="3" applyNumberFormat="1" applyFont="1" applyFill="1" applyBorder="1" applyAlignment="1" applyProtection="1">
      <alignment horizontal="center" vertical="center"/>
    </xf>
    <xf numFmtId="2" fontId="0" fillId="2" borderId="8" xfId="1" applyNumberFormat="1" applyFont="1" applyFill="1" applyBorder="1" applyAlignment="1">
      <alignment horizontal="center" vertical="center"/>
    </xf>
    <xf numFmtId="164" fontId="0" fillId="2" borderId="9" xfId="0" applyNumberFormat="1" applyFill="1" applyBorder="1" applyAlignment="1" applyProtection="1">
      <alignment vertical="center"/>
      <protection hidden="1"/>
    </xf>
    <xf numFmtId="164" fontId="0" fillId="2" borderId="41" xfId="3" applyNumberFormat="1" applyFont="1" applyFill="1" applyBorder="1" applyAlignment="1" applyProtection="1">
      <alignment horizontal="center" vertical="center" wrapText="1"/>
      <protection hidden="1"/>
    </xf>
    <xf numFmtId="14" fontId="22" fillId="0" borderId="17" xfId="0" applyNumberFormat="1" applyFont="1" applyBorder="1" applyAlignment="1" applyProtection="1">
      <alignment horizontal="center" vertical="center"/>
      <protection locked="0"/>
    </xf>
    <xf numFmtId="0" fontId="15" fillId="9" borderId="56" xfId="0" applyFont="1" applyFill="1" applyBorder="1" applyAlignment="1">
      <alignment vertical="center"/>
    </xf>
    <xf numFmtId="0" fontId="15" fillId="9" borderId="58" xfId="0" applyFont="1" applyFill="1" applyBorder="1" applyAlignment="1">
      <alignment vertical="center"/>
    </xf>
    <xf numFmtId="0" fontId="15" fillId="9" borderId="57" xfId="0" applyFont="1" applyFill="1" applyBorder="1" applyAlignment="1">
      <alignment vertical="center"/>
    </xf>
    <xf numFmtId="0" fontId="33" fillId="0" borderId="56" xfId="0" applyFont="1" applyBorder="1" applyAlignment="1">
      <alignment horizontal="center" vertical="center"/>
    </xf>
    <xf numFmtId="0" fontId="33" fillId="0" borderId="58" xfId="0" applyFont="1" applyBorder="1" applyAlignment="1">
      <alignment horizontal="center" vertical="center"/>
    </xf>
    <xf numFmtId="0" fontId="33" fillId="0" borderId="57" xfId="0" applyFont="1" applyBorder="1" applyAlignment="1">
      <alignment horizontal="center" vertical="center"/>
    </xf>
    <xf numFmtId="164" fontId="0" fillId="2" borderId="62" xfId="0" applyNumberFormat="1" applyFill="1" applyBorder="1" applyAlignment="1" applyProtection="1">
      <alignment wrapText="1"/>
      <protection locked="0"/>
    </xf>
    <xf numFmtId="164" fontId="0" fillId="2" borderId="63" xfId="0" applyNumberFormat="1" applyFill="1" applyBorder="1" applyAlignment="1" applyProtection="1">
      <alignment wrapText="1"/>
      <protection locked="0"/>
    </xf>
    <xf numFmtId="164" fontId="3" fillId="11" borderId="47" xfId="0" applyNumberFormat="1" applyFont="1" applyFill="1" applyBorder="1" applyAlignment="1" applyProtection="1">
      <alignment wrapText="1"/>
      <protection locked="0"/>
    </xf>
    <xf numFmtId="44" fontId="22" fillId="0" borderId="26" xfId="3" applyFont="1" applyBorder="1" applyAlignment="1" applyProtection="1">
      <alignment vertical="center"/>
      <protection hidden="1"/>
    </xf>
    <xf numFmtId="44" fontId="22" fillId="0" borderId="61" xfId="0" applyNumberFormat="1" applyFont="1" applyBorder="1" applyAlignment="1" applyProtection="1">
      <alignment horizontal="center" vertical="center"/>
      <protection hidden="1"/>
    </xf>
    <xf numFmtId="2" fontId="39" fillId="0" borderId="16" xfId="0" applyNumberFormat="1" applyFont="1" applyBorder="1" applyAlignment="1" applyProtection="1">
      <alignment horizontal="center" vertical="center"/>
      <protection hidden="1"/>
    </xf>
    <xf numFmtId="2" fontId="39" fillId="0" borderId="35" xfId="0" applyNumberFormat="1" applyFont="1" applyBorder="1" applyAlignment="1">
      <alignment horizontal="center" vertical="center"/>
    </xf>
    <xf numFmtId="0" fontId="0" fillId="11" borderId="26" xfId="0" applyFill="1" applyBorder="1" applyAlignment="1">
      <alignment vertical="center"/>
    </xf>
    <xf numFmtId="0" fontId="0" fillId="11" borderId="51" xfId="0" applyFill="1" applyBorder="1" applyAlignment="1">
      <alignment vertical="center"/>
    </xf>
    <xf numFmtId="0" fontId="0" fillId="11" borderId="76" xfId="0" applyFill="1" applyBorder="1" applyAlignment="1">
      <alignment vertical="center"/>
    </xf>
    <xf numFmtId="0" fontId="0" fillId="11" borderId="49" xfId="0" applyFill="1" applyBorder="1" applyAlignment="1">
      <alignment vertical="center"/>
    </xf>
    <xf numFmtId="164" fontId="0" fillId="2" borderId="5" xfId="0" applyNumberFormat="1" applyFill="1" applyBorder="1" applyAlignment="1" applyProtection="1">
      <alignment vertical="center"/>
      <protection hidden="1"/>
    </xf>
    <xf numFmtId="164" fontId="0" fillId="2" borderId="34" xfId="0" applyNumberFormat="1" applyFill="1" applyBorder="1" applyAlignment="1" applyProtection="1">
      <alignment vertical="center"/>
      <protection hidden="1"/>
    </xf>
    <xf numFmtId="164" fontId="0" fillId="2" borderId="10" xfId="0" applyNumberFormat="1" applyFill="1" applyBorder="1" applyAlignment="1" applyProtection="1">
      <alignment vertical="center"/>
      <protection hidden="1"/>
    </xf>
    <xf numFmtId="164" fontId="25" fillId="2" borderId="5" xfId="0" applyNumberFormat="1" applyFont="1" applyFill="1" applyBorder="1" applyAlignment="1" applyProtection="1">
      <alignment horizontal="left" vertical="center"/>
      <protection hidden="1"/>
    </xf>
    <xf numFmtId="164" fontId="25" fillId="2" borderId="5" xfId="0" applyNumberFormat="1" applyFont="1" applyFill="1" applyBorder="1" applyAlignment="1" applyProtection="1">
      <alignment horizontal="left" vertical="center" wrapText="1"/>
      <protection hidden="1"/>
    </xf>
    <xf numFmtId="175" fontId="0" fillId="2" borderId="7" xfId="0" applyNumberFormat="1" applyFill="1" applyBorder="1" applyAlignment="1">
      <alignment vertical="center"/>
    </xf>
    <xf numFmtId="43" fontId="0" fillId="2" borderId="78" xfId="1" applyFont="1" applyFill="1" applyBorder="1" applyAlignment="1" applyProtection="1">
      <alignment vertical="center"/>
      <protection hidden="1"/>
    </xf>
    <xf numFmtId="0" fontId="0" fillId="11" borderId="61" xfId="0" applyFill="1" applyBorder="1" applyAlignment="1">
      <alignment vertical="center" wrapText="1"/>
    </xf>
    <xf numFmtId="164" fontId="25" fillId="2" borderId="44" xfId="0" applyNumberFormat="1" applyFont="1" applyFill="1" applyBorder="1" applyAlignment="1">
      <alignment vertical="center"/>
    </xf>
    <xf numFmtId="0" fontId="0" fillId="2" borderId="17" xfId="1" applyNumberFormat="1" applyFont="1" applyFill="1" applyBorder="1" applyAlignment="1">
      <alignment horizontal="center" vertical="center"/>
    </xf>
    <xf numFmtId="44" fontId="0" fillId="2" borderId="61" xfId="0" applyNumberFormat="1" applyFill="1" applyBorder="1" applyAlignment="1">
      <alignment vertical="center"/>
    </xf>
    <xf numFmtId="164" fontId="25" fillId="0" borderId="6" xfId="0" applyNumberFormat="1" applyFont="1" applyBorder="1" applyAlignment="1">
      <alignment vertical="center"/>
    </xf>
    <xf numFmtId="0" fontId="77" fillId="17" borderId="97" xfId="0" applyFont="1" applyFill="1" applyBorder="1" applyAlignment="1">
      <alignment horizontal="center" vertical="center" wrapText="1"/>
    </xf>
    <xf numFmtId="0" fontId="104" fillId="2" borderId="38" xfId="0" applyFont="1" applyFill="1" applyBorder="1" applyAlignment="1" applyProtection="1">
      <alignment horizontal="center" vertical="center" wrapText="1"/>
      <protection hidden="1"/>
    </xf>
    <xf numFmtId="164" fontId="25" fillId="2" borderId="60" xfId="0" applyNumberFormat="1" applyFont="1" applyFill="1" applyBorder="1" applyAlignment="1" applyProtection="1">
      <alignment horizontal="left" vertical="center"/>
      <protection hidden="1"/>
    </xf>
    <xf numFmtId="0" fontId="0" fillId="43" borderId="51" xfId="0" applyFill="1" applyBorder="1" applyAlignment="1" applyProtection="1">
      <alignment vertical="center" wrapText="1"/>
      <protection hidden="1"/>
    </xf>
    <xf numFmtId="164" fontId="25" fillId="2" borderId="2" xfId="0" applyNumberFormat="1" applyFont="1" applyFill="1" applyBorder="1" applyAlignment="1" applyProtection="1">
      <alignment vertical="center"/>
      <protection hidden="1"/>
    </xf>
    <xf numFmtId="0" fontId="0" fillId="2" borderId="3" xfId="1" applyNumberFormat="1" applyFont="1" applyFill="1" applyBorder="1" applyAlignment="1" applyProtection="1">
      <alignment horizontal="center" vertical="center"/>
      <protection hidden="1"/>
    </xf>
    <xf numFmtId="43" fontId="25" fillId="2" borderId="3" xfId="1" applyFont="1" applyFill="1" applyBorder="1" applyAlignment="1" applyProtection="1">
      <alignment vertical="center"/>
      <protection hidden="1"/>
    </xf>
    <xf numFmtId="44" fontId="30" fillId="2" borderId="38" xfId="0" applyNumberFormat="1" applyFont="1" applyFill="1" applyBorder="1" applyAlignment="1" applyProtection="1">
      <alignment vertical="center"/>
      <protection hidden="1"/>
    </xf>
    <xf numFmtId="164" fontId="25" fillId="2" borderId="5" xfId="0" applyNumberFormat="1" applyFont="1" applyFill="1" applyBorder="1" applyAlignment="1" applyProtection="1">
      <alignment vertical="center"/>
      <protection hidden="1"/>
    </xf>
    <xf numFmtId="43" fontId="25" fillId="2" borderId="1" xfId="1" applyFont="1" applyFill="1" applyBorder="1" applyAlignment="1" applyProtection="1">
      <alignment vertical="center"/>
      <protection hidden="1"/>
    </xf>
    <xf numFmtId="164" fontId="25" fillId="2" borderId="7" xfId="0" applyNumberFormat="1" applyFont="1" applyFill="1" applyBorder="1" applyAlignment="1" applyProtection="1">
      <alignment vertical="center"/>
      <protection hidden="1"/>
    </xf>
    <xf numFmtId="0" fontId="0" fillId="2" borderId="8" xfId="1" applyNumberFormat="1" applyFont="1" applyFill="1" applyBorder="1" applyAlignment="1" applyProtection="1">
      <alignment horizontal="center" vertical="center"/>
      <protection hidden="1"/>
    </xf>
    <xf numFmtId="0" fontId="77" fillId="2" borderId="64" xfId="0" applyFont="1" applyFill="1" applyBorder="1" applyAlignment="1" applyProtection="1">
      <alignment horizontal="center" vertical="center" wrapText="1"/>
      <protection locked="0"/>
    </xf>
    <xf numFmtId="0" fontId="77" fillId="2" borderId="38" xfId="0" applyFont="1" applyFill="1" applyBorder="1" applyAlignment="1" applyProtection="1">
      <alignment horizontal="center" vertical="center" wrapText="1"/>
      <protection locked="0"/>
    </xf>
    <xf numFmtId="0" fontId="32" fillId="8" borderId="41" xfId="0" applyFont="1" applyFill="1" applyBorder="1" applyAlignment="1" applyProtection="1">
      <alignment horizontal="center" vertical="center"/>
      <protection locked="0"/>
    </xf>
    <xf numFmtId="164" fontId="0" fillId="6" borderId="14" xfId="0" applyNumberFormat="1" applyFill="1" applyBorder="1" applyAlignment="1" applyProtection="1">
      <alignment horizontal="center" vertical="center" wrapText="1"/>
      <protection locked="0"/>
    </xf>
    <xf numFmtId="164" fontId="0" fillId="6" borderId="74" xfId="0" applyNumberFormat="1" applyFill="1" applyBorder="1" applyAlignment="1" applyProtection="1">
      <alignment horizontal="center" vertical="center" wrapText="1"/>
      <protection locked="0"/>
    </xf>
    <xf numFmtId="164" fontId="4" fillId="22" borderId="14" xfId="27" applyNumberFormat="1" applyFont="1" applyFill="1" applyBorder="1" applyAlignment="1">
      <alignment horizontal="left" vertical="center"/>
    </xf>
    <xf numFmtId="164" fontId="4" fillId="22" borderId="42" xfId="27" applyNumberFormat="1" applyFont="1" applyFill="1" applyBorder="1" applyAlignment="1">
      <alignment horizontal="left" vertical="center"/>
    </xf>
    <xf numFmtId="164" fontId="4" fillId="22" borderId="43" xfId="27" applyNumberFormat="1" applyFont="1" applyFill="1" applyBorder="1" applyAlignment="1">
      <alignment horizontal="left" vertical="center"/>
    </xf>
    <xf numFmtId="164" fontId="4" fillId="0" borderId="4" xfId="27" applyNumberFormat="1" applyFont="1" applyBorder="1" applyAlignment="1">
      <alignment horizontal="left" vertical="center"/>
    </xf>
    <xf numFmtId="164" fontId="4" fillId="0" borderId="6" xfId="27" applyNumberFormat="1" applyFont="1" applyBorder="1" applyAlignment="1">
      <alignment horizontal="left" vertical="center"/>
    </xf>
    <xf numFmtId="164" fontId="4" fillId="0" borderId="9" xfId="27" applyNumberFormat="1" applyFont="1" applyBorder="1" applyAlignment="1">
      <alignment horizontal="left" vertical="center"/>
    </xf>
    <xf numFmtId="0" fontId="17" fillId="0" borderId="63" xfId="0" applyFont="1" applyBorder="1" applyAlignment="1">
      <alignment horizontal="left" vertical="center"/>
    </xf>
    <xf numFmtId="164" fontId="17" fillId="22" borderId="19" xfId="27" applyNumberFormat="1" applyFont="1" applyFill="1" applyBorder="1" applyAlignment="1">
      <alignment horizontal="left" vertical="center"/>
    </xf>
    <xf numFmtId="164" fontId="17" fillId="22" borderId="20" xfId="27" applyNumberFormat="1" applyFont="1" applyFill="1" applyBorder="1" applyAlignment="1">
      <alignment horizontal="left" vertical="center"/>
    </xf>
    <xf numFmtId="164" fontId="4" fillId="0" borderId="80" xfId="27" applyNumberFormat="1" applyFont="1" applyBorder="1" applyAlignment="1">
      <alignment horizontal="left" vertical="center"/>
    </xf>
    <xf numFmtId="164" fontId="17" fillId="0" borderId="20" xfId="27" applyNumberFormat="1" applyFont="1" applyBorder="1" applyAlignment="1">
      <alignment horizontal="left" vertical="center"/>
    </xf>
    <xf numFmtId="44" fontId="17" fillId="0" borderId="20" xfId="27" applyFont="1" applyBorder="1" applyAlignment="1">
      <alignment horizontal="left" vertical="center"/>
    </xf>
    <xf numFmtId="164" fontId="17" fillId="0" borderId="19" xfId="27" applyNumberFormat="1" applyFont="1" applyBorder="1" applyAlignment="1">
      <alignment horizontal="left" vertical="center"/>
    </xf>
    <xf numFmtId="164" fontId="17" fillId="0" borderId="25" xfId="27" applyNumberFormat="1" applyFont="1" applyBorder="1" applyAlignment="1">
      <alignment horizontal="left" vertical="center"/>
    </xf>
    <xf numFmtId="164" fontId="17" fillId="0" borderId="63" xfId="27" applyNumberFormat="1" applyFont="1" applyBorder="1" applyAlignment="1">
      <alignment horizontal="left" vertical="center"/>
    </xf>
    <xf numFmtId="164" fontId="17" fillId="0" borderId="30" xfId="27" applyNumberFormat="1" applyFont="1" applyBorder="1" applyAlignment="1">
      <alignment horizontal="left" vertical="center"/>
    </xf>
    <xf numFmtId="0" fontId="4" fillId="0" borderId="1" xfId="0" applyFont="1" applyBorder="1" applyAlignment="1">
      <alignment horizontal="center" vertical="center"/>
    </xf>
    <xf numFmtId="0" fontId="4" fillId="0" borderId="6" xfId="0" applyFont="1" applyBorder="1" applyAlignment="1">
      <alignment vertical="center"/>
    </xf>
    <xf numFmtId="2" fontId="91" fillId="0" borderId="8" xfId="0" applyNumberFormat="1" applyFont="1" applyBorder="1" applyAlignment="1" applyProtection="1">
      <alignment horizontal="center" vertical="center"/>
      <protection hidden="1"/>
    </xf>
    <xf numFmtId="2" fontId="91" fillId="0" borderId="9" xfId="0" applyNumberFormat="1" applyFont="1" applyBorder="1" applyAlignment="1">
      <alignment horizontal="center" vertical="center"/>
    </xf>
    <xf numFmtId="0" fontId="97" fillId="2" borderId="75" xfId="0" applyFont="1" applyFill="1" applyBorder="1" applyAlignment="1" applyProtection="1">
      <alignment horizontal="center" vertical="center"/>
      <protection hidden="1"/>
    </xf>
    <xf numFmtId="164" fontId="0" fillId="2" borderId="75" xfId="0" applyNumberFormat="1" applyFill="1" applyBorder="1" applyAlignment="1" applyProtection="1">
      <alignment horizontal="left" vertical="center" wrapText="1"/>
      <protection locked="0"/>
    </xf>
    <xf numFmtId="164" fontId="0" fillId="2" borderId="58" xfId="0" applyNumberFormat="1" applyFill="1" applyBorder="1" applyAlignment="1" applyProtection="1">
      <alignment horizontal="left" vertical="center" wrapText="1"/>
      <protection locked="0"/>
    </xf>
    <xf numFmtId="44" fontId="0" fillId="2" borderId="42" xfId="0" applyNumberFormat="1" applyFill="1" applyBorder="1" applyAlignment="1">
      <alignment horizontal="left" vertical="center"/>
    </xf>
    <xf numFmtId="164" fontId="0" fillId="2" borderId="42" xfId="0" applyNumberFormat="1" applyFill="1" applyBorder="1" applyAlignment="1" applyProtection="1">
      <alignment horizontal="left" vertical="center" wrapText="1"/>
      <protection locked="0"/>
    </xf>
    <xf numFmtId="0" fontId="97" fillId="2" borderId="58" xfId="0" applyFont="1" applyFill="1" applyBorder="1" applyAlignment="1" applyProtection="1">
      <alignment horizontal="center" vertical="center"/>
      <protection hidden="1"/>
    </xf>
    <xf numFmtId="0" fontId="97" fillId="2" borderId="62" xfId="0" applyFont="1" applyFill="1" applyBorder="1" applyAlignment="1" applyProtection="1">
      <alignment horizontal="center" vertical="center"/>
      <protection hidden="1"/>
    </xf>
    <xf numFmtId="0" fontId="17" fillId="13" borderId="18" xfId="0" applyFont="1" applyFill="1" applyBorder="1" applyAlignment="1">
      <alignment horizontal="left" vertical="center"/>
    </xf>
    <xf numFmtId="0" fontId="17" fillId="13" borderId="47" xfId="0" applyFont="1" applyFill="1" applyBorder="1" applyAlignment="1">
      <alignment horizontal="center" vertical="center"/>
    </xf>
    <xf numFmtId="164" fontId="0" fillId="2" borderId="79" xfId="0" applyNumberFormat="1" applyFill="1" applyBorder="1" applyAlignment="1" applyProtection="1">
      <alignment vertical="center"/>
      <protection hidden="1"/>
    </xf>
    <xf numFmtId="0" fontId="1" fillId="2" borderId="17" xfId="1" applyNumberFormat="1" applyFont="1" applyFill="1" applyBorder="1" applyAlignment="1" applyProtection="1">
      <alignment horizontal="center" vertical="center"/>
      <protection hidden="1"/>
    </xf>
    <xf numFmtId="43" fontId="1" fillId="2" borderId="17" xfId="1" applyFont="1" applyFill="1" applyBorder="1" applyAlignment="1" applyProtection="1">
      <alignment vertical="center"/>
      <protection hidden="1"/>
    </xf>
    <xf numFmtId="164" fontId="0" fillId="2" borderId="36" xfId="0" applyNumberFormat="1" applyFill="1" applyBorder="1" applyAlignment="1" applyProtection="1">
      <alignment vertical="center"/>
      <protection hidden="1"/>
    </xf>
    <xf numFmtId="44" fontId="0" fillId="2" borderId="62" xfId="0" applyNumberFormat="1" applyFill="1" applyBorder="1" applyAlignment="1" applyProtection="1">
      <alignment vertical="center"/>
      <protection hidden="1"/>
    </xf>
    <xf numFmtId="44" fontId="79" fillId="9" borderId="61" xfId="0" applyNumberFormat="1" applyFont="1" applyFill="1" applyBorder="1" applyAlignment="1">
      <alignment horizontal="center" vertical="center"/>
    </xf>
    <xf numFmtId="0" fontId="108" fillId="7" borderId="11" xfId="0" applyFont="1" applyFill="1" applyBorder="1" applyAlignment="1">
      <alignment vertical="center"/>
    </xf>
    <xf numFmtId="0" fontId="108" fillId="11" borderId="5" xfId="0" applyFont="1" applyFill="1" applyBorder="1" applyAlignment="1">
      <alignment horizontal="center" vertical="center"/>
    </xf>
    <xf numFmtId="0" fontId="108" fillId="7" borderId="1" xfId="0" applyFont="1" applyFill="1" applyBorder="1" applyAlignment="1">
      <alignment vertical="center"/>
    </xf>
    <xf numFmtId="0" fontId="108" fillId="11" borderId="7" xfId="0" applyFont="1" applyFill="1" applyBorder="1" applyAlignment="1">
      <alignment horizontal="center" vertical="center"/>
    </xf>
    <xf numFmtId="0" fontId="108" fillId="11" borderId="2" xfId="0" applyFont="1" applyFill="1" applyBorder="1" applyAlignment="1">
      <alignment horizontal="center" vertical="center"/>
    </xf>
    <xf numFmtId="0" fontId="85" fillId="9" borderId="9" xfId="0" applyFont="1" applyFill="1" applyBorder="1" applyAlignment="1" applyProtection="1">
      <alignment horizontal="center" vertical="center"/>
      <protection hidden="1"/>
    </xf>
    <xf numFmtId="164" fontId="9" fillId="13" borderId="52" xfId="4" applyNumberFormat="1" applyFill="1" applyBorder="1" applyAlignment="1">
      <alignment vertical="center" wrapText="1"/>
    </xf>
    <xf numFmtId="164" fontId="9" fillId="13" borderId="53" xfId="4" applyNumberFormat="1" applyFill="1" applyBorder="1" applyAlignment="1">
      <alignment vertical="center" wrapText="1"/>
    </xf>
    <xf numFmtId="44" fontId="22" fillId="0" borderId="58" xfId="0" applyNumberFormat="1" applyFont="1" applyBorder="1" applyAlignment="1" applyProtection="1">
      <alignment horizontal="center" vertical="center"/>
      <protection hidden="1"/>
    </xf>
    <xf numFmtId="164" fontId="9" fillId="2" borderId="47" xfId="4" applyNumberFormat="1" applyFill="1" applyBorder="1" applyAlignment="1">
      <alignment horizontal="center" vertical="center" wrapText="1"/>
    </xf>
    <xf numFmtId="164" fontId="9" fillId="2" borderId="47" xfId="4" applyNumberFormat="1" applyFill="1" applyBorder="1" applyAlignment="1">
      <alignment vertical="center" wrapText="1"/>
    </xf>
    <xf numFmtId="0" fontId="107" fillId="44" borderId="26" xfId="0" applyFont="1" applyFill="1" applyBorder="1" applyAlignment="1">
      <alignment vertical="center"/>
    </xf>
    <xf numFmtId="0" fontId="107" fillId="44" borderId="21" xfId="0" applyFont="1" applyFill="1" applyBorder="1" applyAlignment="1">
      <alignment vertical="center"/>
    </xf>
    <xf numFmtId="0" fontId="107" fillId="44" borderId="23" xfId="0" applyFont="1" applyFill="1" applyBorder="1" applyAlignment="1">
      <alignment vertical="center"/>
    </xf>
    <xf numFmtId="0" fontId="107" fillId="44" borderId="24" xfId="0" applyFont="1" applyFill="1" applyBorder="1" applyAlignment="1">
      <alignment vertical="center"/>
    </xf>
    <xf numFmtId="0" fontId="108" fillId="7" borderId="41" xfId="0" applyFont="1" applyFill="1" applyBorder="1" applyAlignment="1">
      <alignment vertical="center"/>
    </xf>
    <xf numFmtId="0" fontId="2" fillId="7" borderId="41" xfId="0" applyFont="1" applyFill="1" applyBorder="1"/>
    <xf numFmtId="0" fontId="2" fillId="7" borderId="1" xfId="0" applyFont="1" applyFill="1" applyBorder="1"/>
    <xf numFmtId="0" fontId="2" fillId="7" borderId="46" xfId="0" applyFont="1" applyFill="1" applyBorder="1"/>
    <xf numFmtId="0" fontId="108" fillId="7" borderId="60" xfId="0" applyFont="1" applyFill="1" applyBorder="1" applyAlignment="1">
      <alignment vertical="center"/>
    </xf>
    <xf numFmtId="164" fontId="0" fillId="2" borderId="72" xfId="0" applyNumberFormat="1" applyFill="1" applyBorder="1" applyAlignment="1">
      <alignment horizontal="center" vertical="center" wrapText="1"/>
    </xf>
    <xf numFmtId="0" fontId="106" fillId="3" borderId="58" xfId="3" applyNumberFormat="1" applyFont="1" applyFill="1" applyBorder="1" applyAlignment="1">
      <alignment horizontal="center" vertical="center" wrapText="1"/>
    </xf>
    <xf numFmtId="0" fontId="22" fillId="2" borderId="6" xfId="0" applyFont="1" applyFill="1" applyBorder="1" applyAlignment="1" applyProtection="1">
      <alignment horizontal="center" vertical="center"/>
      <protection locked="0"/>
    </xf>
    <xf numFmtId="0" fontId="22" fillId="9" borderId="29" xfId="0" applyFont="1" applyFill="1" applyBorder="1" applyAlignment="1" applyProtection="1">
      <alignment horizontal="center" vertical="center"/>
      <protection hidden="1"/>
    </xf>
    <xf numFmtId="0" fontId="22" fillId="9" borderId="1" xfId="0" applyFont="1" applyFill="1" applyBorder="1" applyAlignment="1" applyProtection="1">
      <alignment horizontal="center" vertical="center"/>
      <protection hidden="1"/>
    </xf>
    <xf numFmtId="0" fontId="22" fillId="9" borderId="16" xfId="0" applyFont="1" applyFill="1" applyBorder="1" applyAlignment="1" applyProtection="1">
      <alignment horizontal="center" vertical="center"/>
      <protection hidden="1"/>
    </xf>
    <xf numFmtId="0" fontId="102" fillId="3" borderId="47" xfId="0" applyFont="1" applyFill="1" applyBorder="1" applyAlignment="1">
      <alignment horizontal="center" vertical="center"/>
    </xf>
    <xf numFmtId="0" fontId="97" fillId="2" borderId="56" xfId="0" applyFont="1" applyFill="1" applyBorder="1" applyAlignment="1" applyProtection="1">
      <alignment horizontal="center" vertical="center" wrapText="1"/>
      <protection hidden="1"/>
    </xf>
    <xf numFmtId="164" fontId="22" fillId="3" borderId="6" xfId="0" applyNumberFormat="1" applyFont="1" applyFill="1" applyBorder="1" applyAlignment="1">
      <alignment horizontal="center" vertical="center"/>
    </xf>
    <xf numFmtId="164" fontId="22" fillId="3" borderId="9" xfId="0" applyNumberFormat="1" applyFont="1" applyFill="1" applyBorder="1" applyAlignment="1">
      <alignment horizontal="center" vertical="center"/>
    </xf>
    <xf numFmtId="0" fontId="21" fillId="9" borderId="18" xfId="0" applyFont="1" applyFill="1" applyBorder="1" applyAlignment="1">
      <alignment horizontal="center" vertical="center" wrapText="1"/>
    </xf>
    <xf numFmtId="2" fontId="15" fillId="2" borderId="1" xfId="0" applyNumberFormat="1" applyFont="1" applyFill="1" applyBorder="1" applyAlignment="1" applyProtection="1">
      <alignment horizontal="center" vertical="center" wrapText="1"/>
      <protection locked="0"/>
    </xf>
    <xf numFmtId="0" fontId="77" fillId="2" borderId="114" xfId="0" applyFont="1" applyFill="1" applyBorder="1" applyAlignment="1" applyProtection="1">
      <alignment horizontal="center" vertical="center" wrapText="1"/>
      <protection locked="0"/>
    </xf>
    <xf numFmtId="0" fontId="77" fillId="2" borderId="115" xfId="0" applyFont="1" applyFill="1" applyBorder="1" applyAlignment="1" applyProtection="1">
      <alignment horizontal="center" vertical="center" wrapText="1"/>
      <protection locked="0"/>
    </xf>
    <xf numFmtId="0" fontId="77" fillId="0" borderId="115" xfId="0" applyFont="1" applyBorder="1" applyAlignment="1" applyProtection="1">
      <alignment horizontal="center" vertical="center" wrapText="1"/>
      <protection locked="0"/>
    </xf>
    <xf numFmtId="0" fontId="77" fillId="2" borderId="116" xfId="0" applyFont="1" applyFill="1" applyBorder="1" applyAlignment="1" applyProtection="1">
      <alignment horizontal="center" vertical="center" wrapText="1"/>
      <protection locked="0"/>
    </xf>
    <xf numFmtId="0" fontId="41" fillId="9" borderId="18" xfId="0" applyFont="1" applyFill="1" applyBorder="1" applyAlignment="1" applyProtection="1">
      <alignment horizontal="center" vertical="center" wrapText="1"/>
      <protection hidden="1"/>
    </xf>
    <xf numFmtId="0" fontId="21" fillId="9" borderId="117" xfId="0" applyFont="1" applyFill="1" applyBorder="1" applyAlignment="1">
      <alignment horizontal="center" vertical="center" wrapText="1"/>
    </xf>
    <xf numFmtId="0" fontId="77" fillId="2" borderId="118" xfId="0" applyFont="1" applyFill="1" applyBorder="1" applyAlignment="1" applyProtection="1">
      <alignment horizontal="center" vertical="center" wrapText="1"/>
      <protection locked="0"/>
    </xf>
    <xf numFmtId="0" fontId="77" fillId="2" borderId="119" xfId="0" applyFont="1" applyFill="1" applyBorder="1" applyAlignment="1" applyProtection="1">
      <alignment horizontal="center" vertical="center" wrapText="1"/>
      <protection locked="0"/>
    </xf>
    <xf numFmtId="0" fontId="77" fillId="0" borderId="119" xfId="0" applyFont="1" applyBorder="1" applyAlignment="1" applyProtection="1">
      <alignment horizontal="center" vertical="center" wrapText="1"/>
      <protection locked="0"/>
    </xf>
    <xf numFmtId="0" fontId="77" fillId="2" borderId="120" xfId="0" applyFont="1" applyFill="1" applyBorder="1" applyAlignment="1" applyProtection="1">
      <alignment horizontal="center" vertical="center" wrapText="1"/>
      <protection locked="0"/>
    </xf>
    <xf numFmtId="164" fontId="25" fillId="2" borderId="27" xfId="0" applyNumberFormat="1" applyFont="1" applyFill="1" applyBorder="1" applyAlignment="1">
      <alignment horizontal="center" vertical="center" wrapText="1"/>
    </xf>
    <xf numFmtId="164" fontId="25" fillId="2" borderId="43" xfId="0" applyNumberFormat="1" applyFont="1" applyFill="1" applyBorder="1" applyAlignment="1">
      <alignment horizontal="center" vertical="center" wrapText="1"/>
    </xf>
    <xf numFmtId="0" fontId="33" fillId="2" borderId="97" xfId="0" applyFont="1" applyFill="1" applyBorder="1" applyAlignment="1" applyProtection="1">
      <alignment horizontal="center"/>
      <protection locked="0"/>
    </xf>
    <xf numFmtId="0" fontId="33" fillId="2" borderId="86" xfId="0" applyFont="1" applyFill="1" applyBorder="1" applyAlignment="1" applyProtection="1">
      <alignment horizontal="center"/>
      <protection locked="0"/>
    </xf>
    <xf numFmtId="0" fontId="33" fillId="2" borderId="91" xfId="0" applyFont="1" applyFill="1" applyBorder="1" applyAlignment="1" applyProtection="1">
      <alignment horizontal="center"/>
      <protection locked="0"/>
    </xf>
    <xf numFmtId="0" fontId="33" fillId="2" borderId="108" xfId="0" applyFont="1" applyFill="1" applyBorder="1" applyAlignment="1" applyProtection="1">
      <alignment horizontal="center"/>
      <protection locked="0"/>
    </xf>
    <xf numFmtId="0" fontId="77" fillId="9" borderId="75" xfId="0" applyFont="1" applyFill="1" applyBorder="1" applyAlignment="1">
      <alignment horizontal="center" vertical="center"/>
    </xf>
    <xf numFmtId="0" fontId="77" fillId="2" borderId="66" xfId="0" applyFont="1" applyFill="1" applyBorder="1" applyAlignment="1" applyProtection="1">
      <alignment horizontal="center" vertical="center" wrapText="1"/>
      <protection locked="0"/>
    </xf>
    <xf numFmtId="0" fontId="33" fillId="0" borderId="10" xfId="0" applyFont="1" applyBorder="1" applyAlignment="1">
      <alignment horizontal="center" vertical="center"/>
    </xf>
    <xf numFmtId="0" fontId="15" fillId="17" borderId="31" xfId="0" applyFont="1" applyFill="1" applyBorder="1" applyAlignment="1">
      <alignment horizontal="center" vertical="center"/>
    </xf>
    <xf numFmtId="0" fontId="15" fillId="17" borderId="33" xfId="0" applyFont="1" applyFill="1" applyBorder="1" applyAlignment="1">
      <alignment horizontal="center" vertical="center"/>
    </xf>
    <xf numFmtId="0" fontId="0" fillId="12" borderId="3" xfId="0" applyFill="1" applyBorder="1"/>
    <xf numFmtId="0" fontId="0" fillId="12" borderId="1" xfId="0" applyFill="1" applyBorder="1"/>
    <xf numFmtId="0" fontId="26" fillId="12" borderId="1" xfId="0" applyFont="1" applyFill="1" applyBorder="1" applyAlignment="1">
      <alignment vertical="center"/>
    </xf>
    <xf numFmtId="0" fontId="0" fillId="12" borderId="8" xfId="0" applyFill="1" applyBorder="1"/>
    <xf numFmtId="0" fontId="24" fillId="2" borderId="7" xfId="0" applyFont="1" applyFill="1" applyBorder="1" applyAlignment="1" applyProtection="1">
      <alignment horizontal="center" vertical="center" wrapText="1"/>
      <protection locked="0"/>
    </xf>
    <xf numFmtId="0" fontId="97" fillId="2" borderId="72" xfId="0" applyFont="1" applyFill="1" applyBorder="1" applyAlignment="1" applyProtection="1">
      <alignment horizontal="center" vertical="center" wrapText="1"/>
      <protection hidden="1"/>
    </xf>
    <xf numFmtId="0" fontId="0" fillId="6" borderId="4" xfId="0" applyFill="1" applyBorder="1" applyAlignment="1" applyProtection="1">
      <alignment horizontal="center" vertical="center"/>
      <protection hidden="1"/>
    </xf>
    <xf numFmtId="0" fontId="0" fillId="6" borderId="6" xfId="0" applyFill="1" applyBorder="1" applyAlignment="1" applyProtection="1">
      <alignment horizontal="center" vertical="center"/>
      <protection hidden="1"/>
    </xf>
    <xf numFmtId="0" fontId="0" fillId="6" borderId="35" xfId="0" applyFill="1" applyBorder="1" applyAlignment="1" applyProtection="1">
      <alignment horizontal="center" vertical="center"/>
      <protection hidden="1"/>
    </xf>
    <xf numFmtId="0" fontId="0" fillId="9" borderId="4" xfId="0" applyFill="1" applyBorder="1" applyAlignment="1" applyProtection="1">
      <alignment horizontal="center" vertical="center"/>
      <protection hidden="1"/>
    </xf>
    <xf numFmtId="0" fontId="0" fillId="9" borderId="6" xfId="0" applyFill="1" applyBorder="1" applyAlignment="1" applyProtection="1">
      <alignment horizontal="center" vertical="center"/>
      <protection hidden="1"/>
    </xf>
    <xf numFmtId="0" fontId="0" fillId="9" borderId="9" xfId="0" applyFill="1" applyBorder="1" applyAlignment="1" applyProtection="1">
      <alignment horizontal="center" vertical="center"/>
      <protection hidden="1"/>
    </xf>
    <xf numFmtId="44" fontId="33" fillId="7" borderId="3" xfId="0" applyNumberFormat="1" applyFont="1" applyFill="1" applyBorder="1" applyAlignment="1" applyProtection="1">
      <alignment horizontal="center" vertical="center"/>
      <protection hidden="1"/>
    </xf>
    <xf numFmtId="44" fontId="33" fillId="7" borderId="1" xfId="0" applyNumberFormat="1" applyFont="1" applyFill="1" applyBorder="1" applyAlignment="1" applyProtection="1">
      <alignment horizontal="center" vertical="center"/>
      <protection hidden="1"/>
    </xf>
    <xf numFmtId="44" fontId="33" fillId="7" borderId="16" xfId="0" applyNumberFormat="1" applyFont="1" applyFill="1" applyBorder="1" applyAlignment="1" applyProtection="1">
      <alignment horizontal="center" vertical="center"/>
      <protection hidden="1"/>
    </xf>
    <xf numFmtId="44" fontId="31" fillId="7" borderId="3" xfId="0" applyNumberFormat="1" applyFont="1" applyFill="1" applyBorder="1" applyAlignment="1" applyProtection="1">
      <alignment horizontal="center" vertical="center"/>
      <protection hidden="1"/>
    </xf>
    <xf numFmtId="44" fontId="31" fillId="7" borderId="1" xfId="0" applyNumberFormat="1" applyFont="1" applyFill="1" applyBorder="1" applyAlignment="1" applyProtection="1">
      <alignment horizontal="center" vertical="center"/>
      <protection hidden="1"/>
    </xf>
    <xf numFmtId="44" fontId="31" fillId="7" borderId="8" xfId="0" applyNumberFormat="1" applyFont="1" applyFill="1" applyBorder="1" applyAlignment="1" applyProtection="1">
      <alignment horizontal="center" vertical="center"/>
      <protection hidden="1"/>
    </xf>
    <xf numFmtId="0" fontId="85" fillId="20" borderId="4" xfId="0" applyFont="1" applyFill="1" applyBorder="1" applyAlignment="1" applyProtection="1">
      <alignment horizontal="center" vertical="center"/>
      <protection hidden="1"/>
    </xf>
    <xf numFmtId="0" fontId="75" fillId="20" borderId="6" xfId="0" applyFont="1" applyFill="1" applyBorder="1" applyAlignment="1">
      <alignment horizontal="center" vertical="center"/>
    </xf>
    <xf numFmtId="0" fontId="32" fillId="8" borderId="9" xfId="0" applyFont="1" applyFill="1" applyBorder="1" applyAlignment="1">
      <alignment horizontal="center" vertical="center"/>
    </xf>
    <xf numFmtId="9" fontId="0" fillId="2" borderId="42" xfId="0" applyNumberFormat="1" applyFill="1" applyBorder="1" applyAlignment="1" applyProtection="1">
      <alignment horizontal="center" vertical="center"/>
      <protection locked="0"/>
    </xf>
    <xf numFmtId="1" fontId="0" fillId="2" borderId="41" xfId="1" applyNumberFormat="1" applyFont="1" applyFill="1" applyBorder="1" applyAlignment="1" applyProtection="1">
      <alignment horizontal="center" vertical="center"/>
      <protection hidden="1"/>
    </xf>
    <xf numFmtId="6" fontId="82" fillId="37" borderId="1" xfId="0" applyNumberFormat="1" applyFont="1" applyFill="1" applyBorder="1" applyAlignment="1">
      <alignment horizontal="center"/>
    </xf>
    <xf numFmtId="6" fontId="82" fillId="37" borderId="1" xfId="0" applyNumberFormat="1" applyFont="1" applyFill="1" applyBorder="1" applyAlignment="1">
      <alignment horizontal="center" vertical="center"/>
    </xf>
    <xf numFmtId="0" fontId="111" fillId="0" borderId="1" xfId="0" applyFont="1" applyBorder="1" applyAlignment="1" applyProtection="1">
      <alignment horizontal="center" vertical="center"/>
      <protection locked="0"/>
    </xf>
    <xf numFmtId="0" fontId="24" fillId="3" borderId="5" xfId="0" applyFont="1" applyFill="1" applyBorder="1" applyAlignment="1" applyProtection="1">
      <alignment horizontal="center" vertical="center"/>
      <protection locked="0"/>
    </xf>
    <xf numFmtId="0" fontId="24" fillId="3" borderId="11" xfId="0" applyFont="1" applyFill="1" applyBorder="1" applyAlignment="1" applyProtection="1">
      <alignment horizontal="center" vertical="center"/>
      <protection locked="0"/>
    </xf>
    <xf numFmtId="0" fontId="33" fillId="2" borderId="0" xfId="0" applyFont="1" applyFill="1" applyAlignment="1" applyProtection="1">
      <alignment horizontal="center" vertical="center"/>
      <protection locked="0"/>
    </xf>
    <xf numFmtId="0" fontId="51" fillId="2" borderId="11" xfId="0" applyFont="1" applyFill="1" applyBorder="1" applyAlignment="1" applyProtection="1">
      <alignment horizontal="center" vertical="center" wrapText="1"/>
      <protection locked="0"/>
    </xf>
    <xf numFmtId="0" fontId="24" fillId="2" borderId="10" xfId="0" applyFont="1" applyFill="1" applyBorder="1" applyAlignment="1" applyProtection="1">
      <alignment horizontal="center" vertical="center" wrapText="1"/>
      <protection locked="0"/>
    </xf>
    <xf numFmtId="0" fontId="17" fillId="6" borderId="18" xfId="0" applyFont="1" applyFill="1" applyBorder="1" applyAlignment="1">
      <alignment horizontal="left" vertical="center"/>
    </xf>
    <xf numFmtId="0" fontId="17" fillId="6" borderId="52" xfId="0" applyFont="1" applyFill="1" applyBorder="1" applyAlignment="1">
      <alignment horizontal="left" vertical="center"/>
    </xf>
    <xf numFmtId="0" fontId="17" fillId="6" borderId="53" xfId="0" applyFont="1" applyFill="1" applyBorder="1" applyAlignment="1">
      <alignment horizontal="left" vertical="center"/>
    </xf>
    <xf numFmtId="0" fontId="25" fillId="2" borderId="61" xfId="0" applyFont="1" applyFill="1" applyBorder="1" applyAlignment="1">
      <alignment horizontal="center" vertical="center" wrapText="1"/>
    </xf>
    <xf numFmtId="0" fontId="25" fillId="2" borderId="62" xfId="0" applyFont="1" applyFill="1" applyBorder="1" applyAlignment="1">
      <alignment horizontal="center" vertical="center" wrapText="1"/>
    </xf>
    <xf numFmtId="164" fontId="25" fillId="2" borderId="75" xfId="4" applyNumberFormat="1" applyFont="1" applyFill="1" applyBorder="1" applyAlignment="1" applyProtection="1">
      <alignment horizontal="center" vertical="center" wrapText="1"/>
    </xf>
    <xf numFmtId="164" fontId="25" fillId="2" borderId="62" xfId="4" applyNumberFormat="1" applyFont="1" applyFill="1" applyBorder="1" applyAlignment="1" applyProtection="1">
      <alignment horizontal="center" vertical="center" wrapText="1"/>
    </xf>
    <xf numFmtId="164" fontId="25" fillId="2" borderId="72" xfId="4" applyNumberFormat="1" applyFont="1" applyFill="1" applyBorder="1" applyAlignment="1" applyProtection="1">
      <alignment horizontal="center" vertical="center" wrapText="1"/>
    </xf>
    <xf numFmtId="0" fontId="0" fillId="2" borderId="58" xfId="0" applyFill="1" applyBorder="1" applyAlignment="1">
      <alignment horizontal="center" vertical="center" wrapText="1"/>
    </xf>
    <xf numFmtId="0" fontId="0" fillId="2" borderId="57" xfId="0" applyFill="1" applyBorder="1" applyAlignment="1">
      <alignment horizontal="center" vertical="center" wrapText="1"/>
    </xf>
    <xf numFmtId="0" fontId="97" fillId="2" borderId="15" xfId="0" applyFont="1" applyFill="1" applyBorder="1" applyAlignment="1" applyProtection="1">
      <alignment horizontal="center" vertical="center" wrapText="1"/>
      <protection hidden="1"/>
    </xf>
    <xf numFmtId="0" fontId="97" fillId="2" borderId="74" xfId="0" applyFont="1" applyFill="1" applyBorder="1" applyAlignment="1" applyProtection="1">
      <alignment horizontal="center" vertical="center" wrapText="1"/>
      <protection hidden="1"/>
    </xf>
    <xf numFmtId="0" fontId="0" fillId="2" borderId="75" xfId="0" applyFill="1" applyBorder="1" applyAlignment="1" applyProtection="1">
      <alignment horizontal="center" vertical="center" wrapText="1"/>
      <protection hidden="1"/>
    </xf>
    <xf numFmtId="0" fontId="0" fillId="2" borderId="72" xfId="0" applyFill="1" applyBorder="1" applyAlignment="1" applyProtection="1">
      <alignment horizontal="center" vertical="center" wrapText="1"/>
      <protection hidden="1"/>
    </xf>
    <xf numFmtId="164" fontId="25" fillId="13" borderId="18" xfId="0" applyNumberFormat="1" applyFont="1" applyFill="1" applyBorder="1" applyAlignment="1">
      <alignment horizontal="center" vertical="center"/>
    </xf>
    <xf numFmtId="164" fontId="25" fillId="13" borderId="47" xfId="0" applyNumberFormat="1" applyFont="1" applyFill="1" applyBorder="1" applyAlignment="1">
      <alignment horizontal="center" vertical="center"/>
    </xf>
    <xf numFmtId="0" fontId="4" fillId="4" borderId="26"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7" xfId="0" applyFont="1" applyFill="1" applyBorder="1" applyAlignment="1">
      <alignment horizontal="center" vertical="center"/>
    </xf>
    <xf numFmtId="164" fontId="25" fillId="2" borderId="75" xfId="0" applyNumberFormat="1" applyFont="1" applyFill="1" applyBorder="1" applyAlignment="1">
      <alignment horizontal="center" vertical="center" wrapText="1"/>
    </xf>
    <xf numFmtId="164" fontId="25" fillId="2" borderId="62" xfId="0" applyNumberFormat="1" applyFont="1" applyFill="1" applyBorder="1" applyAlignment="1">
      <alignment horizontal="center" vertical="center" wrapText="1"/>
    </xf>
    <xf numFmtId="164" fontId="25" fillId="2" borderId="72" xfId="0" applyNumberFormat="1" applyFont="1" applyFill="1" applyBorder="1" applyAlignment="1">
      <alignment horizontal="center" vertical="center" wrapText="1"/>
    </xf>
    <xf numFmtId="0" fontId="97" fillId="2" borderId="75" xfId="0" applyFont="1" applyFill="1" applyBorder="1" applyAlignment="1" applyProtection="1">
      <alignment horizontal="center" vertical="center"/>
      <protection hidden="1"/>
    </xf>
    <xf numFmtId="0" fontId="97" fillId="2" borderId="62" xfId="0" applyFont="1" applyFill="1" applyBorder="1" applyAlignment="1" applyProtection="1">
      <alignment horizontal="center" vertical="center"/>
      <protection hidden="1"/>
    </xf>
    <xf numFmtId="0" fontId="97" fillId="2" borderId="72" xfId="0" applyFont="1" applyFill="1" applyBorder="1" applyAlignment="1" applyProtection="1">
      <alignment horizontal="center" vertical="center"/>
      <protection hidden="1"/>
    </xf>
    <xf numFmtId="0" fontId="97" fillId="2" borderId="61" xfId="0" applyFont="1" applyFill="1" applyBorder="1" applyAlignment="1" applyProtection="1">
      <alignment horizontal="center" vertical="center"/>
      <protection hidden="1"/>
    </xf>
    <xf numFmtId="0" fontId="0" fillId="2" borderId="75" xfId="0" applyFill="1" applyBorder="1" applyAlignment="1" applyProtection="1">
      <alignment horizontal="center" vertical="center"/>
      <protection hidden="1"/>
    </xf>
    <xf numFmtId="0" fontId="25" fillId="2" borderId="72" xfId="0" applyFont="1" applyFill="1" applyBorder="1" applyAlignment="1">
      <alignment horizontal="center" vertical="center" wrapText="1"/>
    </xf>
    <xf numFmtId="164" fontId="25" fillId="13" borderId="52" xfId="0" applyNumberFormat="1" applyFont="1" applyFill="1" applyBorder="1" applyAlignment="1">
      <alignment horizontal="center" vertical="center"/>
    </xf>
    <xf numFmtId="164" fontId="25" fillId="13" borderId="53" xfId="0" applyNumberFormat="1" applyFont="1" applyFill="1" applyBorder="1" applyAlignment="1">
      <alignment horizontal="center" vertical="center"/>
    </xf>
    <xf numFmtId="164" fontId="25" fillId="13" borderId="21" xfId="0" applyNumberFormat="1" applyFont="1" applyFill="1" applyBorder="1" applyAlignment="1">
      <alignment horizontal="center" vertical="center"/>
    </xf>
    <xf numFmtId="164" fontId="30" fillId="6" borderId="18" xfId="0" applyNumberFormat="1" applyFont="1" applyFill="1" applyBorder="1" applyAlignment="1">
      <alignment horizontal="center" vertical="center"/>
    </xf>
    <xf numFmtId="164" fontId="30" fillId="6" borderId="52" xfId="0" applyNumberFormat="1" applyFont="1" applyFill="1" applyBorder="1" applyAlignment="1">
      <alignment horizontal="center" vertical="center"/>
    </xf>
    <xf numFmtId="164" fontId="30" fillId="6" borderId="53" xfId="0" applyNumberFormat="1" applyFont="1" applyFill="1" applyBorder="1" applyAlignment="1">
      <alignment horizontal="center" vertical="center"/>
    </xf>
    <xf numFmtId="164" fontId="1" fillId="2" borderId="75" xfId="4" applyNumberFormat="1" applyFont="1" applyFill="1" applyBorder="1" applyAlignment="1">
      <alignment horizontal="center" vertical="center" wrapText="1"/>
    </xf>
    <xf numFmtId="164" fontId="1" fillId="2" borderId="72" xfId="4" applyNumberFormat="1" applyFont="1" applyFill="1" applyBorder="1" applyAlignment="1">
      <alignment horizontal="center" vertical="center" wrapText="1"/>
    </xf>
    <xf numFmtId="164" fontId="25" fillId="2" borderId="61" xfId="4" applyNumberFormat="1" applyFont="1" applyFill="1" applyBorder="1" applyAlignment="1" applyProtection="1">
      <alignment horizontal="center" vertical="center" wrapText="1"/>
    </xf>
    <xf numFmtId="0" fontId="107" fillId="44" borderId="2" xfId="0" applyFont="1" applyFill="1" applyBorder="1" applyAlignment="1">
      <alignment horizontal="center" vertical="center"/>
    </xf>
    <xf numFmtId="0" fontId="107" fillId="44" borderId="3" xfId="0" applyFont="1" applyFill="1" applyBorder="1" applyAlignment="1">
      <alignment horizontal="center" vertical="center"/>
    </xf>
    <xf numFmtId="0" fontId="107" fillId="44" borderId="48" xfId="0" applyFont="1" applyFill="1" applyBorder="1" applyAlignment="1">
      <alignment horizontal="center" vertical="center"/>
    </xf>
    <xf numFmtId="0" fontId="107" fillId="44" borderId="16" xfId="0" applyFont="1" applyFill="1" applyBorder="1" applyAlignment="1">
      <alignment horizontal="center" vertical="center"/>
    </xf>
    <xf numFmtId="0" fontId="106" fillId="3" borderId="51" xfId="3" applyNumberFormat="1" applyFont="1" applyFill="1" applyBorder="1" applyAlignment="1">
      <alignment horizontal="left" vertical="center" wrapText="1"/>
    </xf>
    <xf numFmtId="0" fontId="106" fillId="3" borderId="42" xfId="3" applyNumberFormat="1" applyFont="1" applyFill="1" applyBorder="1" applyAlignment="1">
      <alignment horizontal="left" vertical="center" wrapText="1"/>
    </xf>
    <xf numFmtId="0" fontId="108" fillId="22" borderId="5" xfId="0" applyFont="1" applyFill="1" applyBorder="1" applyAlignment="1">
      <alignment horizontal="center" vertical="center"/>
    </xf>
    <xf numFmtId="0" fontId="108" fillId="22" borderId="6" xfId="0" applyFont="1" applyFill="1" applyBorder="1" applyAlignment="1">
      <alignment horizontal="center" vertical="center"/>
    </xf>
    <xf numFmtId="0" fontId="4" fillId="9" borderId="7" xfId="0" applyFont="1" applyFill="1" applyBorder="1" applyAlignment="1" applyProtection="1">
      <alignment horizontal="center" vertical="center"/>
      <protection hidden="1"/>
    </xf>
    <xf numFmtId="0" fontId="4" fillId="9" borderId="8" xfId="0" applyFont="1" applyFill="1" applyBorder="1" applyAlignment="1" applyProtection="1">
      <alignment horizontal="center" vertical="center"/>
      <protection hidden="1"/>
    </xf>
    <xf numFmtId="0" fontId="17" fillId="0" borderId="5" xfId="0" applyFont="1" applyBorder="1" applyAlignment="1">
      <alignment horizontal="center" vertical="center"/>
    </xf>
    <xf numFmtId="0" fontId="17" fillId="0" borderId="1" xfId="0" applyFont="1" applyBorder="1" applyAlignment="1">
      <alignment horizontal="center" vertical="center"/>
    </xf>
    <xf numFmtId="0" fontId="31" fillId="2" borderId="18" xfId="0" applyFont="1" applyFill="1" applyBorder="1" applyAlignment="1">
      <alignment horizontal="center" vertical="center"/>
    </xf>
    <xf numFmtId="0" fontId="31" fillId="2" borderId="52" xfId="0" applyFont="1" applyFill="1" applyBorder="1" applyAlignment="1">
      <alignment horizontal="center" vertical="center"/>
    </xf>
    <xf numFmtId="0" fontId="31" fillId="2" borderId="24" xfId="0" applyFont="1" applyFill="1" applyBorder="1" applyAlignment="1">
      <alignment horizontal="center" vertical="center"/>
    </xf>
    <xf numFmtId="0" fontId="31" fillId="2" borderId="53"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52"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53" xfId="0" applyFont="1" applyFill="1" applyBorder="1" applyAlignment="1">
      <alignment horizontal="center" vertical="center"/>
    </xf>
    <xf numFmtId="0" fontId="97" fillId="2" borderId="61" xfId="0" applyFont="1" applyFill="1" applyBorder="1" applyAlignment="1">
      <alignment horizontal="center" vertical="center"/>
    </xf>
    <xf numFmtId="0" fontId="97" fillId="2" borderId="63" xfId="0" applyFont="1" applyFill="1" applyBorder="1" applyAlignment="1">
      <alignment horizontal="center" vertical="center"/>
    </xf>
    <xf numFmtId="0" fontId="4" fillId="9" borderId="2" xfId="0" applyFont="1" applyFill="1" applyBorder="1" applyAlignment="1" applyProtection="1">
      <alignment horizontal="center" vertical="center"/>
      <protection hidden="1"/>
    </xf>
    <xf numFmtId="0" fontId="4" fillId="9" borderId="3" xfId="0" applyFont="1" applyFill="1" applyBorder="1" applyAlignment="1" applyProtection="1">
      <alignment horizontal="center" vertical="center"/>
      <protection hidden="1"/>
    </xf>
    <xf numFmtId="0" fontId="105" fillId="0" borderId="3" xfId="0" applyFont="1" applyBorder="1" applyAlignment="1" applyProtection="1">
      <alignment horizontal="center" vertical="center"/>
      <protection hidden="1"/>
    </xf>
    <xf numFmtId="0" fontId="105" fillId="0" borderId="4" xfId="0" applyFont="1" applyBorder="1" applyAlignment="1" applyProtection="1">
      <alignment horizontal="center" vertical="center"/>
      <protection hidden="1"/>
    </xf>
    <xf numFmtId="0" fontId="4" fillId="9" borderId="18" xfId="0" applyFont="1" applyFill="1" applyBorder="1" applyAlignment="1">
      <alignment horizontal="center" vertical="center"/>
    </xf>
    <xf numFmtId="0" fontId="4" fillId="9" borderId="53" xfId="0" applyFont="1" applyFill="1" applyBorder="1" applyAlignment="1">
      <alignment horizontal="center" vertical="center"/>
    </xf>
    <xf numFmtId="0" fontId="0" fillId="0" borderId="0" xfId="0" applyAlignment="1">
      <alignment horizontal="center" vertical="center"/>
    </xf>
    <xf numFmtId="0" fontId="17" fillId="6" borderId="28" xfId="0" applyFont="1" applyFill="1" applyBorder="1" applyAlignment="1">
      <alignment horizontal="left" vertical="center"/>
    </xf>
    <xf numFmtId="0" fontId="17" fillId="6" borderId="0" xfId="0" applyFont="1" applyFill="1" applyAlignment="1">
      <alignment horizontal="left" vertical="center"/>
    </xf>
    <xf numFmtId="0" fontId="17" fillId="6" borderId="15" xfId="0" applyFont="1" applyFill="1" applyBorder="1" applyAlignment="1">
      <alignment horizontal="left" vertical="center"/>
    </xf>
    <xf numFmtId="0" fontId="17" fillId="6" borderId="18" xfId="0" applyFont="1" applyFill="1" applyBorder="1" applyAlignment="1">
      <alignment horizontal="left" vertical="center" wrapText="1"/>
    </xf>
    <xf numFmtId="0" fontId="17" fillId="6" borderId="52" xfId="0" applyFont="1" applyFill="1" applyBorder="1" applyAlignment="1">
      <alignment horizontal="left" vertical="center" wrapText="1"/>
    </xf>
    <xf numFmtId="0" fontId="17" fillId="6" borderId="53" xfId="0" applyFont="1" applyFill="1" applyBorder="1" applyAlignment="1">
      <alignment horizontal="left" vertical="center" wrapText="1"/>
    </xf>
    <xf numFmtId="164" fontId="25" fillId="13" borderId="26" xfId="0" applyNumberFormat="1" applyFont="1" applyFill="1" applyBorder="1" applyAlignment="1">
      <alignment horizontal="center" vertical="center"/>
    </xf>
    <xf numFmtId="0" fontId="17" fillId="6" borderId="24" xfId="0" applyFont="1" applyFill="1" applyBorder="1" applyAlignment="1">
      <alignment horizontal="left" vertical="center"/>
    </xf>
    <xf numFmtId="0" fontId="17" fillId="6" borderId="30" xfId="0" applyFont="1" applyFill="1" applyBorder="1" applyAlignment="1">
      <alignment horizontal="left" vertical="center"/>
    </xf>
    <xf numFmtId="44" fontId="97" fillId="2" borderId="61" xfId="11" applyNumberFormat="1" applyFont="1" applyFill="1" applyBorder="1" applyAlignment="1" applyProtection="1">
      <alignment horizontal="center" vertical="center" wrapText="1"/>
      <protection hidden="1"/>
    </xf>
    <xf numFmtId="44" fontId="97" fillId="2" borderId="63" xfId="11" applyNumberFormat="1" applyFont="1" applyFill="1" applyBorder="1" applyAlignment="1" applyProtection="1">
      <alignment horizontal="center" vertical="center" wrapText="1"/>
      <protection hidden="1"/>
    </xf>
    <xf numFmtId="0" fontId="108" fillId="22" borderId="7" xfId="0" applyFont="1" applyFill="1" applyBorder="1" applyAlignment="1">
      <alignment horizontal="center" vertical="center"/>
    </xf>
    <xf numFmtId="0" fontId="108" fillId="22" borderId="9" xfId="0" applyFont="1" applyFill="1" applyBorder="1" applyAlignment="1">
      <alignment horizontal="center" vertical="center"/>
    </xf>
    <xf numFmtId="0" fontId="107" fillId="44" borderId="26" xfId="0" applyFont="1" applyFill="1" applyBorder="1" applyAlignment="1">
      <alignment horizontal="center" vertical="center"/>
    </xf>
    <xf numFmtId="0" fontId="107" fillId="44" borderId="21" xfId="0" applyFont="1" applyFill="1" applyBorder="1" applyAlignment="1">
      <alignment horizontal="center" vertical="center"/>
    </xf>
    <xf numFmtId="0" fontId="107" fillId="44" borderId="23" xfId="0" applyFont="1" applyFill="1" applyBorder="1" applyAlignment="1">
      <alignment horizontal="center" vertical="center"/>
    </xf>
    <xf numFmtId="0" fontId="107" fillId="44" borderId="24" xfId="0" applyFont="1" applyFill="1" applyBorder="1" applyAlignment="1">
      <alignment horizontal="center" vertical="center"/>
    </xf>
    <xf numFmtId="0" fontId="110" fillId="34" borderId="18" xfId="4" quotePrefix="1" applyFont="1" applyFill="1" applyBorder="1" applyAlignment="1" applyProtection="1">
      <alignment horizontal="center"/>
      <protection locked="0"/>
    </xf>
    <xf numFmtId="0" fontId="110" fillId="34" borderId="52" xfId="4" quotePrefix="1" applyFont="1" applyFill="1" applyBorder="1" applyAlignment="1" applyProtection="1">
      <alignment horizontal="center"/>
      <protection locked="0"/>
    </xf>
    <xf numFmtId="0" fontId="110" fillId="34" borderId="53" xfId="4" quotePrefix="1" applyFont="1" applyFill="1" applyBorder="1" applyAlignment="1" applyProtection="1">
      <alignment horizontal="center"/>
      <protection locked="0"/>
    </xf>
    <xf numFmtId="0" fontId="108" fillId="22" borderId="2" xfId="0" applyFont="1" applyFill="1" applyBorder="1" applyAlignment="1">
      <alignment horizontal="center" vertical="center"/>
    </xf>
    <xf numFmtId="0" fontId="108" fillId="22" borderId="4" xfId="0" applyFont="1" applyFill="1" applyBorder="1" applyAlignment="1">
      <alignment horizontal="center" vertical="center"/>
    </xf>
    <xf numFmtId="0" fontId="108" fillId="7" borderId="5" xfId="0" applyFont="1" applyFill="1" applyBorder="1" applyAlignment="1">
      <alignment horizontal="center" vertical="center"/>
    </xf>
    <xf numFmtId="0" fontId="108" fillId="7" borderId="1" xfId="0" applyFont="1" applyFill="1" applyBorder="1" applyAlignment="1">
      <alignment horizontal="center" vertical="center"/>
    </xf>
    <xf numFmtId="0" fontId="108" fillId="7" borderId="6" xfId="0" applyFont="1" applyFill="1" applyBorder="1" applyAlignment="1">
      <alignment horizontal="center" vertical="center"/>
    </xf>
    <xf numFmtId="0" fontId="108" fillId="7" borderId="10" xfId="0" applyFont="1" applyFill="1" applyBorder="1" applyAlignment="1">
      <alignment horizontal="center" vertical="center"/>
    </xf>
    <xf numFmtId="0" fontId="108" fillId="7" borderId="11" xfId="0" applyFont="1" applyFill="1" applyBorder="1" applyAlignment="1">
      <alignment horizontal="center" vertical="center"/>
    </xf>
    <xf numFmtId="0" fontId="108" fillId="7" borderId="34" xfId="0" applyFont="1" applyFill="1" applyBorder="1" applyAlignment="1">
      <alignment horizontal="center" vertical="center"/>
    </xf>
    <xf numFmtId="0" fontId="2" fillId="7" borderId="5" xfId="0" applyFont="1" applyFill="1" applyBorder="1" applyAlignment="1">
      <alignment horizontal="center"/>
    </xf>
    <xf numFmtId="0" fontId="2" fillId="7" borderId="1" xfId="0" applyFont="1" applyFill="1" applyBorder="1" applyAlignment="1">
      <alignment horizontal="center"/>
    </xf>
    <xf numFmtId="0" fontId="2" fillId="7" borderId="6" xfId="0" applyFont="1" applyFill="1" applyBorder="1" applyAlignment="1">
      <alignment horizontal="center"/>
    </xf>
    <xf numFmtId="0" fontId="2" fillId="7" borderId="49" xfId="0" applyFont="1" applyFill="1" applyBorder="1" applyAlignment="1">
      <alignment horizontal="center"/>
    </xf>
    <xf numFmtId="0" fontId="2" fillId="7" borderId="46" xfId="0" applyFont="1" applyFill="1" applyBorder="1" applyAlignment="1">
      <alignment horizontal="center"/>
    </xf>
    <xf numFmtId="0" fontId="2" fillId="7" borderId="43" xfId="0" applyFont="1" applyFill="1" applyBorder="1" applyAlignment="1">
      <alignment horizontal="center"/>
    </xf>
    <xf numFmtId="0" fontId="2" fillId="12" borderId="8" xfId="0" applyFont="1" applyFill="1" applyBorder="1" applyAlignment="1">
      <alignment horizontal="center"/>
    </xf>
    <xf numFmtId="0" fontId="2" fillId="12" borderId="9" xfId="0" applyFont="1" applyFill="1" applyBorder="1" applyAlignment="1">
      <alignment horizontal="center"/>
    </xf>
    <xf numFmtId="0" fontId="108" fillId="12" borderId="1" xfId="0" applyFont="1" applyFill="1" applyBorder="1" applyAlignment="1">
      <alignment horizontal="center" vertical="center"/>
    </xf>
    <xf numFmtId="0" fontId="108" fillId="12" borderId="6" xfId="0" applyFont="1" applyFill="1" applyBorder="1" applyAlignment="1">
      <alignment horizontal="center" vertical="center"/>
    </xf>
    <xf numFmtId="0" fontId="2" fillId="0" borderId="8" xfId="0" applyFont="1" applyBorder="1" applyAlignment="1">
      <alignment horizontal="center"/>
    </xf>
    <xf numFmtId="0" fontId="108" fillId="0" borderId="1" xfId="0" applyFont="1" applyBorder="1" applyAlignment="1">
      <alignment horizontal="center" vertical="center"/>
    </xf>
    <xf numFmtId="0" fontId="107" fillId="44" borderId="70" xfId="0" applyFont="1" applyFill="1" applyBorder="1" applyAlignment="1">
      <alignment horizontal="center" vertical="center"/>
    </xf>
    <xf numFmtId="0" fontId="107" fillId="44" borderId="27" xfId="0" applyFont="1" applyFill="1" applyBorder="1" applyAlignment="1">
      <alignment horizontal="center" vertical="center"/>
    </xf>
    <xf numFmtId="0" fontId="107" fillId="44" borderId="80" xfId="0" applyFont="1" applyFill="1" applyBorder="1" applyAlignment="1">
      <alignment horizontal="center" vertical="center"/>
    </xf>
    <xf numFmtId="0" fontId="107" fillId="44" borderId="30" xfId="0" applyFont="1" applyFill="1" applyBorder="1" applyAlignment="1">
      <alignment horizontal="center" vertical="center"/>
    </xf>
    <xf numFmtId="0" fontId="2" fillId="12" borderId="3" xfId="0" applyFont="1" applyFill="1" applyBorder="1" applyAlignment="1">
      <alignment horizontal="center"/>
    </xf>
    <xf numFmtId="0" fontId="2" fillId="12" borderId="4" xfId="0" applyFont="1" applyFill="1" applyBorder="1" applyAlignment="1">
      <alignment horizontal="center"/>
    </xf>
    <xf numFmtId="0" fontId="2" fillId="12" borderId="1" xfId="0" applyFont="1" applyFill="1" applyBorder="1" applyAlignment="1">
      <alignment horizontal="center"/>
    </xf>
    <xf numFmtId="0" fontId="2" fillId="12" borderId="6" xfId="0" applyFont="1" applyFill="1" applyBorder="1" applyAlignment="1">
      <alignment horizontal="center"/>
    </xf>
    <xf numFmtId="0" fontId="2" fillId="0" borderId="1" xfId="0" applyFont="1" applyBorder="1" applyAlignment="1">
      <alignment horizontal="center"/>
    </xf>
    <xf numFmtId="0" fontId="108" fillId="0" borderId="3" xfId="0" applyFont="1" applyBorder="1" applyAlignment="1">
      <alignment horizontal="center" vertical="center" wrapText="1"/>
    </xf>
    <xf numFmtId="0" fontId="108" fillId="7" borderId="8" xfId="0" applyFont="1" applyFill="1" applyBorder="1" applyAlignment="1">
      <alignment horizontal="center" vertical="center"/>
    </xf>
    <xf numFmtId="0" fontId="107" fillId="44" borderId="16" xfId="0" applyFont="1" applyFill="1" applyBorder="1" applyAlignment="1">
      <alignment horizontal="center" vertical="center" wrapText="1"/>
    </xf>
    <xf numFmtId="0" fontId="108" fillId="7" borderId="3" xfId="0" applyFont="1" applyFill="1" applyBorder="1" applyAlignment="1">
      <alignment horizontal="center" vertical="center"/>
    </xf>
    <xf numFmtId="0" fontId="108" fillId="22" borderId="1" xfId="0" applyFont="1" applyFill="1" applyBorder="1" applyAlignment="1">
      <alignment horizontal="center" vertical="center"/>
    </xf>
    <xf numFmtId="0" fontId="108" fillId="22" borderId="8" xfId="0" applyFont="1" applyFill="1" applyBorder="1" applyAlignment="1">
      <alignment horizontal="center" vertical="center"/>
    </xf>
    <xf numFmtId="44" fontId="25" fillId="2" borderId="62" xfId="0" applyNumberFormat="1" applyFont="1" applyFill="1" applyBorder="1" applyAlignment="1">
      <alignment horizontal="center" vertical="center" wrapText="1"/>
    </xf>
    <xf numFmtId="164" fontId="25" fillId="2" borderId="61" xfId="0" applyNumberFormat="1" applyFont="1" applyFill="1" applyBorder="1" applyAlignment="1" applyProtection="1">
      <alignment horizontal="center" vertical="center" wrapText="1"/>
      <protection hidden="1"/>
    </xf>
    <xf numFmtId="164" fontId="25" fillId="2" borderId="62" xfId="0" applyNumberFormat="1" applyFont="1" applyFill="1" applyBorder="1" applyAlignment="1" applyProtection="1">
      <alignment horizontal="center" vertical="center" wrapText="1"/>
      <protection hidden="1"/>
    </xf>
    <xf numFmtId="164" fontId="25" fillId="2" borderId="63" xfId="0" applyNumberFormat="1" applyFont="1" applyFill="1" applyBorder="1" applyAlignment="1" applyProtection="1">
      <alignment horizontal="center" vertical="center" wrapText="1"/>
      <protection hidden="1"/>
    </xf>
    <xf numFmtId="0" fontId="97" fillId="2" borderId="61" xfId="0" applyFont="1" applyFill="1" applyBorder="1" applyAlignment="1">
      <alignment horizontal="center" vertical="center" wrapText="1"/>
    </xf>
    <xf numFmtId="0" fontId="97" fillId="2" borderId="27" xfId="0" applyFont="1" applyFill="1" applyBorder="1" applyAlignment="1">
      <alignment horizontal="center" vertical="center"/>
    </xf>
    <xf numFmtId="0" fontId="25" fillId="6" borderId="27" xfId="0" applyFont="1" applyFill="1" applyBorder="1" applyAlignment="1">
      <alignment horizontal="center" vertical="center" wrapText="1"/>
    </xf>
    <xf numFmtId="0" fontId="17" fillId="13" borderId="18" xfId="0" applyFont="1" applyFill="1" applyBorder="1" applyAlignment="1">
      <alignment horizontal="center" vertical="center"/>
    </xf>
    <xf numFmtId="0" fontId="17" fillId="13" borderId="47" xfId="0" applyFont="1" applyFill="1" applyBorder="1" applyAlignment="1">
      <alignment horizontal="center" vertical="center"/>
    </xf>
    <xf numFmtId="44" fontId="25" fillId="2" borderId="61" xfId="0" applyNumberFormat="1" applyFont="1" applyFill="1" applyBorder="1" applyAlignment="1">
      <alignment horizontal="center" vertical="center" wrapText="1"/>
    </xf>
    <xf numFmtId="0" fontId="25" fillId="2" borderId="15" xfId="0" applyFont="1" applyFill="1" applyBorder="1" applyAlignment="1">
      <alignment horizontal="center" vertical="center" wrapText="1"/>
    </xf>
    <xf numFmtId="0" fontId="97" fillId="2" borderId="62" xfId="0" applyFont="1" applyFill="1" applyBorder="1" applyAlignment="1">
      <alignment horizontal="center" vertical="center" wrapText="1"/>
    </xf>
    <xf numFmtId="44" fontId="25" fillId="2" borderId="15" xfId="0" applyNumberFormat="1" applyFont="1" applyFill="1" applyBorder="1" applyAlignment="1">
      <alignment horizontal="center" vertical="center" wrapText="1"/>
    </xf>
    <xf numFmtId="0" fontId="0" fillId="11" borderId="61" xfId="0" applyFill="1" applyBorder="1" applyAlignment="1">
      <alignment horizontal="left" vertical="center"/>
    </xf>
    <xf numFmtId="0" fontId="0" fillId="11" borderId="63" xfId="0" applyFill="1" applyBorder="1" applyAlignment="1">
      <alignment horizontal="left" vertical="center"/>
    </xf>
    <xf numFmtId="0" fontId="17" fillId="6" borderId="47" xfId="0" applyFont="1" applyFill="1" applyBorder="1" applyAlignment="1">
      <alignment horizontal="left" vertical="center"/>
    </xf>
    <xf numFmtId="164" fontId="25" fillId="13" borderId="84" xfId="0" applyNumberFormat="1" applyFont="1" applyFill="1" applyBorder="1" applyAlignment="1">
      <alignment horizontal="center" vertical="center"/>
    </xf>
    <xf numFmtId="164" fontId="25" fillId="13" borderId="94" xfId="0" applyNumberFormat="1" applyFont="1" applyFill="1" applyBorder="1" applyAlignment="1">
      <alignment horizontal="center" vertical="center"/>
    </xf>
    <xf numFmtId="164" fontId="25" fillId="13" borderId="95" xfId="0" applyNumberFormat="1" applyFont="1" applyFill="1" applyBorder="1" applyAlignment="1">
      <alignment horizontal="center" vertical="center"/>
    </xf>
    <xf numFmtId="0" fontId="20" fillId="0" borderId="26" xfId="0" applyFont="1"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0" fontId="31" fillId="9" borderId="49" xfId="0" applyFont="1" applyFill="1" applyBorder="1" applyAlignment="1">
      <alignment horizontal="left" vertical="center"/>
    </xf>
    <xf numFmtId="0" fontId="31" fillId="9" borderId="69" xfId="0" applyFont="1" applyFill="1" applyBorder="1" applyAlignment="1">
      <alignment horizontal="left" vertical="center"/>
    </xf>
    <xf numFmtId="0" fontId="31" fillId="9" borderId="5" xfId="0" applyFont="1" applyFill="1" applyBorder="1" applyAlignment="1">
      <alignment horizontal="left" vertical="center"/>
    </xf>
    <xf numFmtId="0" fontId="31" fillId="9" borderId="37" xfId="0" applyFont="1" applyFill="1" applyBorder="1" applyAlignment="1">
      <alignment horizontal="left" vertical="center"/>
    </xf>
    <xf numFmtId="0" fontId="3" fillId="0" borderId="2" xfId="0" applyFont="1" applyBorder="1" applyAlignment="1">
      <alignment horizontal="left" vertical="center"/>
    </xf>
    <xf numFmtId="0" fontId="3" fillId="0" borderId="56" xfId="0" applyFont="1" applyBorder="1" applyAlignment="1">
      <alignment horizontal="left" vertical="center"/>
    </xf>
    <xf numFmtId="0" fontId="3" fillId="0" borderId="5" xfId="0" applyFont="1" applyBorder="1" applyAlignment="1">
      <alignment horizontal="left" vertical="center"/>
    </xf>
    <xf numFmtId="0" fontId="3" fillId="0" borderId="58" xfId="0" applyFont="1" applyBorder="1" applyAlignment="1">
      <alignment horizontal="left" vertical="center"/>
    </xf>
    <xf numFmtId="0" fontId="31" fillId="9" borderId="2" xfId="0" applyFont="1" applyFill="1" applyBorder="1" applyAlignment="1">
      <alignment horizontal="left" vertical="center"/>
    </xf>
    <xf numFmtId="0" fontId="31" fillId="9" borderId="39" xfId="0" applyFont="1" applyFill="1" applyBorder="1" applyAlignment="1">
      <alignment horizontal="left" vertical="center"/>
    </xf>
    <xf numFmtId="44" fontId="0" fillId="6" borderId="52" xfId="0" applyNumberFormat="1" applyFill="1" applyBorder="1" applyAlignment="1">
      <alignment horizontal="center" vertical="center" wrapText="1"/>
    </xf>
    <xf numFmtId="44" fontId="0" fillId="6" borderId="18" xfId="0" applyNumberFormat="1" applyFill="1" applyBorder="1" applyAlignment="1">
      <alignment horizontal="center" vertical="center" wrapText="1"/>
    </xf>
    <xf numFmtId="44" fontId="0" fillId="6" borderId="47" xfId="0" applyNumberFormat="1" applyFill="1" applyBorder="1" applyAlignment="1">
      <alignment horizontal="center" vertical="center" wrapText="1"/>
    </xf>
    <xf numFmtId="0" fontId="31" fillId="9" borderId="7" xfId="0" applyFont="1" applyFill="1" applyBorder="1" applyAlignment="1">
      <alignment horizontal="left" vertical="center"/>
    </xf>
    <xf numFmtId="0" fontId="31" fillId="9" borderId="40" xfId="0" applyFont="1" applyFill="1" applyBorder="1" applyAlignment="1">
      <alignment horizontal="left" vertical="center"/>
    </xf>
    <xf numFmtId="0" fontId="31" fillId="9" borderId="76" xfId="0" applyFont="1" applyFill="1" applyBorder="1" applyAlignment="1">
      <alignment horizontal="left" vertical="center"/>
    </xf>
    <xf numFmtId="0" fontId="31" fillId="9" borderId="64" xfId="0" applyFont="1" applyFill="1" applyBorder="1" applyAlignment="1">
      <alignment horizontal="left" vertical="center"/>
    </xf>
    <xf numFmtId="0" fontId="31" fillId="9" borderId="51" xfId="0" applyFont="1" applyFill="1" applyBorder="1" applyAlignment="1">
      <alignment horizontal="left" vertical="center"/>
    </xf>
    <xf numFmtId="0" fontId="31" fillId="9" borderId="38" xfId="0" applyFont="1" applyFill="1" applyBorder="1" applyAlignment="1">
      <alignment horizontal="left" vertical="center"/>
    </xf>
    <xf numFmtId="164" fontId="25" fillId="2" borderId="61" xfId="0" applyNumberFormat="1" applyFont="1" applyFill="1" applyBorder="1" applyAlignment="1">
      <alignment horizontal="center" vertical="center" wrapText="1"/>
    </xf>
    <xf numFmtId="44" fontId="17" fillId="13" borderId="18" xfId="0" applyNumberFormat="1" applyFont="1" applyFill="1" applyBorder="1" applyAlignment="1">
      <alignment horizontal="center" vertical="center"/>
    </xf>
    <xf numFmtId="44" fontId="17" fillId="13" borderId="47" xfId="0" applyNumberFormat="1" applyFont="1" applyFill="1" applyBorder="1" applyAlignment="1">
      <alignment horizontal="center" vertical="center"/>
    </xf>
    <xf numFmtId="0" fontId="0" fillId="0" borderId="24" xfId="0" applyBorder="1" applyAlignment="1">
      <alignment horizontal="center" vertical="center"/>
    </xf>
    <xf numFmtId="0" fontId="0" fillId="0" borderId="23" xfId="0" applyBorder="1" applyAlignment="1">
      <alignment horizontal="center" vertical="center"/>
    </xf>
    <xf numFmtId="0" fontId="31" fillId="9" borderId="18" xfId="0" applyFont="1" applyFill="1" applyBorder="1" applyAlignment="1">
      <alignment horizontal="center" vertical="center" wrapText="1"/>
    </xf>
    <xf numFmtId="0" fontId="31" fillId="9" borderId="52" xfId="0" applyFont="1" applyFill="1" applyBorder="1" applyAlignment="1">
      <alignment horizontal="center" vertical="center" wrapText="1"/>
    </xf>
    <xf numFmtId="0" fontId="31" fillId="9" borderId="53" xfId="0" applyFont="1" applyFill="1" applyBorder="1" applyAlignment="1">
      <alignment horizontal="center" vertical="center" wrapText="1"/>
    </xf>
    <xf numFmtId="0" fontId="75" fillId="3" borderId="18" xfId="0" applyFont="1" applyFill="1" applyBorder="1" applyAlignment="1">
      <alignment horizontal="center" vertical="center" wrapText="1"/>
    </xf>
    <xf numFmtId="0" fontId="75" fillId="3" borderId="47" xfId="0" applyFont="1" applyFill="1" applyBorder="1" applyAlignment="1">
      <alignment horizontal="center" vertical="center" wrapText="1"/>
    </xf>
    <xf numFmtId="0" fontId="17" fillId="0" borderId="4" xfId="0" applyFont="1" applyBorder="1" applyAlignment="1">
      <alignment horizontal="center" vertical="center" wrapText="1"/>
    </xf>
    <xf numFmtId="0" fontId="17" fillId="0" borderId="3" xfId="0" applyFont="1" applyBorder="1" applyAlignment="1">
      <alignment horizontal="center" vertical="center" wrapText="1"/>
    </xf>
    <xf numFmtId="164" fontId="30" fillId="6" borderId="72" xfId="0" applyNumberFormat="1" applyFont="1" applyFill="1" applyBorder="1" applyAlignment="1" applyProtection="1">
      <alignment horizontal="center" vertical="center" wrapText="1"/>
      <protection locked="0"/>
    </xf>
    <xf numFmtId="0" fontId="31" fillId="4" borderId="18" xfId="0" applyFont="1" applyFill="1" applyBorder="1" applyAlignment="1">
      <alignment horizontal="center" vertical="center"/>
    </xf>
    <xf numFmtId="0" fontId="31" fillId="4" borderId="52" xfId="0" applyFont="1" applyFill="1" applyBorder="1" applyAlignment="1">
      <alignment horizontal="center" vertical="center"/>
    </xf>
    <xf numFmtId="0" fontId="31" fillId="4" borderId="53" xfId="0" applyFont="1" applyFill="1" applyBorder="1" applyAlignment="1">
      <alignment horizontal="center" vertical="center"/>
    </xf>
    <xf numFmtId="0" fontId="31" fillId="9" borderId="46" xfId="0" applyFont="1" applyFill="1" applyBorder="1" applyAlignment="1">
      <alignment horizontal="left" vertical="center"/>
    </xf>
    <xf numFmtId="0" fontId="31" fillId="9" borderId="18" xfId="0" applyFont="1" applyFill="1" applyBorder="1" applyAlignment="1">
      <alignment horizontal="left" vertical="center"/>
    </xf>
    <xf numFmtId="0" fontId="31" fillId="9" borderId="52" xfId="0" applyFont="1" applyFill="1" applyBorder="1" applyAlignment="1">
      <alignment horizontal="left" vertical="center"/>
    </xf>
    <xf numFmtId="0" fontId="31" fillId="9" borderId="12" xfId="0" applyFont="1" applyFill="1" applyBorder="1" applyAlignment="1">
      <alignment horizontal="left" vertical="center"/>
    </xf>
    <xf numFmtId="0" fontId="31" fillId="9" borderId="68" xfId="0" applyFont="1" applyFill="1" applyBorder="1" applyAlignment="1">
      <alignment horizontal="left" vertical="center"/>
    </xf>
    <xf numFmtId="0" fontId="31" fillId="9" borderId="41" xfId="0" applyFont="1" applyFill="1" applyBorder="1" applyAlignment="1">
      <alignment horizontal="left" vertical="center"/>
    </xf>
    <xf numFmtId="0" fontId="4" fillId="13" borderId="65" xfId="0" applyFont="1" applyFill="1" applyBorder="1" applyAlignment="1">
      <alignment horizontal="center" vertical="center" wrapText="1"/>
    </xf>
    <xf numFmtId="0" fontId="16" fillId="2" borderId="61" xfId="0" quotePrefix="1" applyFont="1" applyFill="1" applyBorder="1" applyAlignment="1" applyProtection="1">
      <alignment horizontal="center" vertical="center" wrapText="1"/>
      <protection hidden="1"/>
    </xf>
    <xf numFmtId="0" fontId="16" fillId="2" borderId="62" xfId="0" quotePrefix="1" applyFont="1" applyFill="1" applyBorder="1" applyAlignment="1" applyProtection="1">
      <alignment horizontal="center" vertical="center" wrapText="1"/>
      <protection hidden="1"/>
    </xf>
    <xf numFmtId="0" fontId="16" fillId="2" borderId="63" xfId="0" quotePrefix="1" applyFont="1" applyFill="1" applyBorder="1" applyAlignment="1" applyProtection="1">
      <alignment horizontal="center" vertical="center" wrapText="1"/>
      <protection hidden="1"/>
    </xf>
    <xf numFmtId="173" fontId="17" fillId="0" borderId="29" xfId="0" applyNumberFormat="1" applyFont="1" applyBorder="1" applyAlignment="1">
      <alignment horizontal="center" vertical="center" wrapText="1"/>
    </xf>
    <xf numFmtId="164" fontId="0" fillId="13" borderId="18" xfId="0" applyNumberFormat="1" applyFill="1" applyBorder="1" applyAlignment="1">
      <alignment horizontal="center" vertical="center"/>
    </xf>
    <xf numFmtId="164" fontId="0" fillId="13" borderId="47" xfId="0" applyNumberFormat="1" applyFill="1" applyBorder="1" applyAlignment="1">
      <alignment horizontal="center" vertical="center"/>
    </xf>
    <xf numFmtId="0" fontId="4" fillId="13" borderId="18" xfId="0" applyFont="1" applyFill="1" applyBorder="1" applyAlignment="1">
      <alignment horizontal="center" vertical="center" wrapText="1"/>
    </xf>
    <xf numFmtId="0" fontId="4" fillId="13" borderId="71" xfId="0" applyFont="1" applyFill="1" applyBorder="1" applyAlignment="1">
      <alignment horizontal="center" vertical="center" wrapText="1"/>
    </xf>
    <xf numFmtId="0" fontId="17" fillId="0" borderId="12" xfId="0" applyFont="1" applyBorder="1" applyAlignment="1">
      <alignment horizontal="center" vertical="center" wrapText="1"/>
    </xf>
    <xf numFmtId="0" fontId="17" fillId="0" borderId="68" xfId="0" applyFont="1" applyBorder="1" applyAlignment="1">
      <alignment horizontal="center" vertical="center" wrapText="1"/>
    </xf>
    <xf numFmtId="0" fontId="17" fillId="0" borderId="49" xfId="0" applyFont="1" applyBorder="1" applyAlignment="1">
      <alignment horizontal="center" vertical="center" wrapText="1"/>
    </xf>
    <xf numFmtId="0" fontId="17" fillId="0" borderId="69" xfId="0" applyFont="1" applyBorder="1" applyAlignment="1">
      <alignment horizontal="center" vertical="center" wrapText="1"/>
    </xf>
    <xf numFmtId="0" fontId="18" fillId="2" borderId="59" xfId="0" applyFont="1" applyFill="1" applyBorder="1" applyAlignment="1">
      <alignment horizontal="center"/>
    </xf>
    <xf numFmtId="0" fontId="24" fillId="10" borderId="31" xfId="0" applyFont="1" applyFill="1" applyBorder="1" applyAlignment="1">
      <alignment horizontal="center" vertical="center"/>
    </xf>
    <xf numFmtId="0" fontId="24" fillId="10" borderId="47" xfId="0" applyFont="1" applyFill="1" applyBorder="1" applyAlignment="1">
      <alignment horizontal="center" vertical="center"/>
    </xf>
    <xf numFmtId="0" fontId="97" fillId="2" borderId="73" xfId="0" applyFont="1" applyFill="1" applyBorder="1" applyAlignment="1" applyProtection="1">
      <alignment horizontal="center" vertical="center" wrapText="1"/>
      <protection hidden="1"/>
    </xf>
    <xf numFmtId="0" fontId="24" fillId="14" borderId="31" xfId="0" applyFont="1" applyFill="1" applyBorder="1" applyAlignment="1">
      <alignment horizontal="center" vertical="center"/>
    </xf>
    <xf numFmtId="0" fontId="24" fillId="14" borderId="47" xfId="0" applyFont="1" applyFill="1" applyBorder="1" applyAlignment="1">
      <alignment horizontal="center" vertical="center"/>
    </xf>
    <xf numFmtId="164" fontId="25" fillId="2" borderId="75" xfId="0" applyNumberFormat="1" applyFont="1" applyFill="1" applyBorder="1" applyAlignment="1" applyProtection="1">
      <alignment horizontal="center" vertical="center" wrapText="1"/>
      <protection hidden="1"/>
    </xf>
    <xf numFmtId="164" fontId="1" fillId="2" borderId="62" xfId="4" applyNumberFormat="1" applyFont="1" applyFill="1" applyBorder="1" applyAlignment="1">
      <alignment horizontal="center" vertical="center" wrapText="1"/>
    </xf>
    <xf numFmtId="164" fontId="0" fillId="2" borderId="75" xfId="0" applyNumberFormat="1" applyFill="1" applyBorder="1" applyAlignment="1" applyProtection="1">
      <alignment horizontal="left" vertical="center" wrapText="1"/>
      <protection locked="0"/>
    </xf>
    <xf numFmtId="164" fontId="0" fillId="2" borderId="72" xfId="0" applyNumberFormat="1" applyFill="1" applyBorder="1" applyAlignment="1" applyProtection="1">
      <alignment horizontal="left" vertical="center" wrapText="1"/>
      <protection locked="0"/>
    </xf>
    <xf numFmtId="0" fontId="17" fillId="6" borderId="83" xfId="0" applyFont="1" applyFill="1" applyBorder="1" applyAlignment="1">
      <alignment horizontal="left" vertical="center"/>
    </xf>
    <xf numFmtId="0" fontId="17" fillId="6" borderId="102" xfId="0" applyFont="1" applyFill="1" applyBorder="1" applyAlignment="1">
      <alignment horizontal="left" vertical="center"/>
    </xf>
    <xf numFmtId="0" fontId="3" fillId="0" borderId="7" xfId="0" applyFont="1" applyBorder="1" applyAlignment="1">
      <alignment horizontal="left" vertical="center"/>
    </xf>
    <xf numFmtId="0" fontId="3" fillId="0" borderId="9" xfId="0" applyFont="1" applyBorder="1" applyAlignment="1">
      <alignment horizontal="left" vertical="center"/>
    </xf>
    <xf numFmtId="0" fontId="17" fillId="6" borderId="23" xfId="0" applyFont="1" applyFill="1" applyBorder="1" applyAlignment="1">
      <alignment horizontal="left" vertical="center"/>
    </xf>
    <xf numFmtId="0" fontId="4" fillId="16" borderId="18" xfId="0" applyFont="1" applyFill="1" applyBorder="1" applyAlignment="1">
      <alignment horizontal="center" vertical="center"/>
    </xf>
    <xf numFmtId="0" fontId="4" fillId="16" borderId="52" xfId="0" applyFont="1" applyFill="1" applyBorder="1" applyAlignment="1">
      <alignment horizontal="center" vertical="center"/>
    </xf>
    <xf numFmtId="0" fontId="4" fillId="16" borderId="53" xfId="0" applyFont="1" applyFill="1" applyBorder="1" applyAlignment="1">
      <alignment horizontal="center" vertical="center"/>
    </xf>
    <xf numFmtId="0" fontId="75" fillId="0" borderId="21" xfId="12" applyFont="1" applyBorder="1" applyAlignment="1" applyProtection="1">
      <alignment horizontal="center" vertical="center" wrapText="1"/>
      <protection hidden="1"/>
    </xf>
    <xf numFmtId="164" fontId="25" fillId="2" borderId="63" xfId="0" applyNumberFormat="1" applyFont="1" applyFill="1" applyBorder="1" applyAlignment="1">
      <alignment horizontal="center" vertical="center" wrapText="1"/>
    </xf>
    <xf numFmtId="164" fontId="1" fillId="2" borderId="75" xfId="4" applyNumberFormat="1" applyFont="1" applyFill="1" applyBorder="1" applyAlignment="1" applyProtection="1">
      <alignment horizontal="center" vertical="center" wrapText="1"/>
    </xf>
    <xf numFmtId="164" fontId="1" fillId="2" borderId="72" xfId="4" applyNumberFormat="1" applyFont="1" applyFill="1" applyBorder="1" applyAlignment="1" applyProtection="1">
      <alignment horizontal="center" vertical="center" wrapText="1"/>
    </xf>
    <xf numFmtId="0" fontId="25" fillId="2" borderId="75" xfId="0" applyFont="1" applyFill="1" applyBorder="1" applyAlignment="1">
      <alignment horizontal="center" vertical="center"/>
    </xf>
    <xf numFmtId="0" fontId="25" fillId="2" borderId="62" xfId="0" applyFont="1" applyFill="1" applyBorder="1" applyAlignment="1">
      <alignment horizontal="center" vertical="center"/>
    </xf>
    <xf numFmtId="0" fontId="25" fillId="2" borderId="72" xfId="0" applyFont="1" applyFill="1" applyBorder="1" applyAlignment="1">
      <alignment horizontal="center" vertical="center"/>
    </xf>
    <xf numFmtId="0" fontId="107" fillId="44" borderId="7" xfId="0" applyFont="1" applyFill="1" applyBorder="1" applyAlignment="1">
      <alignment horizontal="center" vertical="center"/>
    </xf>
    <xf numFmtId="0" fontId="4" fillId="16" borderId="26" xfId="0" applyFont="1" applyFill="1" applyBorder="1" applyAlignment="1">
      <alignment horizontal="center" vertical="center"/>
    </xf>
    <xf numFmtId="0" fontId="4" fillId="16" borderId="27" xfId="0" applyFont="1" applyFill="1" applyBorder="1" applyAlignment="1">
      <alignment horizontal="center" vertical="center"/>
    </xf>
    <xf numFmtId="0" fontId="4" fillId="16" borderId="28" xfId="0" applyFont="1" applyFill="1" applyBorder="1" applyAlignment="1">
      <alignment horizontal="center" vertical="center"/>
    </xf>
    <xf numFmtId="0" fontId="4" fillId="16" borderId="30" xfId="0" applyFont="1" applyFill="1" applyBorder="1" applyAlignment="1">
      <alignment horizontal="center" vertical="center"/>
    </xf>
    <xf numFmtId="0" fontId="4" fillId="6" borderId="18" xfId="0" applyFont="1" applyFill="1" applyBorder="1" applyAlignment="1">
      <alignment horizontal="center" vertical="center"/>
    </xf>
    <xf numFmtId="0" fontId="4" fillId="6" borderId="53" xfId="0" applyFont="1" applyFill="1" applyBorder="1" applyAlignment="1">
      <alignment horizontal="center" vertical="center"/>
    </xf>
    <xf numFmtId="0" fontId="0" fillId="13" borderId="71" xfId="0" applyFill="1" applyBorder="1" applyAlignment="1">
      <alignment vertical="center"/>
    </xf>
    <xf numFmtId="0" fontId="0" fillId="13" borderId="32" xfId="0" applyFill="1" applyBorder="1" applyAlignment="1">
      <alignment horizontal="center" vertical="center"/>
    </xf>
    <xf numFmtId="0" fontId="0" fillId="13" borderId="32" xfId="0" applyFill="1" applyBorder="1" applyAlignment="1">
      <alignment vertical="center"/>
    </xf>
    <xf numFmtId="0" fontId="25" fillId="13" borderId="32" xfId="0" applyFont="1" applyFill="1" applyBorder="1" applyAlignment="1">
      <alignment vertical="center"/>
    </xf>
    <xf numFmtId="0" fontId="0" fillId="13" borderId="33" xfId="0" applyFill="1" applyBorder="1" applyAlignment="1">
      <alignment vertical="center"/>
    </xf>
    <xf numFmtId="0" fontId="17" fillId="6" borderId="18" xfId="0" applyFont="1" applyFill="1" applyBorder="1" applyAlignment="1">
      <alignment vertical="center"/>
    </xf>
    <xf numFmtId="0" fontId="17" fillId="6" borderId="52" xfId="0" applyFont="1" applyFill="1" applyBorder="1" applyAlignment="1">
      <alignment vertical="center"/>
    </xf>
    <xf numFmtId="0" fontId="17" fillId="6" borderId="52" xfId="0" applyFont="1" applyFill="1" applyBorder="1" applyAlignment="1">
      <alignment horizontal="center" vertical="center"/>
    </xf>
    <xf numFmtId="164" fontId="1" fillId="2" borderId="62" xfId="4" applyNumberFormat="1" applyFont="1" applyFill="1" applyBorder="1" applyAlignment="1" applyProtection="1">
      <alignment horizontal="center" vertical="center" wrapText="1"/>
    </xf>
    <xf numFmtId="0" fontId="4" fillId="16" borderId="61" xfId="0" applyFont="1" applyFill="1" applyBorder="1" applyAlignment="1">
      <alignment horizontal="center" vertical="center" wrapText="1"/>
    </xf>
    <xf numFmtId="0" fontId="4" fillId="16" borderId="62" xfId="0" applyFont="1" applyFill="1" applyBorder="1" applyAlignment="1">
      <alignment horizontal="center" vertical="center" wrapText="1"/>
    </xf>
    <xf numFmtId="0" fontId="4" fillId="16" borderId="63" xfId="0" applyFont="1" applyFill="1" applyBorder="1" applyAlignment="1">
      <alignment horizontal="center" vertical="center" wrapText="1"/>
    </xf>
    <xf numFmtId="0" fontId="97" fillId="2" borderId="75" xfId="0" applyFont="1" applyFill="1" applyBorder="1" applyAlignment="1" applyProtection="1">
      <alignment horizontal="center" vertical="center" wrapText="1"/>
      <protection hidden="1"/>
    </xf>
    <xf numFmtId="0" fontId="97" fillId="2" borderId="72" xfId="0" applyFont="1" applyFill="1" applyBorder="1" applyAlignment="1" applyProtection="1">
      <alignment horizontal="center" vertical="center" wrapText="1"/>
      <protection hidden="1"/>
    </xf>
    <xf numFmtId="0" fontId="3" fillId="6" borderId="75" xfId="0" applyFont="1" applyFill="1" applyBorder="1" applyAlignment="1" applyProtection="1">
      <alignment horizontal="center" vertical="center" wrapText="1"/>
      <protection hidden="1"/>
    </xf>
    <xf numFmtId="0" fontId="3" fillId="6" borderId="62" xfId="0" applyFont="1" applyFill="1" applyBorder="1" applyAlignment="1" applyProtection="1">
      <alignment horizontal="center" vertical="center" wrapText="1"/>
      <protection hidden="1"/>
    </xf>
    <xf numFmtId="0" fontId="3" fillId="6" borderId="72" xfId="0" applyFont="1" applyFill="1" applyBorder="1" applyAlignment="1" applyProtection="1">
      <alignment horizontal="center" vertical="center" wrapText="1"/>
      <protection hidden="1"/>
    </xf>
    <xf numFmtId="0" fontId="9" fillId="13" borderId="18" xfId="4" applyFill="1" applyBorder="1" applyAlignment="1">
      <alignment horizontal="center" vertical="center"/>
    </xf>
    <xf numFmtId="0" fontId="17" fillId="13" borderId="52" xfId="0" applyFont="1" applyFill="1" applyBorder="1" applyAlignment="1">
      <alignment horizontal="center" vertical="center"/>
    </xf>
    <xf numFmtId="0" fontId="17" fillId="13" borderId="53" xfId="0" applyFont="1" applyFill="1" applyBorder="1" applyAlignment="1">
      <alignment horizontal="center" vertical="center"/>
    </xf>
    <xf numFmtId="0" fontId="109" fillId="0" borderId="18" xfId="12" applyFont="1" applyBorder="1" applyAlignment="1" applyProtection="1">
      <alignment horizontal="center" vertical="center" wrapText="1"/>
      <protection hidden="1"/>
    </xf>
    <xf numFmtId="0" fontId="109" fillId="0" borderId="52" xfId="12" applyFont="1" applyBorder="1" applyAlignment="1" applyProtection="1">
      <alignment horizontal="center" vertical="center" wrapText="1"/>
      <protection hidden="1"/>
    </xf>
    <xf numFmtId="0" fontId="108" fillId="22" borderId="3" xfId="0" applyFont="1" applyFill="1" applyBorder="1" applyAlignment="1">
      <alignment horizontal="center" vertical="center"/>
    </xf>
    <xf numFmtId="0" fontId="17" fillId="6" borderId="53" xfId="0" applyFont="1" applyFill="1" applyBorder="1" applyAlignment="1">
      <alignment vertical="center"/>
    </xf>
    <xf numFmtId="0" fontId="22" fillId="0" borderId="1" xfId="0" applyFont="1" applyBorder="1" applyAlignment="1" applyProtection="1">
      <alignment horizontal="center" vertical="center"/>
      <protection locked="0"/>
    </xf>
    <xf numFmtId="0" fontId="22" fillId="0" borderId="6" xfId="0" applyFont="1" applyBorder="1" applyAlignment="1" applyProtection="1">
      <alignment horizontal="center" vertical="center"/>
      <protection locked="0"/>
    </xf>
    <xf numFmtId="0" fontId="21" fillId="4" borderId="31" xfId="0" applyFont="1" applyFill="1" applyBorder="1" applyAlignment="1" applyProtection="1">
      <alignment horizontal="center"/>
      <protection hidden="1"/>
    </xf>
    <xf numFmtId="0" fontId="21" fillId="4" borderId="32" xfId="0" applyFont="1" applyFill="1" applyBorder="1" applyAlignment="1" applyProtection="1">
      <alignment horizontal="center"/>
      <protection hidden="1"/>
    </xf>
    <xf numFmtId="0" fontId="21" fillId="4" borderId="33" xfId="0" applyFont="1" applyFill="1" applyBorder="1" applyAlignment="1" applyProtection="1">
      <alignment horizontal="center"/>
      <protection hidden="1"/>
    </xf>
    <xf numFmtId="0" fontId="22" fillId="0" borderId="11" xfId="0" applyFont="1" applyBorder="1" applyAlignment="1" applyProtection="1">
      <alignment horizontal="center" vertical="center"/>
      <protection locked="0"/>
    </xf>
    <xf numFmtId="0" fontId="22" fillId="0" borderId="34" xfId="0" applyFont="1" applyBorder="1" applyAlignment="1" applyProtection="1">
      <alignment horizontal="center" vertical="center"/>
      <protection locked="0"/>
    </xf>
    <xf numFmtId="0" fontId="21" fillId="13" borderId="31" xfId="0" applyFont="1" applyFill="1" applyBorder="1" applyAlignment="1" applyProtection="1">
      <alignment horizontal="center" vertical="center"/>
      <protection hidden="1"/>
    </xf>
    <xf numFmtId="0" fontId="21" fillId="13" borderId="32" xfId="0" applyFont="1" applyFill="1" applyBorder="1" applyAlignment="1" applyProtection="1">
      <alignment horizontal="center" vertical="center"/>
      <protection hidden="1"/>
    </xf>
    <xf numFmtId="0" fontId="21" fillId="13" borderId="33" xfId="0" applyFont="1" applyFill="1" applyBorder="1" applyAlignment="1" applyProtection="1">
      <alignment horizontal="center" vertical="center"/>
      <protection hidden="1"/>
    </xf>
    <xf numFmtId="0" fontId="22" fillId="0" borderId="37" xfId="0" applyFont="1" applyBorder="1" applyAlignment="1" applyProtection="1">
      <alignment horizontal="center" vertical="center"/>
      <protection locked="0"/>
    </xf>
    <xf numFmtId="0" fontId="22" fillId="0" borderId="42" xfId="0" applyFont="1" applyBorder="1" applyAlignment="1" applyProtection="1">
      <alignment horizontal="center" vertical="center"/>
      <protection locked="0"/>
    </xf>
    <xf numFmtId="0" fontId="22" fillId="0" borderId="16" xfId="0" applyFont="1" applyBorder="1" applyAlignment="1" applyProtection="1">
      <alignment horizontal="center" vertical="center"/>
      <protection locked="0"/>
    </xf>
    <xf numFmtId="0" fontId="22" fillId="0" borderId="35" xfId="0" applyFont="1" applyBorder="1" applyAlignment="1" applyProtection="1">
      <alignment horizontal="center" vertical="center"/>
      <protection locked="0"/>
    </xf>
    <xf numFmtId="0" fontId="21" fillId="13" borderId="31" xfId="0" applyFont="1" applyFill="1" applyBorder="1" applyAlignment="1">
      <alignment horizontal="center" vertical="center" wrapText="1"/>
    </xf>
    <xf numFmtId="0" fontId="21" fillId="13" borderId="32" xfId="0" applyFont="1" applyFill="1" applyBorder="1" applyAlignment="1">
      <alignment horizontal="center" vertical="center" wrapText="1"/>
    </xf>
    <xf numFmtId="0" fontId="21" fillId="13" borderId="33" xfId="0" applyFont="1" applyFill="1" applyBorder="1" applyAlignment="1">
      <alignment horizontal="center" vertical="center" wrapText="1"/>
    </xf>
    <xf numFmtId="0" fontId="22" fillId="0" borderId="0" xfId="0" applyFont="1" applyAlignment="1">
      <alignment horizontal="center" vertical="center"/>
    </xf>
    <xf numFmtId="0" fontId="73" fillId="0" borderId="0" xfId="0" applyFont="1" applyAlignment="1">
      <alignment horizontal="center" vertical="center"/>
    </xf>
    <xf numFmtId="0" fontId="73" fillId="0" borderId="28" xfId="0" applyFont="1" applyBorder="1" applyAlignment="1">
      <alignment horizontal="center" vertical="center"/>
    </xf>
    <xf numFmtId="0" fontId="22" fillId="0" borderId="1" xfId="0" applyFont="1" applyBorder="1" applyAlignment="1">
      <alignment horizontal="center" vertical="center"/>
    </xf>
    <xf numFmtId="0" fontId="22" fillId="0" borderId="6" xfId="0" applyFont="1" applyBorder="1" applyAlignment="1">
      <alignment horizontal="center" vertical="center"/>
    </xf>
    <xf numFmtId="0" fontId="22" fillId="0" borderId="17" xfId="0" applyFont="1" applyBorder="1" applyAlignment="1" applyProtection="1">
      <alignment horizontal="center" vertical="center"/>
      <protection locked="0"/>
    </xf>
    <xf numFmtId="0" fontId="22" fillId="0" borderId="36" xfId="0" applyFont="1" applyBorder="1" applyAlignment="1" applyProtection="1">
      <alignment horizontal="center" vertical="center"/>
      <protection locked="0"/>
    </xf>
    <xf numFmtId="0" fontId="22" fillId="0" borderId="26" xfId="0" applyFont="1" applyBorder="1" applyAlignment="1" applyProtection="1">
      <alignment horizontal="left" vertical="center"/>
      <protection locked="0"/>
    </xf>
    <xf numFmtId="0" fontId="22" fillId="0" borderId="61" xfId="0" applyFont="1" applyBorder="1" applyAlignment="1" applyProtection="1">
      <alignment horizontal="left" vertical="center"/>
      <protection locked="0"/>
    </xf>
    <xf numFmtId="0" fontId="22" fillId="0" borderId="18" xfId="0" applyFont="1" applyBorder="1" applyAlignment="1" applyProtection="1">
      <alignment horizontal="left" vertical="center"/>
      <protection locked="0"/>
    </xf>
    <xf numFmtId="0" fontId="22" fillId="0" borderId="47" xfId="0" applyFont="1" applyBorder="1" applyAlignment="1" applyProtection="1">
      <alignment horizontal="left" vertical="center"/>
      <protection locked="0"/>
    </xf>
    <xf numFmtId="0" fontId="21" fillId="15" borderId="18" xfId="0" applyFont="1" applyFill="1" applyBorder="1" applyAlignment="1">
      <alignment horizontal="left" vertical="center"/>
    </xf>
    <xf numFmtId="0" fontId="21" fillId="15" borderId="47" xfId="0" applyFont="1" applyFill="1" applyBorder="1" applyAlignment="1">
      <alignment horizontal="left" vertical="center"/>
    </xf>
    <xf numFmtId="0" fontId="22" fillId="0" borderId="8" xfId="0" applyFont="1" applyBorder="1" applyAlignment="1" applyProtection="1">
      <alignment horizontal="center" vertical="center"/>
      <protection locked="0"/>
    </xf>
    <xf numFmtId="0" fontId="22" fillId="0" borderId="9" xfId="0" applyFont="1" applyBorder="1" applyAlignment="1" applyProtection="1">
      <alignment horizontal="center" vertical="center"/>
      <protection locked="0"/>
    </xf>
    <xf numFmtId="0" fontId="45" fillId="0" borderId="26" xfId="0" applyFont="1" applyBorder="1" applyAlignment="1">
      <alignment horizontal="center" vertical="center"/>
    </xf>
    <xf numFmtId="0" fontId="45" fillId="0" borderId="77" xfId="0" applyFont="1" applyBorder="1" applyAlignment="1">
      <alignment horizontal="center" vertical="center"/>
    </xf>
    <xf numFmtId="0" fontId="45" fillId="0" borderId="28" xfId="0" applyFont="1" applyBorder="1" applyAlignment="1">
      <alignment horizontal="center" vertical="center"/>
    </xf>
    <xf numFmtId="0" fontId="45" fillId="0" borderId="44" xfId="0" applyFont="1" applyBorder="1" applyAlignment="1">
      <alignment horizontal="center" vertical="center"/>
    </xf>
    <xf numFmtId="0" fontId="45" fillId="0" borderId="23" xfId="0" applyFont="1" applyBorder="1" applyAlignment="1">
      <alignment horizontal="center" vertical="center"/>
    </xf>
    <xf numFmtId="0" fontId="45" fillId="0" borderId="78" xfId="0" applyFont="1" applyBorder="1" applyAlignment="1">
      <alignment horizontal="center" vertical="center"/>
    </xf>
    <xf numFmtId="0" fontId="3" fillId="0" borderId="39" xfId="0" applyFont="1" applyBorder="1" applyAlignment="1">
      <alignment horizontal="left" vertical="center"/>
    </xf>
    <xf numFmtId="0" fontId="3" fillId="0" borderId="14" xfId="0" applyFont="1" applyBorder="1" applyAlignment="1">
      <alignment horizontal="left" vertical="center"/>
    </xf>
    <xf numFmtId="0" fontId="3" fillId="0" borderId="37" xfId="0" applyFont="1" applyBorder="1" applyAlignment="1">
      <alignment horizontal="left" vertical="center"/>
    </xf>
    <xf numFmtId="0" fontId="3" fillId="0" borderId="42" xfId="0" applyFont="1" applyBorder="1" applyAlignment="1">
      <alignment horizontal="left" vertical="center"/>
    </xf>
    <xf numFmtId="0" fontId="3" fillId="0" borderId="40" xfId="0" applyFont="1" applyBorder="1" applyAlignment="1">
      <alignment horizontal="left" vertical="center"/>
    </xf>
    <xf numFmtId="0" fontId="3" fillId="0" borderId="43" xfId="0" applyFont="1" applyBorder="1" applyAlignment="1">
      <alignment horizontal="left" vertical="center"/>
    </xf>
    <xf numFmtId="0" fontId="15" fillId="10" borderId="23" xfId="0" applyFont="1" applyFill="1" applyBorder="1" applyAlignment="1">
      <alignment horizontal="center" vertical="center"/>
    </xf>
    <xf numFmtId="0" fontId="15" fillId="10" borderId="24" xfId="0" applyFont="1" applyFill="1" applyBorder="1" applyAlignment="1">
      <alignment horizontal="center" vertical="center"/>
    </xf>
    <xf numFmtId="0" fontId="15" fillId="10" borderId="30" xfId="0" applyFont="1" applyFill="1" applyBorder="1" applyAlignment="1">
      <alignment horizontal="center" vertical="center"/>
    </xf>
    <xf numFmtId="0" fontId="22" fillId="2" borderId="1" xfId="0" applyFont="1" applyFill="1" applyBorder="1" applyAlignment="1">
      <alignment horizontal="center" vertical="center"/>
    </xf>
    <xf numFmtId="0" fontId="22" fillId="2" borderId="6" xfId="0" applyFont="1" applyFill="1" applyBorder="1" applyAlignment="1">
      <alignment horizontal="center" vertical="center"/>
    </xf>
    <xf numFmtId="0" fontId="15" fillId="4" borderId="22" xfId="0" applyFont="1" applyFill="1" applyBorder="1" applyAlignment="1" applyProtection="1">
      <alignment horizontal="center"/>
      <protection hidden="1"/>
    </xf>
    <xf numFmtId="0" fontId="15" fillId="4" borderId="29" xfId="0" applyFont="1" applyFill="1" applyBorder="1" applyAlignment="1" applyProtection="1">
      <alignment horizontal="center"/>
      <protection hidden="1"/>
    </xf>
    <xf numFmtId="0" fontId="15" fillId="4" borderId="67" xfId="0" applyFont="1" applyFill="1" applyBorder="1" applyAlignment="1" applyProtection="1">
      <alignment horizontal="center"/>
      <protection hidden="1"/>
    </xf>
    <xf numFmtId="0" fontId="22" fillId="0" borderId="59" xfId="0" applyFont="1" applyBorder="1" applyAlignment="1">
      <alignment horizontal="center" vertical="center" wrapText="1"/>
    </xf>
    <xf numFmtId="0" fontId="22" fillId="0" borderId="73" xfId="0" applyFont="1" applyBorder="1" applyAlignment="1">
      <alignment horizontal="center" vertical="center" wrapText="1"/>
    </xf>
    <xf numFmtId="0" fontId="22" fillId="0" borderId="45"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50" xfId="0" applyFont="1" applyBorder="1" applyAlignment="1">
      <alignment horizontal="center" vertical="center" wrapText="1"/>
    </xf>
    <xf numFmtId="0" fontId="22" fillId="0" borderId="74" xfId="0" applyFont="1" applyBorder="1" applyAlignment="1">
      <alignment horizontal="center" vertical="center" wrapText="1"/>
    </xf>
    <xf numFmtId="0" fontId="21" fillId="17" borderId="61" xfId="0" applyFont="1" applyFill="1" applyBorder="1" applyAlignment="1">
      <alignment horizontal="center" vertical="center" wrapText="1"/>
    </xf>
    <xf numFmtId="0" fontId="21" fillId="17" borderId="63" xfId="0" applyFont="1" applyFill="1" applyBorder="1" applyAlignment="1">
      <alignment horizontal="center" vertical="center" wrapText="1"/>
    </xf>
    <xf numFmtId="0" fontId="37" fillId="0" borderId="59" xfId="0" applyFont="1" applyBorder="1" applyAlignment="1">
      <alignment horizontal="center" vertical="center" wrapText="1"/>
    </xf>
    <xf numFmtId="0" fontId="37" fillId="0" borderId="73" xfId="0" applyFont="1" applyBorder="1" applyAlignment="1">
      <alignment horizontal="center" vertical="center" wrapText="1"/>
    </xf>
    <xf numFmtId="0" fontId="37" fillId="0" borderId="45" xfId="0" applyFont="1" applyBorder="1" applyAlignment="1">
      <alignment horizontal="center" vertical="center" wrapText="1"/>
    </xf>
    <xf numFmtId="0" fontId="37" fillId="0" borderId="15"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74" xfId="0" applyFont="1" applyBorder="1" applyAlignment="1">
      <alignment horizontal="center" vertical="center" wrapText="1"/>
    </xf>
    <xf numFmtId="0" fontId="41" fillId="14" borderId="17" xfId="0" applyFont="1" applyFill="1" applyBorder="1" applyAlignment="1">
      <alignment horizontal="center" vertical="center"/>
    </xf>
    <xf numFmtId="0" fontId="41" fillId="14" borderId="36" xfId="0" applyFont="1" applyFill="1" applyBorder="1" applyAlignment="1">
      <alignment horizontal="center" vertical="center"/>
    </xf>
    <xf numFmtId="0" fontId="21" fillId="4" borderId="22" xfId="0" applyFont="1" applyFill="1" applyBorder="1" applyAlignment="1" applyProtection="1">
      <alignment horizontal="center" vertical="center"/>
      <protection locked="0"/>
    </xf>
    <xf numFmtId="0" fontId="21" fillId="4" borderId="67" xfId="0" applyFont="1" applyFill="1" applyBorder="1" applyAlignment="1" applyProtection="1">
      <alignment horizontal="center" vertical="center"/>
      <protection locked="0"/>
    </xf>
    <xf numFmtId="0" fontId="22" fillId="0" borderId="3" xfId="0" applyFont="1" applyBorder="1" applyAlignment="1" applyProtection="1">
      <alignment horizontal="center" vertical="center"/>
      <protection locked="0"/>
    </xf>
    <xf numFmtId="0" fontId="22" fillId="0" borderId="4" xfId="0" applyFont="1" applyBorder="1" applyAlignment="1" applyProtection="1">
      <alignment horizontal="center" vertical="center"/>
      <protection locked="0"/>
    </xf>
    <xf numFmtId="1" fontId="0" fillId="2" borderId="66" xfId="0" applyNumberFormat="1" applyFill="1" applyBorder="1" applyAlignment="1">
      <alignment horizontal="left" vertical="center" wrapText="1"/>
    </xf>
    <xf numFmtId="0" fontId="0" fillId="3" borderId="26"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7" xfId="0" applyFill="1" applyBorder="1" applyAlignment="1">
      <alignment horizontal="center" vertical="center" wrapText="1"/>
    </xf>
    <xf numFmtId="0" fontId="0" fillId="3" borderId="28" xfId="0" applyFill="1" applyBorder="1" applyAlignment="1">
      <alignment horizontal="center" vertical="center" wrapText="1"/>
    </xf>
    <xf numFmtId="0" fontId="0" fillId="3" borderId="0" xfId="0" applyFill="1" applyAlignment="1">
      <alignment horizontal="center" vertical="center" wrapText="1"/>
    </xf>
    <xf numFmtId="0" fontId="0" fillId="3" borderId="15"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24" xfId="0" applyFill="1" applyBorder="1" applyAlignment="1">
      <alignment horizontal="center" vertical="center" wrapText="1"/>
    </xf>
    <xf numFmtId="0" fontId="0" fillId="3" borderId="30" xfId="0" applyFill="1" applyBorder="1" applyAlignment="1">
      <alignment horizontal="center" vertical="center" wrapText="1"/>
    </xf>
    <xf numFmtId="0" fontId="3" fillId="3" borderId="23" xfId="0" applyFont="1" applyFill="1" applyBorder="1" applyAlignment="1">
      <alignment horizontal="left" vertical="center"/>
    </xf>
    <xf numFmtId="0" fontId="3" fillId="3" borderId="30" xfId="0" applyFont="1" applyFill="1" applyBorder="1" applyAlignment="1">
      <alignment horizontal="left" vertical="center"/>
    </xf>
    <xf numFmtId="0" fontId="3" fillId="2" borderId="16" xfId="0" applyFont="1" applyFill="1" applyBorder="1" applyAlignment="1">
      <alignment horizontal="left" vertical="center"/>
    </xf>
    <xf numFmtId="0" fontId="0" fillId="2" borderId="31" xfId="0" applyFill="1" applyBorder="1" applyAlignment="1">
      <alignment horizontal="left" vertical="center"/>
    </xf>
    <xf numFmtId="0" fontId="0" fillId="2" borderId="65" xfId="0" applyFill="1" applyBorder="1" applyAlignment="1">
      <alignment horizontal="left" vertical="center"/>
    </xf>
    <xf numFmtId="0" fontId="0" fillId="2" borderId="56" xfId="0" applyFill="1" applyBorder="1" applyAlignment="1">
      <alignment horizontal="left" vertical="center"/>
    </xf>
    <xf numFmtId="0" fontId="0" fillId="2" borderId="58" xfId="0" applyFill="1" applyBorder="1" applyAlignment="1">
      <alignment horizontal="left" vertical="center"/>
    </xf>
    <xf numFmtId="0" fontId="0" fillId="2" borderId="57" xfId="0" applyFill="1" applyBorder="1" applyAlignment="1">
      <alignment horizontal="left" vertical="center"/>
    </xf>
    <xf numFmtId="0" fontId="0" fillId="2" borderId="71" xfId="0" applyFill="1" applyBorder="1" applyAlignment="1">
      <alignment horizontal="left" vertical="center"/>
    </xf>
    <xf numFmtId="0" fontId="0" fillId="2" borderId="33" xfId="0" applyFill="1" applyBorder="1" applyAlignment="1">
      <alignment horizontal="left" vertical="center"/>
    </xf>
    <xf numFmtId="0" fontId="26" fillId="2" borderId="5" xfId="0" applyFont="1" applyFill="1" applyBorder="1" applyAlignment="1">
      <alignment horizontal="left" vertical="center"/>
    </xf>
    <xf numFmtId="0" fontId="26" fillId="2" borderId="1" xfId="0" applyFont="1" applyFill="1" applyBorder="1" applyAlignment="1">
      <alignment horizontal="left" vertical="center"/>
    </xf>
    <xf numFmtId="0" fontId="0" fillId="2" borderId="50" xfId="0" applyFill="1" applyBorder="1" applyAlignment="1">
      <alignment horizontal="left" vertical="center"/>
    </xf>
    <xf numFmtId="0" fontId="0" fillId="2" borderId="74" xfId="0" applyFill="1" applyBorder="1" applyAlignment="1">
      <alignment horizontal="left" vertical="center"/>
    </xf>
    <xf numFmtId="0" fontId="0" fillId="2" borderId="63" xfId="0" applyFill="1" applyBorder="1" applyAlignment="1">
      <alignment horizontal="left" vertical="center"/>
    </xf>
    <xf numFmtId="0" fontId="0" fillId="2" borderId="47" xfId="0" applyFill="1" applyBorder="1" applyAlignment="1">
      <alignment horizontal="left" vertical="center"/>
    </xf>
    <xf numFmtId="0" fontId="0" fillId="2" borderId="47" xfId="0" applyFill="1" applyBorder="1" applyAlignment="1">
      <alignment horizontal="left" vertical="center" wrapText="1"/>
    </xf>
    <xf numFmtId="0" fontId="0" fillId="2" borderId="47" xfId="2" applyNumberFormat="1" applyFont="1" applyFill="1" applyBorder="1" applyAlignment="1">
      <alignment horizontal="left" vertical="center"/>
    </xf>
    <xf numFmtId="9" fontId="0" fillId="2" borderId="47" xfId="2" applyFont="1" applyFill="1" applyBorder="1" applyAlignment="1">
      <alignment horizontal="left" vertical="center"/>
    </xf>
    <xf numFmtId="0" fontId="3" fillId="2" borderId="18" xfId="0" applyFont="1" applyFill="1" applyBorder="1" applyAlignment="1">
      <alignment horizontal="left" vertical="center"/>
    </xf>
    <xf numFmtId="0" fontId="3" fillId="2" borderId="53" xfId="0" applyFont="1" applyFill="1" applyBorder="1" applyAlignment="1">
      <alignment horizontal="left" vertical="center"/>
    </xf>
    <xf numFmtId="0" fontId="26" fillId="2" borderId="2" xfId="0" applyFont="1" applyFill="1" applyBorder="1" applyAlignment="1">
      <alignment horizontal="left" vertical="center"/>
    </xf>
    <xf numFmtId="0" fontId="26" fillId="2" borderId="3" xfId="0" applyFont="1" applyFill="1" applyBorder="1" applyAlignment="1">
      <alignment horizontal="left" vertical="center"/>
    </xf>
    <xf numFmtId="0" fontId="0" fillId="2" borderId="39" xfId="0" applyFill="1" applyBorder="1" applyAlignment="1">
      <alignment horizontal="left" vertical="center"/>
    </xf>
    <xf numFmtId="0" fontId="0" fillId="2" borderId="14" xfId="0" applyFill="1" applyBorder="1" applyAlignment="1">
      <alignment horizontal="left" vertical="center"/>
    </xf>
    <xf numFmtId="0" fontId="0" fillId="2" borderId="37" xfId="0" applyFill="1" applyBorder="1" applyAlignment="1">
      <alignment horizontal="left" vertical="center"/>
    </xf>
    <xf numFmtId="0" fontId="0" fillId="2" borderId="42" xfId="0" applyFill="1" applyBorder="1" applyAlignment="1">
      <alignment horizontal="left" vertical="center"/>
    </xf>
    <xf numFmtId="0" fontId="17" fillId="2" borderId="0" xfId="0" applyFont="1" applyFill="1" applyAlignment="1">
      <alignment horizontal="left" vertical="center" wrapText="1"/>
    </xf>
    <xf numFmtId="0" fontId="28" fillId="2" borderId="31" xfId="0" applyFont="1" applyFill="1" applyBorder="1" applyAlignment="1">
      <alignment horizontal="left" vertical="center"/>
    </xf>
    <xf numFmtId="0" fontId="28" fillId="2" borderId="32" xfId="0" applyFont="1" applyFill="1" applyBorder="1" applyAlignment="1">
      <alignment horizontal="left" vertical="center"/>
    </xf>
    <xf numFmtId="0" fontId="28" fillId="2" borderId="33" xfId="0" applyFont="1" applyFill="1" applyBorder="1" applyAlignment="1">
      <alignment horizontal="left" vertical="center"/>
    </xf>
    <xf numFmtId="0" fontId="17" fillId="2" borderId="31" xfId="0" applyFont="1" applyFill="1" applyBorder="1" applyAlignment="1">
      <alignment horizontal="left" vertical="center"/>
    </xf>
    <xf numFmtId="0" fontId="17" fillId="2" borderId="32" xfId="0" applyFont="1" applyFill="1" applyBorder="1" applyAlignment="1">
      <alignment horizontal="left" vertical="center"/>
    </xf>
    <xf numFmtId="0" fontId="17" fillId="2" borderId="65" xfId="0" applyFont="1" applyFill="1" applyBorder="1" applyAlignment="1">
      <alignment horizontal="left" vertical="center"/>
    </xf>
    <xf numFmtId="0" fontId="26" fillId="2" borderId="7" xfId="0" applyFont="1" applyFill="1" applyBorder="1" applyAlignment="1">
      <alignment horizontal="left" vertical="center" wrapText="1"/>
    </xf>
    <xf numFmtId="0" fontId="26" fillId="2" borderId="8" xfId="0" applyFont="1" applyFill="1" applyBorder="1" applyAlignment="1">
      <alignment horizontal="left" vertical="center" wrapText="1"/>
    </xf>
    <xf numFmtId="0" fontId="0" fillId="2" borderId="40" xfId="0" applyFill="1" applyBorder="1" applyAlignment="1">
      <alignment horizontal="left" vertical="center"/>
    </xf>
    <xf numFmtId="0" fontId="0" fillId="2" borderId="43" xfId="0" applyFill="1" applyBorder="1" applyAlignment="1">
      <alignment horizontal="left" vertical="center"/>
    </xf>
    <xf numFmtId="0" fontId="17" fillId="2" borderId="33" xfId="0" applyFont="1" applyFill="1" applyBorder="1" applyAlignment="1">
      <alignment horizontal="left" vertical="center"/>
    </xf>
    <xf numFmtId="0" fontId="17" fillId="2" borderId="23" xfId="0" applyFont="1" applyFill="1" applyBorder="1" applyAlignment="1">
      <alignment horizontal="left" vertical="center"/>
    </xf>
    <xf numFmtId="0" fontId="17" fillId="2" borderId="24" xfId="0" applyFont="1" applyFill="1" applyBorder="1" applyAlignment="1">
      <alignment horizontal="left" vertical="center"/>
    </xf>
    <xf numFmtId="0" fontId="17" fillId="2" borderId="30" xfId="0" applyFont="1" applyFill="1" applyBorder="1" applyAlignment="1">
      <alignment horizontal="left"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1"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0" fontId="21" fillId="0" borderId="3" xfId="0" applyFont="1" applyBorder="1" applyAlignment="1">
      <alignment horizontal="left" vertical="center"/>
    </xf>
    <xf numFmtId="0" fontId="21" fillId="0" borderId="4" xfId="0" applyFont="1" applyBorder="1" applyAlignment="1">
      <alignment horizontal="left" vertical="center"/>
    </xf>
    <xf numFmtId="0" fontId="21" fillId="0" borderId="1" xfId="0" applyFont="1" applyBorder="1" applyAlignment="1">
      <alignment horizontal="left" vertical="center"/>
    </xf>
    <xf numFmtId="0" fontId="21" fillId="0" borderId="6" xfId="0" applyFont="1" applyBorder="1" applyAlignment="1">
      <alignment horizontal="left" vertical="center"/>
    </xf>
    <xf numFmtId="0" fontId="21" fillId="0" borderId="8" xfId="0" applyFont="1" applyBorder="1" applyAlignment="1">
      <alignment horizontal="left" vertical="center"/>
    </xf>
    <xf numFmtId="0" fontId="21" fillId="0" borderId="9" xfId="0" applyFont="1" applyBorder="1" applyAlignment="1">
      <alignment horizontal="left" vertical="center"/>
    </xf>
    <xf numFmtId="0" fontId="18" fillId="9" borderId="18" xfId="0" applyFont="1" applyFill="1" applyBorder="1" applyAlignment="1">
      <alignment horizontal="center" vertical="center"/>
    </xf>
    <xf numFmtId="0" fontId="18" fillId="9" borderId="52" xfId="0" applyFont="1" applyFill="1" applyBorder="1" applyAlignment="1">
      <alignment horizontal="center" vertical="center"/>
    </xf>
    <xf numFmtId="0" fontId="18" fillId="9" borderId="53" xfId="0" applyFont="1" applyFill="1" applyBorder="1" applyAlignment="1">
      <alignment horizontal="center" vertical="center"/>
    </xf>
    <xf numFmtId="0" fontId="22" fillId="9" borderId="5"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22" fillId="9" borderId="7" xfId="0" applyFont="1" applyFill="1" applyBorder="1" applyAlignment="1">
      <alignment horizontal="center" vertical="center" wrapText="1"/>
    </xf>
    <xf numFmtId="0" fontId="22" fillId="9" borderId="8" xfId="0" applyFont="1" applyFill="1" applyBorder="1" applyAlignment="1">
      <alignment horizontal="center" vertical="center" wrapText="1"/>
    </xf>
    <xf numFmtId="0" fontId="21" fillId="2" borderId="1" xfId="0" applyFont="1" applyFill="1" applyBorder="1" applyAlignment="1" applyProtection="1">
      <alignment horizontal="center" vertical="center" wrapText="1"/>
      <protection locked="0"/>
    </xf>
    <xf numFmtId="0" fontId="21" fillId="2" borderId="8" xfId="0" applyFont="1" applyFill="1" applyBorder="1" applyAlignment="1" applyProtection="1">
      <alignment horizontal="center" vertical="center" wrapText="1"/>
      <protection locked="0"/>
    </xf>
    <xf numFmtId="0" fontId="22" fillId="2" borderId="1" xfId="0" applyFont="1" applyFill="1" applyBorder="1" applyAlignment="1" applyProtection="1">
      <alignment horizontal="center" vertical="center" wrapText="1"/>
      <protection locked="0"/>
    </xf>
    <xf numFmtId="0" fontId="22" fillId="2" borderId="6" xfId="0" applyFont="1" applyFill="1" applyBorder="1" applyAlignment="1" applyProtection="1">
      <alignment horizontal="center" vertical="center" wrapText="1"/>
      <protection locked="0"/>
    </xf>
    <xf numFmtId="0" fontId="22" fillId="2" borderId="8" xfId="0" applyFont="1" applyFill="1" applyBorder="1" applyAlignment="1" applyProtection="1">
      <alignment horizontal="center" vertical="center" wrapText="1"/>
      <protection locked="0"/>
    </xf>
    <xf numFmtId="0" fontId="22" fillId="2" borderId="9" xfId="0" applyFont="1" applyFill="1" applyBorder="1" applyAlignment="1" applyProtection="1">
      <alignment horizontal="center" vertical="center" wrapText="1"/>
      <protection locked="0"/>
    </xf>
    <xf numFmtId="0" fontId="22" fillId="9" borderId="10" xfId="0" applyFont="1" applyFill="1" applyBorder="1" applyAlignment="1">
      <alignment horizontal="center" vertical="center" wrapText="1"/>
    </xf>
    <xf numFmtId="0" fontId="22" fillId="9" borderId="11" xfId="0" applyFont="1" applyFill="1" applyBorder="1" applyAlignment="1">
      <alignment horizontal="center" vertical="center" wrapText="1"/>
    </xf>
    <xf numFmtId="0" fontId="22" fillId="9" borderId="48" xfId="0" applyFont="1" applyFill="1" applyBorder="1" applyAlignment="1">
      <alignment horizontal="center" vertical="center" wrapText="1"/>
    </xf>
    <xf numFmtId="0" fontId="22" fillId="9" borderId="59" xfId="0" applyFont="1" applyFill="1" applyBorder="1" applyAlignment="1">
      <alignment horizontal="center" vertical="center" wrapText="1"/>
    </xf>
    <xf numFmtId="0" fontId="23" fillId="9" borderId="64" xfId="0" applyFont="1" applyFill="1" applyBorder="1" applyAlignment="1">
      <alignment horizontal="center" vertical="center" wrapText="1"/>
    </xf>
    <xf numFmtId="0" fontId="22" fillId="9" borderId="79" xfId="0" applyFont="1" applyFill="1" applyBorder="1" applyAlignment="1">
      <alignment horizontal="center" vertical="center" wrapText="1"/>
    </xf>
    <xf numFmtId="0" fontId="22" fillId="9" borderId="45" xfId="0" applyFont="1" applyFill="1" applyBorder="1" applyAlignment="1">
      <alignment horizontal="center" vertical="center" wrapText="1"/>
    </xf>
    <xf numFmtId="0" fontId="23" fillId="9" borderId="0" xfId="0" applyFont="1" applyFill="1" applyAlignment="1">
      <alignment horizontal="center" vertical="center" wrapText="1"/>
    </xf>
    <xf numFmtId="0" fontId="56" fillId="2" borderId="1" xfId="0" applyFont="1" applyFill="1" applyBorder="1" applyAlignment="1" applyProtection="1">
      <alignment horizontal="center" vertical="center" wrapText="1"/>
      <protection locked="0"/>
    </xf>
    <xf numFmtId="0" fontId="56" fillId="2" borderId="6" xfId="0" applyFont="1" applyFill="1" applyBorder="1" applyAlignment="1" applyProtection="1">
      <alignment horizontal="center" vertical="center" wrapText="1"/>
      <protection locked="0"/>
    </xf>
    <xf numFmtId="0" fontId="22" fillId="2" borderId="54" xfId="0" applyFont="1" applyFill="1" applyBorder="1" applyAlignment="1" applyProtection="1">
      <alignment horizontal="center" vertical="center"/>
      <protection locked="0"/>
    </xf>
    <xf numFmtId="0" fontId="22" fillId="2" borderId="66" xfId="0" applyFont="1" applyFill="1" applyBorder="1" applyAlignment="1" applyProtection="1">
      <alignment horizontal="center" vertical="center"/>
      <protection locked="0"/>
    </xf>
    <xf numFmtId="0" fontId="22" fillId="2" borderId="73" xfId="0" applyFont="1" applyFill="1" applyBorder="1" applyAlignment="1" applyProtection="1">
      <alignment horizontal="center" vertical="center"/>
      <protection locked="0"/>
    </xf>
    <xf numFmtId="0" fontId="41" fillId="3" borderId="31" xfId="0" applyFont="1" applyFill="1" applyBorder="1" applyAlignment="1">
      <alignment horizontal="center" vertical="center" wrapText="1"/>
    </xf>
    <xf numFmtId="0" fontId="41" fillId="3" borderId="32" xfId="0" applyFont="1" applyFill="1" applyBorder="1" applyAlignment="1">
      <alignment horizontal="center" vertical="center" wrapText="1"/>
    </xf>
    <xf numFmtId="0" fontId="41" fillId="3" borderId="33" xfId="0" applyFont="1" applyFill="1" applyBorder="1" applyAlignment="1">
      <alignment horizontal="center" vertical="center" wrapText="1"/>
    </xf>
    <xf numFmtId="0" fontId="41" fillId="9" borderId="10" xfId="0" applyFont="1" applyFill="1" applyBorder="1" applyAlignment="1">
      <alignment horizontal="center" vertical="center" wrapText="1"/>
    </xf>
    <xf numFmtId="0" fontId="41" fillId="9" borderId="11" xfId="0" applyFont="1" applyFill="1" applyBorder="1" applyAlignment="1">
      <alignment horizontal="center" vertical="center" wrapText="1"/>
    </xf>
    <xf numFmtId="0" fontId="57" fillId="2" borderId="11" xfId="0" applyFont="1" applyFill="1" applyBorder="1" applyAlignment="1" applyProtection="1">
      <alignment horizontal="center" vertical="center" wrapText="1"/>
      <protection locked="0"/>
    </xf>
    <xf numFmtId="0" fontId="57" fillId="2" borderId="34" xfId="0" applyFont="1" applyFill="1" applyBorder="1" applyAlignment="1" applyProtection="1">
      <alignment horizontal="center" vertical="center" wrapText="1"/>
      <protection locked="0"/>
    </xf>
    <xf numFmtId="0" fontId="21" fillId="2" borderId="2"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21" fillId="2" borderId="7" xfId="0" applyFont="1" applyFill="1" applyBorder="1" applyAlignment="1">
      <alignment horizontal="center" vertical="center" wrapText="1"/>
    </xf>
    <xf numFmtId="0" fontId="21" fillId="2" borderId="11" xfId="0" applyFont="1" applyFill="1" applyBorder="1" applyAlignment="1" applyProtection="1">
      <alignment horizontal="center" vertical="center" wrapText="1"/>
      <protection locked="0"/>
    </xf>
    <xf numFmtId="0" fontId="21" fillId="2" borderId="34" xfId="0" applyFont="1" applyFill="1" applyBorder="1" applyAlignment="1" applyProtection="1">
      <alignment horizontal="center" vertical="center" wrapText="1"/>
      <protection locked="0"/>
    </xf>
    <xf numFmtId="0" fontId="55" fillId="2" borderId="1" xfId="4" applyFont="1" applyFill="1" applyBorder="1" applyAlignment="1" applyProtection="1">
      <alignment horizontal="center" vertical="center" wrapText="1"/>
      <protection locked="0"/>
    </xf>
    <xf numFmtId="0" fontId="21" fillId="4" borderId="1" xfId="0" applyFont="1" applyFill="1" applyBorder="1" applyAlignment="1">
      <alignment horizontal="center" vertical="center" wrapText="1"/>
    </xf>
    <xf numFmtId="0" fontId="21" fillId="10" borderId="70" xfId="0" applyFont="1" applyFill="1" applyBorder="1" applyAlignment="1">
      <alignment horizontal="center" vertical="center" wrapText="1"/>
    </xf>
    <xf numFmtId="0" fontId="21" fillId="10" borderId="21" xfId="0" applyFont="1" applyFill="1" applyBorder="1" applyAlignment="1">
      <alignment horizontal="center" vertical="center" wrapText="1"/>
    </xf>
    <xf numFmtId="0" fontId="21" fillId="10" borderId="27" xfId="0" applyFont="1" applyFill="1" applyBorder="1" applyAlignment="1">
      <alignment horizontal="center" vertical="center" wrapText="1"/>
    </xf>
    <xf numFmtId="0" fontId="21" fillId="10" borderId="45" xfId="0" applyFont="1" applyFill="1" applyBorder="1" applyAlignment="1">
      <alignment horizontal="center" vertical="center" wrapText="1"/>
    </xf>
    <xf numFmtId="0" fontId="21" fillId="10" borderId="0" xfId="0" applyFont="1" applyFill="1" applyAlignment="1">
      <alignment horizontal="center" vertical="center" wrapText="1"/>
    </xf>
    <xf numFmtId="0" fontId="21" fillId="10" borderId="15" xfId="0" applyFont="1" applyFill="1" applyBorder="1" applyAlignment="1">
      <alignment horizontal="center" vertical="center" wrapText="1"/>
    </xf>
    <xf numFmtId="0" fontId="21" fillId="10" borderId="80" xfId="0" applyFont="1" applyFill="1" applyBorder="1" applyAlignment="1">
      <alignment horizontal="center" vertical="center" wrapText="1"/>
    </xf>
    <xf numFmtId="0" fontId="21" fillId="10" borderId="24" xfId="0" applyFont="1" applyFill="1" applyBorder="1" applyAlignment="1">
      <alignment horizontal="center" vertical="center" wrapText="1"/>
    </xf>
    <xf numFmtId="0" fontId="21" fillId="10" borderId="30" xfId="0" applyFont="1" applyFill="1" applyBorder="1" applyAlignment="1">
      <alignment horizontal="center" vertical="center" wrapText="1"/>
    </xf>
    <xf numFmtId="0" fontId="3" fillId="0" borderId="12" xfId="0" applyFont="1" applyBorder="1" applyAlignment="1">
      <alignment horizontal="left" vertical="center" indent="1"/>
    </xf>
    <xf numFmtId="0" fontId="3" fillId="0" borderId="14" xfId="0" applyFont="1" applyBorder="1" applyAlignment="1">
      <alignment horizontal="left" vertical="center" indent="1"/>
    </xf>
    <xf numFmtId="0" fontId="3" fillId="0" borderId="51" xfId="0" applyFont="1" applyBorder="1" applyAlignment="1">
      <alignment horizontal="left" vertical="center" indent="1"/>
    </xf>
    <xf numFmtId="0" fontId="3" fillId="0" borderId="42" xfId="0" applyFont="1" applyBorder="1" applyAlignment="1">
      <alignment horizontal="left" vertical="center" indent="1"/>
    </xf>
    <xf numFmtId="0" fontId="3" fillId="0" borderId="49" xfId="0" applyFont="1" applyBorder="1" applyAlignment="1">
      <alignment horizontal="left" vertical="center" indent="1"/>
    </xf>
    <xf numFmtId="0" fontId="3" fillId="0" borderId="43" xfId="0" applyFont="1" applyBorder="1" applyAlignment="1">
      <alignment horizontal="left" vertical="center" indent="1"/>
    </xf>
    <xf numFmtId="0" fontId="22" fillId="2" borderId="37" xfId="0" applyFont="1" applyFill="1" applyBorder="1" applyAlignment="1" applyProtection="1">
      <alignment horizontal="center" vertical="center" wrapText="1"/>
      <protection locked="0"/>
    </xf>
    <xf numFmtId="0" fontId="22" fillId="2" borderId="38" xfId="0" applyFont="1" applyFill="1" applyBorder="1" applyAlignment="1" applyProtection="1">
      <alignment horizontal="center" vertical="center" wrapText="1"/>
      <protection locked="0"/>
    </xf>
    <xf numFmtId="0" fontId="22" fillId="2" borderId="42" xfId="0" applyFont="1" applyFill="1" applyBorder="1" applyAlignment="1" applyProtection="1">
      <alignment horizontal="center" vertical="center" wrapText="1"/>
      <protection locked="0"/>
    </xf>
    <xf numFmtId="14" fontId="22" fillId="2" borderId="1" xfId="0" applyNumberFormat="1" applyFont="1" applyFill="1" applyBorder="1" applyAlignment="1" applyProtection="1">
      <alignment horizontal="center" vertical="center" wrapText="1"/>
      <protection locked="0"/>
    </xf>
    <xf numFmtId="14" fontId="22" fillId="2" borderId="6" xfId="0" applyNumberFormat="1" applyFont="1" applyFill="1" applyBorder="1" applyAlignment="1" applyProtection="1">
      <alignment horizontal="center" vertical="center" wrapText="1"/>
      <protection locked="0"/>
    </xf>
    <xf numFmtId="0" fontId="54" fillId="3" borderId="18" xfId="0" applyFont="1" applyFill="1" applyBorder="1" applyAlignment="1">
      <alignment horizontal="center"/>
    </xf>
    <xf numFmtId="0" fontId="54" fillId="3" borderId="24" xfId="0" applyFont="1" applyFill="1" applyBorder="1" applyAlignment="1">
      <alignment horizontal="center"/>
    </xf>
    <xf numFmtId="0" fontId="54" fillId="3" borderId="30" xfId="0" applyFont="1" applyFill="1" applyBorder="1" applyAlignment="1">
      <alignment horizontal="center"/>
    </xf>
    <xf numFmtId="0" fontId="52" fillId="3" borderId="18" xfId="0" applyFont="1" applyFill="1" applyBorder="1" applyAlignment="1">
      <alignment horizontal="center" wrapText="1"/>
    </xf>
    <xf numFmtId="0" fontId="52" fillId="3" borderId="21" xfId="0" applyFont="1" applyFill="1" applyBorder="1" applyAlignment="1">
      <alignment horizontal="center" wrapText="1"/>
    </xf>
    <xf numFmtId="0" fontId="52" fillId="3" borderId="27" xfId="0" applyFont="1" applyFill="1" applyBorder="1" applyAlignment="1">
      <alignment horizontal="center" wrapText="1"/>
    </xf>
    <xf numFmtId="0" fontId="52" fillId="3" borderId="26" xfId="0" applyFont="1" applyFill="1" applyBorder="1" applyAlignment="1">
      <alignment horizontal="center" vertical="center" wrapText="1"/>
    </xf>
    <xf numFmtId="0" fontId="52" fillId="3" borderId="0" xfId="0" applyFont="1" applyFill="1" applyAlignment="1">
      <alignment horizontal="center" vertical="center" wrapText="1"/>
    </xf>
    <xf numFmtId="0" fontId="52" fillId="3" borderId="15" xfId="0" applyFont="1" applyFill="1" applyBorder="1" applyAlignment="1">
      <alignment horizontal="center" vertical="center" wrapText="1"/>
    </xf>
    <xf numFmtId="0" fontId="52" fillId="3" borderId="23" xfId="0" applyFont="1" applyFill="1" applyBorder="1" applyAlignment="1">
      <alignment horizontal="center" vertical="center" wrapText="1"/>
    </xf>
    <xf numFmtId="0" fontId="23" fillId="2" borderId="37" xfId="0" applyFont="1" applyFill="1" applyBorder="1" applyAlignment="1">
      <alignment horizontal="center"/>
    </xf>
    <xf numFmtId="0" fontId="23" fillId="2" borderId="38" xfId="0" applyFont="1" applyFill="1" applyBorder="1" applyAlignment="1">
      <alignment horizontal="center"/>
    </xf>
    <xf numFmtId="0" fontId="23" fillId="2" borderId="42" xfId="0" applyFont="1" applyFill="1" applyBorder="1" applyAlignment="1">
      <alignment horizontal="center"/>
    </xf>
    <xf numFmtId="0" fontId="54" fillId="2" borderId="18" xfId="0" applyFont="1" applyFill="1" applyBorder="1" applyAlignment="1">
      <alignment horizontal="center"/>
    </xf>
    <xf numFmtId="0" fontId="54" fillId="2" borderId="21" xfId="0" applyFont="1" applyFill="1" applyBorder="1" applyAlignment="1">
      <alignment horizontal="center"/>
    </xf>
    <xf numFmtId="0" fontId="54" fillId="2" borderId="27" xfId="0" applyFont="1" applyFill="1" applyBorder="1" applyAlignment="1">
      <alignment horizontal="center"/>
    </xf>
    <xf numFmtId="0" fontId="54" fillId="3" borderId="0" xfId="0" applyFont="1" applyFill="1" applyAlignment="1">
      <alignment horizontal="center"/>
    </xf>
    <xf numFmtId="0" fontId="54" fillId="3" borderId="15" xfId="0" applyFont="1" applyFill="1" applyBorder="1" applyAlignment="1">
      <alignment horizontal="center"/>
    </xf>
    <xf numFmtId="0" fontId="54" fillId="3" borderId="52" xfId="0" applyFont="1" applyFill="1" applyBorder="1" applyAlignment="1">
      <alignment horizontal="center"/>
    </xf>
    <xf numFmtId="0" fontId="54" fillId="3" borderId="53" xfId="0" applyFont="1" applyFill="1" applyBorder="1" applyAlignment="1">
      <alignment horizontal="center"/>
    </xf>
    <xf numFmtId="0" fontId="52" fillId="3" borderId="18" xfId="0" applyFont="1" applyFill="1" applyBorder="1" applyAlignment="1">
      <alignment horizontal="center" vertical="center" wrapText="1"/>
    </xf>
    <xf numFmtId="0" fontId="52" fillId="3" borderId="21" xfId="0" applyFont="1" applyFill="1" applyBorder="1" applyAlignment="1">
      <alignment horizontal="center" vertical="center" wrapText="1"/>
    </xf>
    <xf numFmtId="0" fontId="52" fillId="3" borderId="27" xfId="0" applyFont="1" applyFill="1" applyBorder="1" applyAlignment="1">
      <alignment horizontal="center" vertical="center" wrapText="1"/>
    </xf>
    <xf numFmtId="0" fontId="52" fillId="2" borderId="18" xfId="0" applyFont="1" applyFill="1" applyBorder="1" applyAlignment="1">
      <alignment horizontal="center"/>
    </xf>
    <xf numFmtId="0" fontId="52" fillId="2" borderId="52" xfId="0" applyFont="1" applyFill="1" applyBorder="1" applyAlignment="1">
      <alignment horizontal="center"/>
    </xf>
    <xf numFmtId="0" fontId="52" fillId="2" borderId="53" xfId="0" applyFont="1" applyFill="1" applyBorder="1" applyAlignment="1">
      <alignment horizontal="center"/>
    </xf>
    <xf numFmtId="0" fontId="23" fillId="2" borderId="51" xfId="0" applyFont="1" applyFill="1" applyBorder="1" applyAlignment="1">
      <alignment horizontal="center"/>
    </xf>
    <xf numFmtId="0" fontId="23" fillId="2" borderId="51" xfId="0" applyFont="1" applyFill="1" applyBorder="1" applyAlignment="1">
      <alignment horizontal="center" vertical="center"/>
    </xf>
    <xf numFmtId="0" fontId="23" fillId="2" borderId="38" xfId="0" applyFont="1" applyFill="1" applyBorder="1" applyAlignment="1">
      <alignment horizontal="center" vertical="center"/>
    </xf>
    <xf numFmtId="0" fontId="23" fillId="2" borderId="42" xfId="0" applyFont="1" applyFill="1" applyBorder="1" applyAlignment="1">
      <alignment horizontal="center" vertical="center"/>
    </xf>
    <xf numFmtId="0" fontId="52" fillId="2" borderId="51" xfId="0" applyFont="1" applyFill="1" applyBorder="1" applyAlignment="1">
      <alignment horizontal="center"/>
    </xf>
    <xf numFmtId="0" fontId="52" fillId="2" borderId="38" xfId="0" applyFont="1" applyFill="1" applyBorder="1" applyAlignment="1">
      <alignment horizontal="center"/>
    </xf>
    <xf numFmtId="0" fontId="52" fillId="2" borderId="42" xfId="0" applyFont="1" applyFill="1" applyBorder="1" applyAlignment="1">
      <alignment horizontal="center"/>
    </xf>
    <xf numFmtId="0" fontId="52" fillId="3" borderId="18" xfId="0" applyFont="1" applyFill="1" applyBorder="1" applyAlignment="1">
      <alignment horizontal="center" vertical="center"/>
    </xf>
    <xf numFmtId="0" fontId="52" fillId="3" borderId="24" xfId="0" applyFont="1" applyFill="1" applyBorder="1" applyAlignment="1">
      <alignment horizontal="center" vertical="center"/>
    </xf>
    <xf numFmtId="0" fontId="52" fillId="3" borderId="30" xfId="0" applyFont="1" applyFill="1" applyBorder="1" applyAlignment="1">
      <alignment horizontal="center" vertical="center"/>
    </xf>
    <xf numFmtId="0" fontId="52" fillId="3" borderId="26" xfId="0" applyFont="1" applyFill="1" applyBorder="1" applyAlignment="1">
      <alignment horizontal="center" wrapText="1"/>
    </xf>
    <xf numFmtId="0" fontId="23" fillId="2" borderId="3" xfId="0" applyFont="1" applyFill="1" applyBorder="1" applyAlignment="1">
      <alignment horizontal="center"/>
    </xf>
    <xf numFmtId="0" fontId="23" fillId="2" borderId="4" xfId="0" applyFont="1" applyFill="1" applyBorder="1" applyAlignment="1">
      <alignment horizontal="center"/>
    </xf>
    <xf numFmtId="0" fontId="23" fillId="2" borderId="8" xfId="0" applyFont="1" applyFill="1" applyBorder="1" applyAlignment="1">
      <alignment horizontal="center"/>
    </xf>
    <xf numFmtId="49" fontId="23" fillId="2" borderId="40" xfId="0" applyNumberFormat="1" applyFont="1" applyFill="1" applyBorder="1" applyAlignment="1">
      <alignment horizontal="center"/>
    </xf>
    <xf numFmtId="0" fontId="23" fillId="2" borderId="46" xfId="0" applyFont="1" applyFill="1" applyBorder="1" applyAlignment="1">
      <alignment horizontal="center"/>
    </xf>
    <xf numFmtId="0" fontId="23" fillId="2" borderId="69" xfId="0" applyFont="1" applyFill="1" applyBorder="1" applyAlignment="1">
      <alignment horizontal="center"/>
    </xf>
    <xf numFmtId="0" fontId="52" fillId="9" borderId="40" xfId="0" applyFont="1" applyFill="1" applyBorder="1" applyAlignment="1">
      <alignment horizontal="center"/>
    </xf>
    <xf numFmtId="0" fontId="52" fillId="9" borderId="69" xfId="0" applyFont="1" applyFill="1" applyBorder="1" applyAlignment="1">
      <alignment horizontal="center"/>
    </xf>
    <xf numFmtId="0" fontId="23" fillId="2" borderId="40" xfId="0" applyFont="1" applyFill="1" applyBorder="1" applyAlignment="1">
      <alignment horizontal="center"/>
    </xf>
    <xf numFmtId="0" fontId="23" fillId="2" borderId="43" xfId="0" applyFont="1" applyFill="1" applyBorder="1" applyAlignment="1">
      <alignment horizontal="center"/>
    </xf>
    <xf numFmtId="49" fontId="23" fillId="2" borderId="11" xfId="0" applyNumberFormat="1" applyFont="1" applyFill="1" applyBorder="1" applyAlignment="1">
      <alignment horizontal="center"/>
    </xf>
    <xf numFmtId="0" fontId="23" fillId="2" borderId="11" xfId="0" applyFont="1" applyFill="1" applyBorder="1" applyAlignment="1">
      <alignment horizontal="center"/>
    </xf>
    <xf numFmtId="49" fontId="23" fillId="2" borderId="1" xfId="0" applyNumberFormat="1" applyFont="1" applyFill="1" applyBorder="1" applyAlignment="1">
      <alignment horizontal="center"/>
    </xf>
    <xf numFmtId="0" fontId="23" fillId="2" borderId="1" xfId="0" applyFont="1" applyFill="1" applyBorder="1" applyAlignment="1">
      <alignment horizontal="center"/>
    </xf>
    <xf numFmtId="0" fontId="52" fillId="9" borderId="37" xfId="0" applyFont="1" applyFill="1" applyBorder="1" applyAlignment="1">
      <alignment horizontal="center"/>
    </xf>
    <xf numFmtId="0" fontId="52" fillId="9" borderId="41" xfId="0" applyFont="1" applyFill="1" applyBorder="1" applyAlignment="1">
      <alignment horizontal="center"/>
    </xf>
    <xf numFmtId="49" fontId="23" fillId="2" borderId="50" xfId="0" applyNumberFormat="1" applyFont="1" applyFill="1" applyBorder="1" applyAlignment="1">
      <alignment horizontal="center"/>
    </xf>
    <xf numFmtId="0" fontId="23" fillId="2" borderId="64" xfId="0" applyFont="1" applyFill="1" applyBorder="1" applyAlignment="1">
      <alignment horizontal="center"/>
    </xf>
    <xf numFmtId="0" fontId="23" fillId="2" borderId="60" xfId="0" applyFont="1" applyFill="1" applyBorder="1" applyAlignment="1">
      <alignment horizontal="center"/>
    </xf>
    <xf numFmtId="49" fontId="23" fillId="2" borderId="37" xfId="0" applyNumberFormat="1" applyFont="1" applyFill="1" applyBorder="1" applyAlignment="1">
      <alignment horizontal="center"/>
    </xf>
    <xf numFmtId="0" fontId="23" fillId="2" borderId="41" xfId="0" applyFont="1" applyFill="1" applyBorder="1" applyAlignment="1">
      <alignment horizontal="center"/>
    </xf>
    <xf numFmtId="0" fontId="22" fillId="2" borderId="49" xfId="0" applyFont="1" applyFill="1" applyBorder="1" applyAlignment="1">
      <alignment horizontal="center" vertical="top"/>
    </xf>
    <xf numFmtId="0" fontId="22" fillId="2" borderId="46" xfId="0" applyFont="1" applyFill="1" applyBorder="1" applyAlignment="1">
      <alignment horizontal="center" vertical="top"/>
    </xf>
    <xf numFmtId="0" fontId="22" fillId="2" borderId="43" xfId="0" applyFont="1" applyFill="1" applyBorder="1" applyAlignment="1">
      <alignment horizontal="center" vertical="top"/>
    </xf>
    <xf numFmtId="0" fontId="22" fillId="2" borderId="51" xfId="0" applyFont="1" applyFill="1" applyBorder="1" applyAlignment="1">
      <alignment horizontal="center"/>
    </xf>
    <xf numFmtId="0" fontId="22" fillId="2" borderId="38" xfId="0" applyFont="1" applyFill="1" applyBorder="1" applyAlignment="1">
      <alignment horizontal="center"/>
    </xf>
    <xf numFmtId="0" fontId="22" fillId="2" borderId="42" xfId="0" applyFont="1" applyFill="1" applyBorder="1" applyAlignment="1">
      <alignment horizontal="center"/>
    </xf>
    <xf numFmtId="0" fontId="21" fillId="9" borderId="18" xfId="0" applyFont="1" applyFill="1" applyBorder="1" applyAlignment="1">
      <alignment horizontal="center"/>
    </xf>
    <xf numFmtId="0" fontId="21" fillId="9" borderId="53" xfId="0" applyFont="1" applyFill="1" applyBorder="1" applyAlignment="1">
      <alignment horizontal="center"/>
    </xf>
    <xf numFmtId="0" fontId="21" fillId="9" borderId="52" xfId="0" applyFont="1" applyFill="1" applyBorder="1" applyAlignment="1">
      <alignment horizontal="center"/>
    </xf>
    <xf numFmtId="0" fontId="22" fillId="2" borderId="12" xfId="0" applyFont="1" applyFill="1" applyBorder="1" applyAlignment="1">
      <alignment horizontal="center" vertical="top"/>
    </xf>
    <xf numFmtId="0" fontId="22" fillId="2" borderId="13" xfId="0" applyFont="1" applyFill="1" applyBorder="1" applyAlignment="1">
      <alignment horizontal="center" vertical="top"/>
    </xf>
    <xf numFmtId="0" fontId="22" fillId="2" borderId="14" xfId="0" applyFont="1" applyFill="1" applyBorder="1" applyAlignment="1">
      <alignment horizontal="center" vertical="top"/>
    </xf>
    <xf numFmtId="0" fontId="22" fillId="2" borderId="51" xfId="0" applyFont="1" applyFill="1" applyBorder="1" applyAlignment="1">
      <alignment horizontal="center" vertical="top"/>
    </xf>
    <xf numFmtId="0" fontId="22" fillId="2" borderId="38" xfId="0" applyFont="1" applyFill="1" applyBorder="1" applyAlignment="1">
      <alignment horizontal="center" vertical="top"/>
    </xf>
    <xf numFmtId="0" fontId="22" fillId="2" borderId="42" xfId="0" applyFont="1" applyFill="1" applyBorder="1" applyAlignment="1">
      <alignment horizontal="center" vertical="top"/>
    </xf>
    <xf numFmtId="0" fontId="52" fillId="3" borderId="24" xfId="0" applyFont="1" applyFill="1" applyBorder="1" applyAlignment="1">
      <alignment horizontal="center" wrapText="1"/>
    </xf>
    <xf numFmtId="0" fontId="52" fillId="3" borderId="52" xfId="0" applyFont="1" applyFill="1" applyBorder="1" applyAlignment="1">
      <alignment horizontal="center" wrapText="1"/>
    </xf>
    <xf numFmtId="0" fontId="52" fillId="3" borderId="53" xfId="0" applyFont="1" applyFill="1" applyBorder="1" applyAlignment="1">
      <alignment horizontal="center" wrapText="1"/>
    </xf>
    <xf numFmtId="0" fontId="52" fillId="9" borderId="50" xfId="0" applyFont="1" applyFill="1" applyBorder="1" applyAlignment="1">
      <alignment horizontal="center"/>
    </xf>
    <xf numFmtId="0" fontId="52" fillId="9" borderId="60" xfId="0" applyFont="1" applyFill="1" applyBorder="1" applyAlignment="1">
      <alignment horizontal="center"/>
    </xf>
    <xf numFmtId="0" fontId="21" fillId="4" borderId="18" xfId="0" applyFont="1" applyFill="1" applyBorder="1" applyAlignment="1">
      <alignment horizontal="center"/>
    </xf>
    <xf numFmtId="0" fontId="21" fillId="4" borderId="52" xfId="0" applyFont="1" applyFill="1" applyBorder="1" applyAlignment="1">
      <alignment horizontal="center"/>
    </xf>
    <xf numFmtId="0" fontId="21" fillId="4" borderId="53" xfId="0" applyFont="1" applyFill="1" applyBorder="1" applyAlignment="1">
      <alignment horizontal="center"/>
    </xf>
    <xf numFmtId="0" fontId="23" fillId="2" borderId="12" xfId="0" applyFont="1" applyFill="1" applyBorder="1" applyAlignment="1">
      <alignment horizontal="center"/>
    </xf>
    <xf numFmtId="0" fontId="23" fillId="2" borderId="68" xfId="0" applyFont="1" applyFill="1" applyBorder="1" applyAlignment="1">
      <alignment horizontal="center"/>
    </xf>
    <xf numFmtId="0" fontId="23" fillId="2" borderId="13" xfId="0" applyFont="1" applyFill="1" applyBorder="1" applyAlignment="1">
      <alignment horizontal="center"/>
    </xf>
    <xf numFmtId="0" fontId="23" fillId="2" borderId="14" xfId="0" applyFont="1" applyFill="1" applyBorder="1" applyAlignment="1">
      <alignment horizontal="center"/>
    </xf>
    <xf numFmtId="0" fontId="20" fillId="2" borderId="26" xfId="0" applyFont="1" applyFill="1" applyBorder="1" applyAlignment="1">
      <alignment horizontal="center" vertical="center"/>
    </xf>
    <xf numFmtId="0" fontId="20" fillId="2" borderId="21" xfId="0" applyFont="1" applyFill="1" applyBorder="1" applyAlignment="1">
      <alignment horizontal="center" vertical="center"/>
    </xf>
    <xf numFmtId="0" fontId="20" fillId="2" borderId="27" xfId="0" applyFont="1" applyFill="1" applyBorder="1" applyAlignment="1">
      <alignment horizontal="center" vertical="center"/>
    </xf>
    <xf numFmtId="0" fontId="20" fillId="2" borderId="28" xfId="0" applyFont="1" applyFill="1" applyBorder="1" applyAlignment="1">
      <alignment horizontal="center" vertical="center"/>
    </xf>
    <xf numFmtId="0" fontId="20" fillId="2" borderId="0" xfId="0" applyFont="1" applyFill="1" applyAlignment="1">
      <alignment horizontal="center" vertical="center"/>
    </xf>
    <xf numFmtId="0" fontId="20" fillId="2" borderId="15" xfId="0" applyFont="1" applyFill="1" applyBorder="1" applyAlignment="1">
      <alignment horizontal="center" vertical="center"/>
    </xf>
    <xf numFmtId="0" fontId="20" fillId="2" borderId="23" xfId="0" applyFont="1" applyFill="1" applyBorder="1" applyAlignment="1">
      <alignment horizontal="center" vertical="center"/>
    </xf>
    <xf numFmtId="0" fontId="20" fillId="2" borderId="24" xfId="0" applyFont="1" applyFill="1" applyBorder="1" applyAlignment="1">
      <alignment horizontal="center" vertical="center"/>
    </xf>
    <xf numFmtId="0" fontId="20" fillId="2" borderId="30" xfId="0" applyFont="1" applyFill="1" applyBorder="1" applyAlignment="1">
      <alignment horizontal="center" vertical="center"/>
    </xf>
    <xf numFmtId="0" fontId="21" fillId="0" borderId="12" xfId="0" applyFont="1" applyBorder="1" applyAlignment="1">
      <alignment horizontal="left" vertical="center" indent="1"/>
    </xf>
    <xf numFmtId="0" fontId="21" fillId="0" borderId="13" xfId="0" applyFont="1" applyBorder="1" applyAlignment="1">
      <alignment horizontal="left" vertical="center" indent="1"/>
    </xf>
    <xf numFmtId="0" fontId="21" fillId="0" borderId="14" xfId="0" applyFont="1" applyBorder="1" applyAlignment="1">
      <alignment horizontal="left" vertical="center" indent="1"/>
    </xf>
    <xf numFmtId="0" fontId="21" fillId="0" borderId="51" xfId="0" applyFont="1" applyBorder="1" applyAlignment="1">
      <alignment horizontal="left" vertical="center" indent="1"/>
    </xf>
    <xf numFmtId="0" fontId="21" fillId="0" borderId="38" xfId="0" applyFont="1" applyBorder="1" applyAlignment="1">
      <alignment horizontal="left" vertical="center" indent="1"/>
    </xf>
    <xf numFmtId="0" fontId="21" fillId="0" borderId="42" xfId="0" applyFont="1" applyBorder="1" applyAlignment="1">
      <alignment horizontal="left" vertical="center" indent="1"/>
    </xf>
    <xf numFmtId="0" fontId="21" fillId="0" borderId="49" xfId="0" applyFont="1" applyBorder="1" applyAlignment="1">
      <alignment horizontal="left" vertical="center" indent="1"/>
    </xf>
    <xf numFmtId="0" fontId="21" fillId="0" borderId="46" xfId="0" applyFont="1" applyBorder="1" applyAlignment="1">
      <alignment horizontal="left" vertical="center" indent="1"/>
    </xf>
    <xf numFmtId="0" fontId="21" fillId="0" borderId="43" xfId="0" applyFont="1" applyBorder="1" applyAlignment="1">
      <alignment horizontal="left" vertical="center" indent="1"/>
    </xf>
    <xf numFmtId="0" fontId="18" fillId="10" borderId="18" xfId="0" applyFont="1" applyFill="1" applyBorder="1" applyAlignment="1">
      <alignment horizontal="center" vertical="center"/>
    </xf>
    <xf numFmtId="0" fontId="18" fillId="10" borderId="52" xfId="0" applyFont="1" applyFill="1" applyBorder="1" applyAlignment="1">
      <alignment horizontal="center" vertical="center"/>
    </xf>
    <xf numFmtId="0" fontId="18" fillId="10" borderId="53" xfId="0" applyFont="1" applyFill="1" applyBorder="1" applyAlignment="1">
      <alignment horizontal="center" vertical="center"/>
    </xf>
    <xf numFmtId="0" fontId="45" fillId="32" borderId="19" xfId="0" applyFont="1" applyFill="1" applyBorder="1" applyAlignment="1" applyProtection="1">
      <alignment horizontal="center" vertical="center" wrapText="1"/>
      <protection locked="0"/>
    </xf>
    <xf numFmtId="0" fontId="45" fillId="32" borderId="17" xfId="0" applyFont="1" applyFill="1" applyBorder="1" applyAlignment="1" applyProtection="1">
      <alignment horizontal="center" vertical="center" wrapText="1"/>
      <protection locked="0"/>
    </xf>
    <xf numFmtId="0" fontId="45" fillId="32" borderId="29" xfId="0" applyFont="1" applyFill="1" applyBorder="1" applyAlignment="1" applyProtection="1">
      <alignment horizontal="center" vertical="center" wrapText="1"/>
      <protection locked="0"/>
    </xf>
    <xf numFmtId="0" fontId="45" fillId="32" borderId="67" xfId="0" applyFont="1" applyFill="1" applyBorder="1" applyAlignment="1" applyProtection="1">
      <alignment horizontal="center" vertical="center" wrapText="1"/>
      <protection locked="0"/>
    </xf>
    <xf numFmtId="0" fontId="24" fillId="2" borderId="2" xfId="0" applyFont="1" applyFill="1" applyBorder="1" applyAlignment="1" applyProtection="1">
      <alignment horizontal="center" vertical="center" wrapText="1"/>
      <protection locked="0"/>
    </xf>
    <xf numFmtId="0" fontId="24" fillId="2" borderId="3" xfId="0" applyFont="1" applyFill="1" applyBorder="1" applyAlignment="1" applyProtection="1">
      <alignment horizontal="center" vertical="center" wrapText="1"/>
      <protection locked="0"/>
    </xf>
    <xf numFmtId="0" fontId="24" fillId="2" borderId="4" xfId="0" applyFont="1" applyFill="1" applyBorder="1" applyAlignment="1" applyProtection="1">
      <alignment horizontal="center" vertical="center" wrapText="1"/>
      <protection locked="0"/>
    </xf>
    <xf numFmtId="0" fontId="24" fillId="2" borderId="5" xfId="0" applyFont="1" applyFill="1" applyBorder="1" applyAlignment="1" applyProtection="1">
      <alignment horizontal="center" vertical="center" wrapText="1"/>
      <protection locked="0"/>
    </xf>
    <xf numFmtId="0" fontId="24" fillId="2" borderId="1" xfId="0" applyFont="1" applyFill="1" applyBorder="1" applyAlignment="1" applyProtection="1">
      <alignment horizontal="center" vertical="center" wrapText="1"/>
      <protection locked="0"/>
    </xf>
    <xf numFmtId="0" fontId="24" fillId="2" borderId="6" xfId="0" applyFont="1" applyFill="1" applyBorder="1" applyAlignment="1" applyProtection="1">
      <alignment horizontal="center" vertical="center" wrapText="1"/>
      <protection locked="0"/>
    </xf>
    <xf numFmtId="0" fontId="24" fillId="2" borderId="5" xfId="0" applyFont="1" applyFill="1" applyBorder="1" applyAlignment="1" applyProtection="1">
      <alignment horizontal="left" vertical="center" wrapText="1"/>
      <protection locked="0"/>
    </xf>
    <xf numFmtId="0" fontId="24" fillId="2" borderId="1" xfId="0" applyFont="1" applyFill="1" applyBorder="1" applyAlignment="1" applyProtection="1">
      <alignment horizontal="left" vertical="center" wrapText="1"/>
      <protection locked="0"/>
    </xf>
    <xf numFmtId="0" fontId="24" fillId="2" borderId="6" xfId="0" applyFont="1" applyFill="1" applyBorder="1" applyAlignment="1" applyProtection="1">
      <alignment horizontal="left" vertical="center" wrapText="1"/>
      <protection locked="0"/>
    </xf>
    <xf numFmtId="0" fontId="24" fillId="2" borderId="39" xfId="0" applyFont="1" applyFill="1" applyBorder="1" applyAlignment="1" applyProtection="1">
      <alignment horizontal="left" vertical="center"/>
      <protection locked="0"/>
    </xf>
    <xf numFmtId="0" fontId="24" fillId="2" borderId="14" xfId="0" applyFont="1" applyFill="1" applyBorder="1" applyAlignment="1" applyProtection="1">
      <alignment horizontal="left" vertical="center"/>
      <protection locked="0"/>
    </xf>
    <xf numFmtId="0" fontId="24" fillId="2" borderId="37" xfId="0" applyFont="1" applyFill="1" applyBorder="1" applyAlignment="1" applyProtection="1">
      <alignment horizontal="left" vertical="center"/>
      <protection locked="0"/>
    </xf>
    <xf numFmtId="0" fontId="24" fillId="2" borderId="42" xfId="0" applyFont="1" applyFill="1" applyBorder="1" applyAlignment="1" applyProtection="1">
      <alignment horizontal="left" vertical="center"/>
      <protection locked="0"/>
    </xf>
    <xf numFmtId="0" fontId="58" fillId="30" borderId="26" xfId="0" applyFont="1" applyFill="1" applyBorder="1" applyAlignment="1" applyProtection="1">
      <alignment horizontal="center" vertical="center"/>
      <protection locked="0"/>
    </xf>
    <xf numFmtId="0" fontId="58" fillId="30" borderId="21" xfId="0" applyFont="1" applyFill="1" applyBorder="1" applyAlignment="1" applyProtection="1">
      <alignment horizontal="center" vertical="center"/>
      <protection locked="0"/>
    </xf>
    <xf numFmtId="0" fontId="58" fillId="30" borderId="27" xfId="0" applyFont="1" applyFill="1" applyBorder="1" applyAlignment="1" applyProtection="1">
      <alignment horizontal="center" vertical="center"/>
      <protection locked="0"/>
    </xf>
    <xf numFmtId="0" fontId="58" fillId="30" borderId="28" xfId="0" applyFont="1" applyFill="1" applyBorder="1" applyAlignment="1" applyProtection="1">
      <alignment horizontal="center" vertical="center"/>
      <protection locked="0"/>
    </xf>
    <xf numFmtId="0" fontId="58" fillId="30" borderId="0" xfId="0" applyFont="1" applyFill="1" applyAlignment="1" applyProtection="1">
      <alignment horizontal="center" vertical="center"/>
      <protection locked="0"/>
    </xf>
    <xf numFmtId="0" fontId="58" fillId="30" borderId="15" xfId="0" applyFont="1" applyFill="1" applyBorder="1" applyAlignment="1" applyProtection="1">
      <alignment horizontal="center" vertical="center"/>
      <protection locked="0"/>
    </xf>
    <xf numFmtId="0" fontId="45" fillId="32" borderId="31" xfId="0" applyFont="1" applyFill="1" applyBorder="1" applyAlignment="1" applyProtection="1">
      <alignment horizontal="center" vertical="center" wrapText="1"/>
      <protection locked="0"/>
    </xf>
    <xf numFmtId="0" fontId="45" fillId="32" borderId="32" xfId="0" applyFont="1" applyFill="1" applyBorder="1" applyAlignment="1" applyProtection="1">
      <alignment horizontal="center" vertical="center" wrapText="1"/>
      <protection locked="0"/>
    </xf>
    <xf numFmtId="0" fontId="45" fillId="32" borderId="33" xfId="0" applyFont="1" applyFill="1" applyBorder="1" applyAlignment="1" applyProtection="1">
      <alignment horizontal="center" vertical="center" wrapText="1"/>
      <protection locked="0"/>
    </xf>
    <xf numFmtId="0" fontId="15" fillId="17" borderId="51" xfId="0" applyFont="1" applyFill="1" applyBorder="1" applyAlignment="1" applyProtection="1">
      <alignment horizontal="left" vertical="center" wrapText="1"/>
      <protection locked="0"/>
    </xf>
    <xf numFmtId="0" fontId="46" fillId="17" borderId="51" xfId="0" applyFont="1" applyFill="1" applyBorder="1" applyAlignment="1" applyProtection="1">
      <alignment horizontal="left" vertical="center"/>
      <protection locked="0"/>
    </xf>
    <xf numFmtId="0" fontId="15" fillId="2" borderId="40" xfId="0" applyFont="1" applyFill="1" applyBorder="1" applyAlignment="1" applyProtection="1">
      <alignment horizontal="center" vertical="center" wrapText="1"/>
      <protection locked="0"/>
    </xf>
    <xf numFmtId="0" fontId="15" fillId="2" borderId="43" xfId="0" applyFont="1" applyFill="1" applyBorder="1" applyAlignment="1" applyProtection="1">
      <alignment horizontal="center" vertical="center" wrapText="1"/>
      <protection locked="0"/>
    </xf>
    <xf numFmtId="0" fontId="45" fillId="32" borderId="18" xfId="0" applyFont="1" applyFill="1" applyBorder="1" applyAlignment="1" applyProtection="1">
      <alignment horizontal="center" vertical="center" wrapText="1"/>
      <protection locked="0"/>
    </xf>
    <xf numFmtId="0" fontId="45" fillId="32" borderId="52" xfId="0" applyFont="1" applyFill="1" applyBorder="1" applyAlignment="1" applyProtection="1">
      <alignment horizontal="center" vertical="center" wrapText="1"/>
      <protection locked="0"/>
    </xf>
    <xf numFmtId="0" fontId="45" fillId="32" borderId="53" xfId="0" applyFont="1" applyFill="1" applyBorder="1" applyAlignment="1" applyProtection="1">
      <alignment horizontal="center" vertical="center" wrapText="1"/>
      <protection locked="0"/>
    </xf>
    <xf numFmtId="0" fontId="45" fillId="32" borderId="23" xfId="0" applyFont="1" applyFill="1" applyBorder="1" applyAlignment="1" applyProtection="1">
      <alignment horizontal="center" vertical="center" wrapText="1"/>
      <protection locked="0"/>
    </xf>
    <xf numFmtId="0" fontId="45" fillId="32" borderId="24" xfId="0" applyFont="1" applyFill="1" applyBorder="1" applyAlignment="1" applyProtection="1">
      <alignment horizontal="center" vertical="center" wrapText="1"/>
      <protection locked="0"/>
    </xf>
    <xf numFmtId="0" fontId="45" fillId="32" borderId="30" xfId="0" applyFont="1" applyFill="1" applyBorder="1" applyAlignment="1" applyProtection="1">
      <alignment horizontal="center" vertical="center" wrapText="1"/>
      <protection locked="0"/>
    </xf>
    <xf numFmtId="0" fontId="45" fillId="32" borderId="26" xfId="0" applyFont="1" applyFill="1" applyBorder="1" applyAlignment="1" applyProtection="1">
      <alignment horizontal="center" vertical="center" wrapText="1"/>
      <protection locked="0"/>
    </xf>
    <xf numFmtId="0" fontId="45" fillId="32" borderId="0" xfId="0" applyFont="1" applyFill="1" applyAlignment="1" applyProtection="1">
      <alignment horizontal="center" vertical="center" wrapText="1"/>
      <protection locked="0"/>
    </xf>
    <xf numFmtId="0" fontId="45" fillId="32" borderId="15" xfId="0" applyFont="1" applyFill="1" applyBorder="1" applyAlignment="1" applyProtection="1">
      <alignment horizontal="center" vertical="center" wrapText="1"/>
      <protection locked="0"/>
    </xf>
    <xf numFmtId="0" fontId="59" fillId="31" borderId="18" xfId="0" applyFont="1" applyFill="1" applyBorder="1" applyAlignment="1" applyProtection="1">
      <alignment horizontal="center" vertical="center"/>
      <protection locked="0"/>
    </xf>
    <xf numFmtId="0" fontId="59" fillId="31" borderId="52" xfId="0" applyFont="1" applyFill="1" applyBorder="1" applyAlignment="1" applyProtection="1">
      <alignment horizontal="center" vertical="center"/>
      <protection locked="0"/>
    </xf>
    <xf numFmtId="0" fontId="59" fillId="31" borderId="53" xfId="0" applyFont="1" applyFill="1" applyBorder="1" applyAlignment="1" applyProtection="1">
      <alignment horizontal="center" vertical="center"/>
      <protection locked="0"/>
    </xf>
    <xf numFmtId="14" fontId="24" fillId="2" borderId="80" xfId="0" applyNumberFormat="1" applyFont="1" applyFill="1" applyBorder="1" applyAlignment="1" applyProtection="1">
      <alignment horizontal="center" vertical="center"/>
      <protection locked="0"/>
    </xf>
    <xf numFmtId="0" fontId="24" fillId="2" borderId="30" xfId="0" applyFont="1" applyFill="1" applyBorder="1" applyAlignment="1" applyProtection="1">
      <alignment horizontal="center" vertical="center"/>
      <protection locked="0"/>
    </xf>
    <xf numFmtId="0" fontId="45" fillId="32" borderId="20" xfId="0" applyFont="1" applyFill="1" applyBorder="1" applyAlignment="1" applyProtection="1">
      <alignment horizontal="center" vertical="center" wrapText="1"/>
      <protection locked="0"/>
    </xf>
    <xf numFmtId="0" fontId="45" fillId="32" borderId="25" xfId="0" applyFont="1" applyFill="1" applyBorder="1" applyAlignment="1" applyProtection="1">
      <alignment horizontal="center" vertical="center" wrapText="1"/>
      <protection locked="0"/>
    </xf>
    <xf numFmtId="0" fontId="15" fillId="2" borderId="46" xfId="0" applyFont="1" applyFill="1" applyBorder="1" applyAlignment="1" applyProtection="1">
      <alignment horizontal="center" vertical="center" wrapText="1"/>
      <protection locked="0"/>
    </xf>
    <xf numFmtId="0" fontId="15" fillId="2" borderId="69" xfId="0" applyFont="1" applyFill="1" applyBorder="1" applyAlignment="1" applyProtection="1">
      <alignment horizontal="center" vertical="center" wrapText="1"/>
      <protection locked="0"/>
    </xf>
    <xf numFmtId="0" fontId="45" fillId="4" borderId="18" xfId="0" applyFont="1" applyFill="1" applyBorder="1" applyAlignment="1" applyProtection="1">
      <alignment horizontal="center" vertical="center" wrapText="1"/>
      <protection locked="0"/>
    </xf>
    <xf numFmtId="0" fontId="45" fillId="4" borderId="52" xfId="0" applyFont="1" applyFill="1" applyBorder="1" applyAlignment="1" applyProtection="1">
      <alignment horizontal="center" vertical="center" wrapText="1"/>
      <protection locked="0"/>
    </xf>
    <xf numFmtId="0" fontId="45" fillId="4" borderId="53" xfId="0" applyFont="1" applyFill="1" applyBorder="1" applyAlignment="1" applyProtection="1">
      <alignment horizontal="center" vertical="center" wrapText="1"/>
      <protection locked="0"/>
    </xf>
    <xf numFmtId="0" fontId="45" fillId="4" borderId="18" xfId="0" applyFont="1" applyFill="1" applyBorder="1" applyAlignment="1" applyProtection="1">
      <alignment horizontal="center" vertical="center"/>
      <protection locked="0"/>
    </xf>
    <xf numFmtId="0" fontId="45" fillId="4" borderId="52" xfId="0" applyFont="1" applyFill="1" applyBorder="1" applyAlignment="1" applyProtection="1">
      <alignment horizontal="center" vertical="center"/>
      <protection locked="0"/>
    </xf>
    <xf numFmtId="0" fontId="45" fillId="4" borderId="53" xfId="0" applyFont="1" applyFill="1" applyBorder="1" applyAlignment="1" applyProtection="1">
      <alignment horizontal="center" vertical="center"/>
      <protection locked="0"/>
    </xf>
    <xf numFmtId="0" fontId="24" fillId="2" borderId="8" xfId="0" applyFont="1" applyFill="1" applyBorder="1" applyAlignment="1" applyProtection="1">
      <alignment horizontal="center" vertical="center"/>
      <protection locked="0"/>
    </xf>
    <xf numFmtId="0" fontId="15" fillId="2" borderId="8" xfId="0" applyFont="1" applyFill="1" applyBorder="1" applyAlignment="1" applyProtection="1">
      <alignment horizontal="center" vertical="center" wrapText="1"/>
      <protection locked="0"/>
    </xf>
    <xf numFmtId="0" fontId="15" fillId="2" borderId="9" xfId="0" applyFont="1" applyFill="1" applyBorder="1" applyAlignment="1" applyProtection="1">
      <alignment horizontal="center" vertical="center" wrapText="1"/>
      <protection locked="0"/>
    </xf>
    <xf numFmtId="0" fontId="45" fillId="33" borderId="31" xfId="0" applyFont="1" applyFill="1" applyBorder="1" applyAlignment="1" applyProtection="1">
      <alignment horizontal="center" vertical="center" wrapText="1"/>
      <protection locked="0"/>
    </xf>
    <xf numFmtId="0" fontId="45" fillId="33" borderId="32" xfId="0" applyFont="1" applyFill="1" applyBorder="1" applyAlignment="1" applyProtection="1">
      <alignment horizontal="center" vertical="center" wrapText="1"/>
      <protection locked="0"/>
    </xf>
    <xf numFmtId="0" fontId="45" fillId="33" borderId="33" xfId="0" applyFont="1" applyFill="1" applyBorder="1" applyAlignment="1" applyProtection="1">
      <alignment horizontal="center" vertical="center" wrapText="1"/>
      <protection locked="0"/>
    </xf>
    <xf numFmtId="0" fontId="15" fillId="2" borderId="34" xfId="0" applyFont="1" applyFill="1" applyBorder="1" applyAlignment="1" applyProtection="1">
      <alignment horizontal="center" vertical="center" wrapText="1"/>
      <protection locked="0"/>
    </xf>
    <xf numFmtId="0" fontId="15" fillId="2" borderId="6" xfId="0" applyFont="1" applyFill="1" applyBorder="1" applyAlignment="1" applyProtection="1">
      <alignment horizontal="center" vertical="center" wrapText="1"/>
      <protection locked="0"/>
    </xf>
    <xf numFmtId="0" fontId="24" fillId="2" borderId="39" xfId="0" quotePrefix="1" applyFont="1" applyFill="1" applyBorder="1" applyAlignment="1" applyProtection="1">
      <alignment horizontal="center" vertical="center" wrapText="1"/>
      <protection locked="0"/>
    </xf>
    <xf numFmtId="0" fontId="24" fillId="2" borderId="13" xfId="0" applyFont="1" applyFill="1" applyBorder="1" applyAlignment="1" applyProtection="1">
      <alignment horizontal="center" vertical="center"/>
      <protection locked="0"/>
    </xf>
    <xf numFmtId="0" fontId="24" fillId="2" borderId="14" xfId="0" applyFont="1" applyFill="1" applyBorder="1" applyAlignment="1" applyProtection="1">
      <alignment horizontal="center" vertical="center"/>
      <protection locked="0"/>
    </xf>
    <xf numFmtId="0" fontId="22" fillId="17" borderId="3" xfId="0" applyFont="1" applyFill="1" applyBorder="1" applyAlignment="1" applyProtection="1">
      <alignment horizontal="center" vertical="center"/>
      <protection hidden="1"/>
    </xf>
    <xf numFmtId="0" fontId="22" fillId="17" borderId="8" xfId="0" applyFont="1" applyFill="1" applyBorder="1" applyAlignment="1" applyProtection="1">
      <alignment horizontal="center" vertical="center"/>
      <protection hidden="1"/>
    </xf>
    <xf numFmtId="0" fontId="22" fillId="0" borderId="29" xfId="0" applyFont="1" applyBorder="1" applyAlignment="1" applyProtection="1">
      <alignment horizontal="center" vertical="center" wrapText="1"/>
      <protection locked="0"/>
    </xf>
    <xf numFmtId="0" fontId="22" fillId="0" borderId="20" xfId="0" applyFont="1" applyBorder="1" applyAlignment="1" applyProtection="1">
      <alignment horizontal="center" vertical="center" wrapText="1"/>
      <protection locked="0"/>
    </xf>
    <xf numFmtId="0" fontId="22" fillId="17" borderId="11" xfId="0" applyFont="1" applyFill="1" applyBorder="1" applyAlignment="1" applyProtection="1">
      <alignment horizontal="center" vertical="center"/>
      <protection hidden="1"/>
    </xf>
    <xf numFmtId="0" fontId="22" fillId="17" borderId="16" xfId="0" applyFont="1" applyFill="1" applyBorder="1" applyAlignment="1" applyProtection="1">
      <alignment horizontal="center" vertical="center"/>
      <protection hidden="1"/>
    </xf>
    <xf numFmtId="0" fontId="22" fillId="2" borderId="29" xfId="0" applyFont="1" applyFill="1" applyBorder="1" applyAlignment="1" applyProtection="1">
      <alignment horizontal="center" vertical="center"/>
      <protection locked="0"/>
    </xf>
    <xf numFmtId="0" fontId="22" fillId="2" borderId="20" xfId="0" applyFont="1" applyFill="1" applyBorder="1" applyAlignment="1" applyProtection="1">
      <alignment horizontal="center" vertical="center"/>
      <protection locked="0"/>
    </xf>
    <xf numFmtId="0" fontId="22" fillId="2" borderId="11" xfId="0" applyFont="1" applyFill="1" applyBorder="1" applyAlignment="1" applyProtection="1">
      <alignment horizontal="center" vertical="center"/>
      <protection locked="0"/>
    </xf>
    <xf numFmtId="0" fontId="22" fillId="2" borderId="16" xfId="0" applyFont="1" applyFill="1" applyBorder="1" applyAlignment="1" applyProtection="1">
      <alignment horizontal="center" vertical="center"/>
      <protection locked="0"/>
    </xf>
    <xf numFmtId="0" fontId="22" fillId="2" borderId="3" xfId="0" applyFont="1" applyFill="1" applyBorder="1" applyAlignment="1" applyProtection="1">
      <alignment horizontal="center" vertical="center"/>
      <protection locked="0"/>
    </xf>
    <xf numFmtId="0" fontId="22" fillId="2" borderId="8" xfId="0" applyFont="1" applyFill="1" applyBorder="1" applyAlignment="1" applyProtection="1">
      <alignment horizontal="center" vertical="center"/>
      <protection locked="0"/>
    </xf>
    <xf numFmtId="0" fontId="21" fillId="9" borderId="18" xfId="0" applyFont="1" applyFill="1" applyBorder="1" applyAlignment="1">
      <alignment horizontal="center" vertical="center" wrapText="1"/>
    </xf>
    <xf numFmtId="0" fontId="21" fillId="9" borderId="52" xfId="0" applyFont="1" applyFill="1" applyBorder="1" applyAlignment="1">
      <alignment horizontal="center" vertical="center" wrapText="1"/>
    </xf>
    <xf numFmtId="0" fontId="21" fillId="9" borderId="53" xfId="0" applyFont="1" applyFill="1" applyBorder="1" applyAlignment="1">
      <alignment horizontal="center" vertical="center" wrapText="1"/>
    </xf>
    <xf numFmtId="0" fontId="93" fillId="18" borderId="37" xfId="0" applyFont="1" applyFill="1" applyBorder="1" applyAlignment="1">
      <alignment horizontal="center" vertical="center"/>
    </xf>
    <xf numFmtId="0" fontId="93" fillId="18" borderId="42" xfId="0" applyFont="1" applyFill="1" applyBorder="1" applyAlignment="1">
      <alignment horizontal="center" vertical="center"/>
    </xf>
    <xf numFmtId="0" fontId="15" fillId="0" borderId="0" xfId="0" applyFont="1" applyAlignment="1">
      <alignment horizontal="center" vertical="center"/>
    </xf>
    <xf numFmtId="0" fontId="41" fillId="9" borderId="18" xfId="0" applyFont="1" applyFill="1" applyBorder="1" applyAlignment="1">
      <alignment horizontal="center" vertical="center"/>
    </xf>
    <xf numFmtId="0" fontId="41" fillId="9" borderId="52" xfId="0" applyFont="1" applyFill="1" applyBorder="1" applyAlignment="1">
      <alignment horizontal="center" vertical="center"/>
    </xf>
    <xf numFmtId="0" fontId="41" fillId="9" borderId="53" xfId="0" applyFont="1" applyFill="1" applyBorder="1" applyAlignment="1">
      <alignment horizontal="center" vertical="center"/>
    </xf>
    <xf numFmtId="0" fontId="22" fillId="2" borderId="34" xfId="0" applyFont="1" applyFill="1" applyBorder="1" applyAlignment="1" applyProtection="1">
      <alignment horizontal="center" vertical="center"/>
      <protection locked="0"/>
    </xf>
    <xf numFmtId="0" fontId="22" fillId="2" borderId="35" xfId="0" applyFont="1" applyFill="1" applyBorder="1" applyAlignment="1" applyProtection="1">
      <alignment horizontal="center" vertical="center"/>
      <protection locked="0"/>
    </xf>
    <xf numFmtId="0" fontId="22" fillId="2" borderId="4" xfId="0" applyFont="1" applyFill="1" applyBorder="1" applyAlignment="1" applyProtection="1">
      <alignment horizontal="center" vertical="center"/>
      <protection locked="0"/>
    </xf>
    <xf numFmtId="0" fontId="22" fillId="2" borderId="9" xfId="0" applyFont="1" applyFill="1" applyBorder="1" applyAlignment="1" applyProtection="1">
      <alignment horizontal="center" vertical="center"/>
      <protection locked="0"/>
    </xf>
    <xf numFmtId="1" fontId="22" fillId="17" borderId="29" xfId="0" applyNumberFormat="1" applyFont="1" applyFill="1" applyBorder="1" applyAlignment="1" applyProtection="1">
      <alignment horizontal="center" vertical="center" wrapText="1"/>
      <protection hidden="1"/>
    </xf>
    <xf numFmtId="1" fontId="22" fillId="17" borderId="20" xfId="0" applyNumberFormat="1" applyFont="1" applyFill="1" applyBorder="1" applyAlignment="1" applyProtection="1">
      <alignment horizontal="center" vertical="center" wrapText="1"/>
      <protection hidden="1"/>
    </xf>
    <xf numFmtId="0" fontId="21" fillId="4" borderId="61" xfId="0" applyFont="1" applyFill="1" applyBorder="1" applyAlignment="1">
      <alignment horizontal="center" vertical="center" wrapText="1"/>
    </xf>
    <xf numFmtId="0" fontId="21" fillId="4" borderId="62" xfId="0" applyFont="1" applyFill="1" applyBorder="1" applyAlignment="1">
      <alignment horizontal="center" vertical="center" wrapText="1"/>
    </xf>
    <xf numFmtId="0" fontId="21" fillId="9" borderId="87" xfId="0" applyFont="1" applyFill="1" applyBorder="1" applyAlignment="1">
      <alignment horizontal="center" vertical="center" wrapText="1"/>
    </xf>
    <xf numFmtId="0" fontId="21" fillId="9" borderId="88" xfId="0" applyFont="1" applyFill="1" applyBorder="1" applyAlignment="1">
      <alignment horizontal="center" vertical="center" wrapText="1"/>
    </xf>
    <xf numFmtId="164" fontId="95" fillId="13" borderId="18" xfId="4" applyNumberFormat="1" applyFont="1" applyFill="1" applyBorder="1" applyAlignment="1">
      <alignment horizontal="center" vertical="center" wrapText="1"/>
    </xf>
    <xf numFmtId="164" fontId="95" fillId="13" borderId="52" xfId="4" applyNumberFormat="1" applyFont="1" applyFill="1" applyBorder="1" applyAlignment="1">
      <alignment horizontal="center" vertical="center" wrapText="1"/>
    </xf>
    <xf numFmtId="164" fontId="95" fillId="13" borderId="53" xfId="4" applyNumberFormat="1" applyFont="1" applyFill="1" applyBorder="1" applyAlignment="1">
      <alignment horizontal="center" vertical="center" wrapText="1"/>
    </xf>
    <xf numFmtId="43" fontId="22" fillId="9" borderId="37" xfId="1" applyFont="1" applyFill="1" applyBorder="1" applyAlignment="1">
      <alignment horizontal="center" vertical="center"/>
    </xf>
    <xf numFmtId="43" fontId="22" fillId="9" borderId="41" xfId="1" applyFont="1" applyFill="1" applyBorder="1" applyAlignment="1">
      <alignment horizontal="center" vertical="center"/>
    </xf>
    <xf numFmtId="43" fontId="22" fillId="9" borderId="3" xfId="1" applyFont="1" applyFill="1" applyBorder="1" applyAlignment="1">
      <alignment horizontal="center" vertical="center"/>
    </xf>
    <xf numFmtId="43" fontId="22" fillId="9" borderId="1" xfId="1" applyFont="1" applyFill="1" applyBorder="1" applyAlignment="1">
      <alignment horizontal="center" vertical="center"/>
    </xf>
    <xf numFmtId="43" fontId="22" fillId="9" borderId="1" xfId="1" applyFont="1" applyFill="1" applyBorder="1" applyAlignment="1">
      <alignment horizontal="left" vertical="center"/>
    </xf>
    <xf numFmtId="13" fontId="22" fillId="9" borderId="37" xfId="1" applyNumberFormat="1" applyFont="1" applyFill="1" applyBorder="1" applyAlignment="1">
      <alignment horizontal="center" vertical="center"/>
    </xf>
    <xf numFmtId="13" fontId="22" fillId="9" borderId="41" xfId="1" applyNumberFormat="1" applyFont="1" applyFill="1" applyBorder="1" applyAlignment="1">
      <alignment horizontal="center" vertical="center"/>
    </xf>
    <xf numFmtId="0" fontId="21" fillId="9" borderId="4" xfId="0" applyFont="1" applyFill="1" applyBorder="1" applyAlignment="1">
      <alignment horizontal="center" vertical="center" wrapText="1"/>
    </xf>
    <xf numFmtId="0" fontId="21" fillId="9" borderId="67" xfId="0" applyFont="1" applyFill="1" applyBorder="1" applyAlignment="1">
      <alignment horizontal="center" vertical="center" wrapText="1"/>
    </xf>
    <xf numFmtId="0" fontId="21" fillId="14" borderId="70" xfId="0" applyFont="1" applyFill="1" applyBorder="1" applyAlignment="1">
      <alignment horizontal="center" vertical="center" wrapText="1"/>
    </xf>
    <xf numFmtId="0" fontId="21" fillId="14" borderId="77" xfId="0" applyFont="1" applyFill="1" applyBorder="1" applyAlignment="1">
      <alignment horizontal="center" vertical="center" wrapText="1"/>
    </xf>
    <xf numFmtId="0" fontId="46" fillId="4" borderId="39" xfId="0" applyFont="1" applyFill="1" applyBorder="1" applyAlignment="1">
      <alignment horizontal="center" vertical="center" wrapText="1"/>
    </xf>
    <xf numFmtId="0" fontId="46" fillId="4" borderId="13" xfId="0" applyFont="1" applyFill="1" applyBorder="1" applyAlignment="1">
      <alignment horizontal="center" vertical="center" wrapText="1"/>
    </xf>
    <xf numFmtId="0" fontId="46" fillId="4" borderId="14" xfId="0" applyFont="1" applyFill="1" applyBorder="1" applyAlignment="1">
      <alignment horizontal="center" vertical="center" wrapText="1"/>
    </xf>
    <xf numFmtId="0" fontId="46" fillId="4" borderId="2" xfId="0" applyFont="1" applyFill="1" applyBorder="1" applyAlignment="1">
      <alignment horizontal="center" vertical="center" wrapText="1"/>
    </xf>
    <xf numFmtId="0" fontId="46" fillId="4" borderId="3" xfId="0" applyFont="1" applyFill="1" applyBorder="1" applyAlignment="1">
      <alignment horizontal="center" vertical="center" wrapText="1"/>
    </xf>
    <xf numFmtId="0" fontId="21" fillId="9" borderId="50" xfId="0" applyFont="1" applyFill="1" applyBorder="1" applyAlignment="1">
      <alignment horizontal="center" vertical="center" wrapText="1"/>
    </xf>
    <xf numFmtId="0" fontId="21" fillId="9" borderId="65" xfId="0" applyFont="1" applyFill="1" applyBorder="1" applyAlignment="1">
      <alignment horizontal="center" vertical="center" wrapText="1"/>
    </xf>
    <xf numFmtId="1" fontId="22" fillId="0" borderId="29" xfId="0" applyNumberFormat="1" applyFont="1" applyBorder="1" applyAlignment="1">
      <alignment horizontal="center" vertical="center" wrapText="1"/>
    </xf>
    <xf numFmtId="1" fontId="22" fillId="0" borderId="20" xfId="0" applyNumberFormat="1" applyFont="1" applyBorder="1" applyAlignment="1">
      <alignment horizontal="center" vertical="center" wrapText="1"/>
    </xf>
    <xf numFmtId="0" fontId="22" fillId="17" borderId="3" xfId="0" applyFont="1" applyFill="1" applyBorder="1" applyAlignment="1" applyProtection="1">
      <alignment horizontal="center" vertical="center" wrapText="1"/>
      <protection hidden="1"/>
    </xf>
    <xf numFmtId="0" fontId="22" fillId="17" borderId="8" xfId="0" applyFont="1" applyFill="1" applyBorder="1" applyAlignment="1" applyProtection="1">
      <alignment horizontal="center" vertical="center" wrapText="1"/>
      <protection hidden="1"/>
    </xf>
    <xf numFmtId="1" fontId="22" fillId="0" borderId="17" xfId="0" applyNumberFormat="1" applyFont="1" applyBorder="1" applyAlignment="1">
      <alignment horizontal="center" vertical="center" wrapText="1"/>
    </xf>
    <xf numFmtId="0" fontId="98" fillId="9" borderId="51" xfId="0" applyFont="1" applyFill="1" applyBorder="1" applyAlignment="1">
      <alignment horizontal="center" vertical="center"/>
    </xf>
    <xf numFmtId="0" fontId="98" fillId="9" borderId="38" xfId="0" applyFont="1" applyFill="1" applyBorder="1" applyAlignment="1">
      <alignment horizontal="center" vertical="center"/>
    </xf>
    <xf numFmtId="0" fontId="98" fillId="9" borderId="42" xfId="0" applyFont="1" applyFill="1" applyBorder="1" applyAlignment="1">
      <alignment horizontal="center" vertical="center"/>
    </xf>
    <xf numFmtId="0" fontId="21" fillId="18" borderId="49" xfId="0" applyFont="1" applyFill="1" applyBorder="1" applyAlignment="1">
      <alignment horizontal="center" vertical="center"/>
    </xf>
    <xf numFmtId="0" fontId="21" fillId="18" borderId="46" xfId="0" applyFont="1" applyFill="1" applyBorder="1" applyAlignment="1">
      <alignment horizontal="center" vertical="center"/>
    </xf>
    <xf numFmtId="0" fontId="21" fillId="4" borderId="23" xfId="0" applyFont="1" applyFill="1" applyBorder="1" applyAlignment="1">
      <alignment horizontal="center" vertical="center"/>
    </xf>
    <xf numFmtId="0" fontId="21" fillId="4" borderId="24" xfId="0" applyFont="1" applyFill="1" applyBorder="1" applyAlignment="1">
      <alignment horizontal="center" vertical="center"/>
    </xf>
    <xf numFmtId="0" fontId="21" fillId="4" borderId="30" xfId="0" applyFont="1" applyFill="1" applyBorder="1" applyAlignment="1">
      <alignment horizontal="center" vertical="center"/>
    </xf>
    <xf numFmtId="0" fontId="21" fillId="9" borderId="3" xfId="0" applyFont="1" applyFill="1" applyBorder="1" applyAlignment="1">
      <alignment horizontal="center" vertical="center" wrapText="1"/>
    </xf>
    <xf numFmtId="0" fontId="21" fillId="9" borderId="32" xfId="0" applyFont="1" applyFill="1" applyBorder="1" applyAlignment="1">
      <alignment horizontal="center" vertical="center" wrapText="1"/>
    </xf>
    <xf numFmtId="0" fontId="21" fillId="9" borderId="11" xfId="0" applyFont="1" applyFill="1" applyBorder="1" applyAlignment="1">
      <alignment horizontal="center" vertical="center" wrapText="1"/>
    </xf>
    <xf numFmtId="173" fontId="22" fillId="0" borderId="16" xfId="0" applyNumberFormat="1" applyFont="1" applyBorder="1" applyAlignment="1" applyProtection="1">
      <alignment horizontal="center" vertical="center"/>
      <protection locked="0"/>
    </xf>
    <xf numFmtId="173" fontId="22" fillId="0" borderId="35" xfId="0" applyNumberFormat="1" applyFont="1" applyBorder="1" applyAlignment="1" applyProtection="1">
      <alignment horizontal="center" vertical="center"/>
      <protection locked="0"/>
    </xf>
    <xf numFmtId="0" fontId="21" fillId="9" borderId="56" xfId="0" applyFont="1" applyFill="1" applyBorder="1" applyAlignment="1">
      <alignment horizontal="center" vertical="center" wrapText="1"/>
    </xf>
    <xf numFmtId="0" fontId="21" fillId="9" borderId="57" xfId="0" applyFont="1" applyFill="1" applyBorder="1" applyAlignment="1">
      <alignment horizontal="center" vertical="center" wrapText="1"/>
    </xf>
    <xf numFmtId="0" fontId="18" fillId="9" borderId="26" xfId="0" applyFont="1" applyFill="1" applyBorder="1" applyAlignment="1">
      <alignment horizontal="center" vertical="center" wrapText="1"/>
    </xf>
    <xf numFmtId="0" fontId="18" fillId="9" borderId="21" xfId="0" applyFont="1" applyFill="1" applyBorder="1" applyAlignment="1">
      <alignment horizontal="center" vertical="center" wrapText="1"/>
    </xf>
    <xf numFmtId="0" fontId="18" fillId="9" borderId="23" xfId="0" applyFont="1" applyFill="1" applyBorder="1" applyAlignment="1">
      <alignment horizontal="center" vertical="center" wrapText="1"/>
    </xf>
    <xf numFmtId="0" fontId="18" fillId="9" borderId="24" xfId="0" applyFont="1" applyFill="1" applyBorder="1" applyAlignment="1">
      <alignment horizontal="center" vertical="center" wrapText="1"/>
    </xf>
    <xf numFmtId="0" fontId="43" fillId="0" borderId="52" xfId="0" applyFont="1" applyBorder="1" applyAlignment="1">
      <alignment horizontal="center" vertical="center" wrapText="1"/>
    </xf>
    <xf numFmtId="0" fontId="21" fillId="4" borderId="18" xfId="0" applyFont="1" applyFill="1" applyBorder="1" applyAlignment="1">
      <alignment horizontal="center" vertical="center"/>
    </xf>
    <xf numFmtId="0" fontId="21" fillId="4" borderId="52" xfId="0" applyFont="1" applyFill="1" applyBorder="1" applyAlignment="1">
      <alignment horizontal="center" vertical="center"/>
    </xf>
    <xf numFmtId="0" fontId="21" fillId="4" borderId="53" xfId="0" applyFont="1" applyFill="1" applyBorder="1" applyAlignment="1">
      <alignment horizontal="center" vertical="center"/>
    </xf>
    <xf numFmtId="0" fontId="94" fillId="0" borderId="26" xfId="0" applyFont="1" applyBorder="1" applyAlignment="1" applyProtection="1">
      <alignment horizontal="center" vertical="center"/>
      <protection locked="0"/>
    </xf>
    <xf numFmtId="0" fontId="94" fillId="0" borderId="21" xfId="0" applyFont="1" applyBorder="1" applyAlignment="1" applyProtection="1">
      <alignment horizontal="center" vertical="center"/>
      <protection locked="0"/>
    </xf>
    <xf numFmtId="0" fontId="94" fillId="0" borderId="27" xfId="0" applyFont="1" applyBorder="1" applyAlignment="1" applyProtection="1">
      <alignment horizontal="center" vertical="center"/>
      <protection locked="0"/>
    </xf>
    <xf numFmtId="0" fontId="94" fillId="0" borderId="28" xfId="0" applyFont="1" applyBorder="1" applyAlignment="1" applyProtection="1">
      <alignment horizontal="center" vertical="center"/>
      <protection locked="0"/>
    </xf>
    <xf numFmtId="0" fontId="94" fillId="0" borderId="0" xfId="0" applyFont="1" applyAlignment="1" applyProtection="1">
      <alignment horizontal="center" vertical="center"/>
      <protection locked="0"/>
    </xf>
    <xf numFmtId="0" fontId="94" fillId="0" borderId="15" xfId="0" applyFont="1" applyBorder="1" applyAlignment="1" applyProtection="1">
      <alignment horizontal="center" vertical="center"/>
      <protection locked="0"/>
    </xf>
    <xf numFmtId="0" fontId="94" fillId="0" borderId="23" xfId="0" applyFont="1" applyBorder="1" applyAlignment="1" applyProtection="1">
      <alignment horizontal="center" vertical="center"/>
      <protection locked="0"/>
    </xf>
    <xf numFmtId="0" fontId="94" fillId="0" borderId="24" xfId="0" applyFont="1" applyBorder="1" applyAlignment="1" applyProtection="1">
      <alignment horizontal="center" vertical="center"/>
      <protection locked="0"/>
    </xf>
    <xf numFmtId="0" fontId="94" fillId="0" borderId="30" xfId="0" applyFont="1" applyBorder="1" applyAlignment="1" applyProtection="1">
      <alignment horizontal="center" vertical="center"/>
      <protection locked="0"/>
    </xf>
    <xf numFmtId="0" fontId="21" fillId="9" borderId="19" xfId="0" applyFont="1" applyFill="1" applyBorder="1" applyAlignment="1">
      <alignment horizontal="center" vertical="center"/>
    </xf>
    <xf numFmtId="0" fontId="21" fillId="9" borderId="63" xfId="0" applyFont="1" applyFill="1" applyBorder="1" applyAlignment="1">
      <alignment horizontal="center" vertical="center"/>
    </xf>
    <xf numFmtId="0" fontId="21" fillId="9" borderId="12" xfId="0" applyFont="1" applyFill="1" applyBorder="1" applyAlignment="1">
      <alignment horizontal="left" vertical="center"/>
    </xf>
    <xf numFmtId="0" fontId="21" fillId="9" borderId="14" xfId="0" applyFont="1" applyFill="1" applyBorder="1" applyAlignment="1">
      <alignment horizontal="left" vertical="center"/>
    </xf>
    <xf numFmtId="0" fontId="21" fillId="9" borderId="29" xfId="0" applyFont="1" applyFill="1" applyBorder="1" applyAlignment="1">
      <alignment horizontal="center" vertical="center"/>
    </xf>
    <xf numFmtId="0" fontId="21" fillId="9" borderId="17" xfId="0" applyFont="1" applyFill="1" applyBorder="1" applyAlignment="1">
      <alignment horizontal="center" vertical="center"/>
    </xf>
    <xf numFmtId="0" fontId="21" fillId="9" borderId="54" xfId="0" applyFont="1" applyFill="1" applyBorder="1" applyAlignment="1">
      <alignment horizontal="left" vertical="center"/>
    </xf>
    <xf numFmtId="0" fontId="21" fillId="9" borderId="73" xfId="0" applyFont="1" applyFill="1" applyBorder="1" applyAlignment="1">
      <alignment horizontal="left" vertical="center"/>
    </xf>
    <xf numFmtId="0" fontId="21" fillId="9" borderId="76" xfId="0" applyFont="1" applyFill="1" applyBorder="1" applyAlignment="1">
      <alignment horizontal="left" vertical="center"/>
    </xf>
    <xf numFmtId="0" fontId="21" fillId="9" borderId="74" xfId="0" applyFont="1" applyFill="1" applyBorder="1" applyAlignment="1">
      <alignment horizontal="left" vertical="center"/>
    </xf>
    <xf numFmtId="0" fontId="21" fillId="9" borderId="49" xfId="0" applyFont="1" applyFill="1" applyBorder="1" applyAlignment="1">
      <alignment horizontal="left" vertical="center"/>
    </xf>
    <xf numFmtId="0" fontId="21" fillId="9" borderId="43" xfId="0" applyFont="1" applyFill="1" applyBorder="1" applyAlignment="1">
      <alignment horizontal="left" vertical="center"/>
    </xf>
    <xf numFmtId="0" fontId="22" fillId="0" borderId="55" xfId="0" applyFont="1" applyBorder="1" applyAlignment="1" applyProtection="1">
      <alignment horizontal="center" vertical="center"/>
      <protection locked="0"/>
    </xf>
    <xf numFmtId="0" fontId="22" fillId="0" borderId="60" xfId="0" applyFont="1" applyBorder="1" applyAlignment="1" applyProtection="1">
      <alignment horizontal="center" vertical="center"/>
      <protection locked="0"/>
    </xf>
    <xf numFmtId="0" fontId="21" fillId="9" borderId="68" xfId="0" applyFont="1" applyFill="1" applyBorder="1" applyAlignment="1">
      <alignment horizontal="center" vertical="center" wrapText="1"/>
    </xf>
    <xf numFmtId="0" fontId="21" fillId="9" borderId="71" xfId="0" applyFont="1" applyFill="1" applyBorder="1" applyAlignment="1">
      <alignment horizontal="center" vertical="center" wrapText="1"/>
    </xf>
    <xf numFmtId="0" fontId="81" fillId="14" borderId="26" xfId="0" applyFont="1" applyFill="1" applyBorder="1" applyAlignment="1">
      <alignment horizontal="center" vertical="center"/>
    </xf>
    <xf numFmtId="0" fontId="81" fillId="14" borderId="21" xfId="0" applyFont="1" applyFill="1" applyBorder="1" applyAlignment="1">
      <alignment horizontal="center" vertical="center"/>
    </xf>
    <xf numFmtId="0" fontId="81" fillId="14" borderId="27" xfId="0" applyFont="1" applyFill="1" applyBorder="1" applyAlignment="1">
      <alignment horizontal="center" vertical="center"/>
    </xf>
    <xf numFmtId="0" fontId="41" fillId="18" borderId="12" xfId="0" applyFont="1" applyFill="1" applyBorder="1" applyAlignment="1">
      <alignment horizontal="center" vertical="center"/>
    </xf>
    <xf numFmtId="0" fontId="41" fillId="18" borderId="13" xfId="0" applyFont="1" applyFill="1" applyBorder="1" applyAlignment="1">
      <alignment horizontal="center" vertical="center"/>
    </xf>
    <xf numFmtId="0" fontId="41" fillId="18" borderId="51" xfId="0" applyFont="1" applyFill="1" applyBorder="1" applyAlignment="1">
      <alignment horizontal="center" vertical="center"/>
    </xf>
    <xf numFmtId="0" fontId="41" fillId="18" borderId="38" xfId="0" applyFont="1" applyFill="1" applyBorder="1" applyAlignment="1">
      <alignment horizontal="center" vertical="center"/>
    </xf>
    <xf numFmtId="0" fontId="41" fillId="18" borderId="49" xfId="0" applyFont="1" applyFill="1" applyBorder="1" applyAlignment="1">
      <alignment horizontal="center" vertical="center"/>
    </xf>
    <xf numFmtId="0" fontId="41" fillId="18" borderId="46" xfId="0" applyFont="1" applyFill="1" applyBorder="1" applyAlignment="1">
      <alignment horizontal="center" vertical="center"/>
    </xf>
    <xf numFmtId="0" fontId="15" fillId="39" borderId="18" xfId="0" applyFont="1" applyFill="1" applyBorder="1" applyAlignment="1">
      <alignment horizontal="center" vertical="center"/>
    </xf>
    <xf numFmtId="0" fontId="15" fillId="39" borderId="52" xfId="0" applyFont="1" applyFill="1" applyBorder="1" applyAlignment="1">
      <alignment horizontal="center" vertical="center"/>
    </xf>
    <xf numFmtId="0" fontId="15" fillId="39" borderId="53" xfId="0" applyFont="1" applyFill="1" applyBorder="1" applyAlignment="1">
      <alignment horizontal="center" vertical="center"/>
    </xf>
    <xf numFmtId="0" fontId="21" fillId="18" borderId="12" xfId="0" applyFont="1" applyFill="1" applyBorder="1" applyAlignment="1">
      <alignment horizontal="center" vertical="center" wrapText="1"/>
    </xf>
    <xf numFmtId="0" fontId="21" fillId="18" borderId="13" xfId="0" applyFont="1" applyFill="1" applyBorder="1" applyAlignment="1">
      <alignment horizontal="center" vertical="center" wrapText="1"/>
    </xf>
    <xf numFmtId="0" fontId="21" fillId="18" borderId="51" xfId="0" applyFont="1" applyFill="1" applyBorder="1" applyAlignment="1">
      <alignment horizontal="center" vertical="center"/>
    </xf>
    <xf numFmtId="0" fontId="21" fillId="18" borderId="38" xfId="0" applyFont="1" applyFill="1" applyBorder="1" applyAlignment="1">
      <alignment horizontal="center" vertical="center"/>
    </xf>
    <xf numFmtId="0" fontId="93" fillId="18" borderId="39" xfId="0" applyFont="1" applyFill="1" applyBorder="1" applyAlignment="1">
      <alignment horizontal="center" vertical="center"/>
    </xf>
    <xf numFmtId="0" fontId="93" fillId="18" borderId="14" xfId="0" applyFont="1" applyFill="1" applyBorder="1" applyAlignment="1">
      <alignment horizontal="center" vertical="center"/>
    </xf>
    <xf numFmtId="0" fontId="93" fillId="18" borderId="40" xfId="0" applyFont="1" applyFill="1" applyBorder="1" applyAlignment="1">
      <alignment horizontal="center" vertical="center"/>
    </xf>
    <xf numFmtId="0" fontId="93" fillId="18" borderId="43" xfId="0" applyFont="1" applyFill="1" applyBorder="1" applyAlignment="1">
      <alignment horizontal="center" vertical="center"/>
    </xf>
    <xf numFmtId="0" fontId="93" fillId="18" borderId="39" xfId="0" applyFont="1" applyFill="1" applyBorder="1" applyAlignment="1">
      <alignment horizontal="center" vertical="center" wrapText="1"/>
    </xf>
    <xf numFmtId="0" fontId="93" fillId="18" borderId="14" xfId="0" applyFont="1" applyFill="1" applyBorder="1" applyAlignment="1">
      <alignment horizontal="center" vertical="center" wrapText="1"/>
    </xf>
    <xf numFmtId="0" fontId="21" fillId="8" borderId="22" xfId="0" applyFont="1" applyFill="1" applyBorder="1" applyAlignment="1" applyProtection="1">
      <alignment horizontal="center" vertical="center"/>
      <protection locked="0"/>
    </xf>
    <xf numFmtId="0" fontId="21" fillId="8" borderId="29" xfId="0" applyFont="1" applyFill="1" applyBorder="1" applyAlignment="1" applyProtection="1">
      <alignment horizontal="center" vertical="center"/>
      <protection locked="0"/>
    </xf>
    <xf numFmtId="0" fontId="21" fillId="8" borderId="67" xfId="0" applyFont="1" applyFill="1" applyBorder="1" applyAlignment="1" applyProtection="1">
      <alignment horizontal="center" vertical="center"/>
      <protection locked="0"/>
    </xf>
    <xf numFmtId="0" fontId="15" fillId="4" borderId="26" xfId="0" applyFont="1" applyFill="1" applyBorder="1" applyAlignment="1">
      <alignment horizontal="center" vertical="center" wrapText="1"/>
    </xf>
    <xf numFmtId="0" fontId="15" fillId="4" borderId="27"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30" xfId="0" applyFont="1" applyFill="1" applyBorder="1" applyAlignment="1">
      <alignment horizontal="center" vertical="center" wrapText="1"/>
    </xf>
    <xf numFmtId="0" fontId="21" fillId="9" borderId="2" xfId="0" applyFont="1" applyFill="1" applyBorder="1" applyAlignment="1">
      <alignment horizontal="center" vertical="center"/>
    </xf>
    <xf numFmtId="0" fontId="21" fillId="9" borderId="3" xfId="0" applyFont="1" applyFill="1" applyBorder="1" applyAlignment="1">
      <alignment horizontal="center" vertical="center"/>
    </xf>
    <xf numFmtId="0" fontId="21" fillId="9" borderId="7" xfId="0" applyFont="1" applyFill="1" applyBorder="1" applyAlignment="1">
      <alignment horizontal="center" vertical="center"/>
    </xf>
    <xf numFmtId="0" fontId="21" fillId="9" borderId="8" xfId="0" applyFont="1" applyFill="1" applyBorder="1" applyAlignment="1">
      <alignment horizontal="center" vertical="center"/>
    </xf>
    <xf numFmtId="0" fontId="39" fillId="0" borderId="28" xfId="0" applyFont="1" applyBorder="1" applyAlignment="1">
      <alignment horizontal="center" vertical="center"/>
    </xf>
    <xf numFmtId="0" fontId="39" fillId="0" borderId="0" xfId="0" applyFont="1" applyAlignment="1">
      <alignment horizontal="center" vertical="center"/>
    </xf>
    <xf numFmtId="0" fontId="39" fillId="0" borderId="15" xfId="0" applyFont="1" applyBorder="1" applyAlignment="1">
      <alignment horizontal="center" vertical="center"/>
    </xf>
    <xf numFmtId="0" fontId="41" fillId="9" borderId="26" xfId="0" applyFont="1" applyFill="1" applyBorder="1" applyAlignment="1" applyProtection="1">
      <alignment horizontal="center" vertical="center" wrapText="1"/>
      <protection hidden="1"/>
    </xf>
    <xf numFmtId="0" fontId="41" fillId="9" borderId="23" xfId="0" applyFont="1" applyFill="1" applyBorder="1" applyAlignment="1" applyProtection="1">
      <alignment horizontal="center" vertical="center" wrapText="1"/>
      <protection hidden="1"/>
    </xf>
    <xf numFmtId="0" fontId="41" fillId="4" borderId="29" xfId="0" applyFont="1" applyFill="1" applyBorder="1" applyAlignment="1">
      <alignment horizontal="center" vertical="center" wrapText="1"/>
    </xf>
    <xf numFmtId="0" fontId="41" fillId="4" borderId="17" xfId="0" applyFont="1" applyFill="1" applyBorder="1" applyAlignment="1">
      <alignment horizontal="center" vertical="center" wrapText="1"/>
    </xf>
    <xf numFmtId="0" fontId="22" fillId="0" borderId="3" xfId="0" applyFont="1" applyBorder="1" applyAlignment="1" applyProtection="1">
      <alignment horizontal="center" vertical="center" wrapText="1"/>
      <protection locked="0"/>
    </xf>
    <xf numFmtId="0" fontId="22" fillId="0" borderId="8" xfId="0" applyFont="1" applyBorder="1" applyAlignment="1" applyProtection="1">
      <alignment horizontal="center" vertical="center" wrapText="1"/>
      <protection locked="0"/>
    </xf>
    <xf numFmtId="1" fontId="22" fillId="0" borderId="3" xfId="0" applyNumberFormat="1" applyFont="1" applyBorder="1" applyAlignment="1">
      <alignment horizontal="center" vertical="center" wrapText="1"/>
    </xf>
    <xf numFmtId="1" fontId="22" fillId="0" borderId="8" xfId="0" applyNumberFormat="1" applyFont="1" applyBorder="1" applyAlignment="1">
      <alignment horizontal="center" vertical="center" wrapText="1"/>
    </xf>
    <xf numFmtId="1" fontId="22" fillId="17" borderId="3" xfId="0" applyNumberFormat="1" applyFont="1" applyFill="1" applyBorder="1" applyAlignment="1" applyProtection="1">
      <alignment horizontal="center" vertical="center" wrapText="1"/>
      <protection hidden="1"/>
    </xf>
    <xf numFmtId="1" fontId="22" fillId="17" borderId="8" xfId="0" applyNumberFormat="1" applyFont="1" applyFill="1" applyBorder="1" applyAlignment="1" applyProtection="1">
      <alignment horizontal="center" vertical="center" wrapText="1"/>
      <protection hidden="1"/>
    </xf>
    <xf numFmtId="0" fontId="22" fillId="0" borderId="17" xfId="0" applyFont="1" applyBorder="1" applyAlignment="1" applyProtection="1">
      <alignment horizontal="center" vertical="center" wrapText="1"/>
      <protection locked="0"/>
    </xf>
    <xf numFmtId="0" fontId="22" fillId="17" borderId="17" xfId="0" applyFont="1" applyFill="1" applyBorder="1" applyAlignment="1" applyProtection="1">
      <alignment horizontal="center" vertical="center" wrapText="1"/>
      <protection hidden="1"/>
    </xf>
    <xf numFmtId="0" fontId="22" fillId="17" borderId="20" xfId="0" applyFont="1" applyFill="1" applyBorder="1" applyAlignment="1" applyProtection="1">
      <alignment horizontal="center" vertical="center" wrapText="1"/>
      <protection hidden="1"/>
    </xf>
    <xf numFmtId="0" fontId="22" fillId="2" borderId="17" xfId="0" applyFont="1" applyFill="1" applyBorder="1" applyAlignment="1" applyProtection="1">
      <alignment horizontal="center" vertical="center"/>
      <protection locked="0"/>
    </xf>
    <xf numFmtId="0" fontId="67" fillId="4" borderId="29" xfId="0" applyFont="1" applyFill="1" applyBorder="1" applyAlignment="1">
      <alignment horizontal="center" vertical="center" wrapText="1"/>
    </xf>
    <xf numFmtId="0" fontId="67" fillId="4" borderId="17" xfId="0" applyFont="1" applyFill="1" applyBorder="1" applyAlignment="1">
      <alignment horizontal="center" vertical="center" wrapText="1"/>
    </xf>
    <xf numFmtId="0" fontId="21" fillId="9" borderId="47" xfId="0" applyFont="1" applyFill="1" applyBorder="1" applyAlignment="1">
      <alignment horizontal="center" vertical="center" wrapText="1"/>
    </xf>
    <xf numFmtId="0" fontId="41" fillId="9" borderId="28" xfId="0" applyFont="1" applyFill="1" applyBorder="1" applyAlignment="1" applyProtection="1">
      <alignment horizontal="center" vertical="center" wrapText="1"/>
      <protection hidden="1"/>
    </xf>
    <xf numFmtId="0" fontId="41" fillId="9" borderId="62" xfId="0" applyFont="1" applyFill="1" applyBorder="1" applyAlignment="1" applyProtection="1">
      <alignment horizontal="center" vertical="center" wrapText="1"/>
      <protection hidden="1"/>
    </xf>
    <xf numFmtId="0" fontId="41" fillId="9" borderId="63" xfId="0" applyFont="1" applyFill="1" applyBorder="1" applyAlignment="1" applyProtection="1">
      <alignment horizontal="center" vertical="center" wrapText="1"/>
      <protection hidden="1"/>
    </xf>
    <xf numFmtId="0" fontId="22" fillId="17" borderId="29" xfId="0" applyFont="1" applyFill="1" applyBorder="1" applyAlignment="1" applyProtection="1">
      <alignment horizontal="center" vertical="center" wrapText="1"/>
      <protection hidden="1"/>
    </xf>
    <xf numFmtId="1" fontId="22" fillId="17" borderId="17" xfId="0" applyNumberFormat="1" applyFont="1" applyFill="1" applyBorder="1" applyAlignment="1" applyProtection="1">
      <alignment horizontal="center" vertical="center" wrapText="1"/>
      <protection hidden="1"/>
    </xf>
    <xf numFmtId="0" fontId="33" fillId="9" borderId="18" xfId="0" applyFont="1" applyFill="1" applyBorder="1" applyAlignment="1">
      <alignment horizontal="center" vertical="center"/>
    </xf>
    <xf numFmtId="0" fontId="33" fillId="9" borderId="71" xfId="0" applyFont="1" applyFill="1" applyBorder="1" applyAlignment="1">
      <alignment horizontal="center" vertical="center"/>
    </xf>
    <xf numFmtId="0" fontId="77" fillId="9" borderId="32" xfId="0" applyFont="1" applyFill="1" applyBorder="1" applyAlignment="1">
      <alignment horizontal="center" vertical="center" wrapText="1"/>
    </xf>
    <xf numFmtId="0" fontId="33" fillId="9" borderId="32" xfId="0" applyFont="1" applyFill="1" applyBorder="1" applyAlignment="1">
      <alignment horizontal="center" vertical="center" wrapText="1"/>
    </xf>
    <xf numFmtId="0" fontId="33" fillId="0" borderId="5" xfId="0" applyFont="1" applyBorder="1" applyAlignment="1">
      <alignment horizontal="center" vertical="center"/>
    </xf>
    <xf numFmtId="0" fontId="33" fillId="0" borderId="1" xfId="0" applyFont="1" applyBorder="1" applyAlignment="1">
      <alignment horizontal="center" vertical="center"/>
    </xf>
    <xf numFmtId="0" fontId="33" fillId="19" borderId="5" xfId="0" applyFont="1" applyFill="1" applyBorder="1" applyAlignment="1">
      <alignment horizontal="center" vertical="center"/>
    </xf>
    <xf numFmtId="0" fontId="33" fillId="19" borderId="1" xfId="0" applyFont="1" applyFill="1" applyBorder="1" applyAlignment="1">
      <alignment horizontal="center" vertical="center"/>
    </xf>
    <xf numFmtId="0" fontId="31" fillId="17" borderId="26" xfId="0" applyFont="1" applyFill="1" applyBorder="1" applyAlignment="1">
      <alignment horizontal="center" vertical="center"/>
    </xf>
    <xf numFmtId="0" fontId="31" fillId="17" borderId="27" xfId="0" applyFont="1" applyFill="1" applyBorder="1" applyAlignment="1">
      <alignment horizontal="center" vertical="center"/>
    </xf>
    <xf numFmtId="0" fontId="33" fillId="19" borderId="49" xfId="0" applyFont="1" applyFill="1" applyBorder="1" applyAlignment="1">
      <alignment horizontal="left" vertical="center"/>
    </xf>
    <xf numFmtId="0" fontId="33" fillId="19" borderId="69" xfId="0" applyFont="1" applyFill="1" applyBorder="1" applyAlignment="1">
      <alignment horizontal="left" vertical="center"/>
    </xf>
    <xf numFmtId="0" fontId="33" fillId="19" borderId="10" xfId="0" applyFont="1" applyFill="1" applyBorder="1" applyAlignment="1">
      <alignment horizontal="center" vertical="center"/>
    </xf>
    <xf numFmtId="0" fontId="33" fillId="19" borderId="11" xfId="0" applyFont="1" applyFill="1" applyBorder="1" applyAlignment="1">
      <alignment horizontal="center" vertical="center"/>
    </xf>
    <xf numFmtId="0" fontId="31" fillId="4" borderId="31"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33" xfId="0" applyFont="1" applyFill="1" applyBorder="1" applyAlignment="1">
      <alignment horizontal="center" vertical="center"/>
    </xf>
    <xf numFmtId="0" fontId="33" fillId="0" borderId="7" xfId="0" applyFont="1" applyBorder="1" applyAlignment="1">
      <alignment horizontal="center" vertical="center"/>
    </xf>
    <xf numFmtId="0" fontId="33" fillId="0" borderId="8" xfId="0" applyFont="1" applyBorder="1" applyAlignment="1">
      <alignment horizontal="center" vertical="center"/>
    </xf>
    <xf numFmtId="0" fontId="31" fillId="17" borderId="18" xfId="0" applyFont="1" applyFill="1" applyBorder="1" applyAlignment="1">
      <alignment horizontal="center" vertical="center"/>
    </xf>
    <xf numFmtId="0" fontId="31" fillId="17" borderId="53" xfId="0" applyFont="1" applyFill="1" applyBorder="1" applyAlignment="1">
      <alignment horizontal="center" vertical="center"/>
    </xf>
    <xf numFmtId="0" fontId="33" fillId="0" borderId="12" xfId="0" applyFont="1" applyBorder="1" applyAlignment="1">
      <alignment horizontal="center" vertical="center"/>
    </xf>
    <xf numFmtId="0" fontId="33" fillId="0" borderId="68" xfId="0" applyFont="1" applyBorder="1" applyAlignment="1">
      <alignment horizontal="center" vertical="center"/>
    </xf>
    <xf numFmtId="0" fontId="31" fillId="17" borderId="31" xfId="0" applyFont="1" applyFill="1" applyBorder="1" applyAlignment="1">
      <alignment horizontal="center" vertical="center"/>
    </xf>
    <xf numFmtId="0" fontId="31" fillId="17" borderId="32" xfId="0" applyFont="1" applyFill="1" applyBorder="1" applyAlignment="1">
      <alignment horizontal="center" vertical="center"/>
    </xf>
    <xf numFmtId="0" fontId="31" fillId="17" borderId="33" xfId="0" applyFont="1" applyFill="1" applyBorder="1" applyAlignment="1">
      <alignment horizontal="center" vertical="center"/>
    </xf>
    <xf numFmtId="0" fontId="33" fillId="0" borderId="51" xfId="0" applyFont="1" applyBorder="1" applyAlignment="1">
      <alignment horizontal="center" vertical="center"/>
    </xf>
    <xf numFmtId="0" fontId="33" fillId="0" borderId="41" xfId="0" applyFont="1" applyBorder="1" applyAlignment="1">
      <alignment horizontal="center" vertical="center"/>
    </xf>
    <xf numFmtId="0" fontId="31" fillId="17" borderId="52" xfId="0" applyFont="1" applyFill="1" applyBorder="1" applyAlignment="1">
      <alignment horizontal="center" vertical="center"/>
    </xf>
    <xf numFmtId="0" fontId="31" fillId="4" borderId="27" xfId="0" applyFont="1" applyFill="1" applyBorder="1" applyAlignment="1">
      <alignment horizontal="center" vertical="center"/>
    </xf>
    <xf numFmtId="0" fontId="41" fillId="8" borderId="61" xfId="0" applyFont="1" applyFill="1" applyBorder="1" applyAlignment="1" applyProtection="1">
      <alignment horizontal="center" vertical="center" wrapText="1"/>
      <protection locked="0"/>
    </xf>
    <xf numFmtId="0" fontId="41" fillId="8" borderId="63" xfId="0" applyFont="1" applyFill="1" applyBorder="1" applyAlignment="1" applyProtection="1">
      <alignment horizontal="center" vertical="center" wrapText="1"/>
      <protection locked="0"/>
    </xf>
    <xf numFmtId="0" fontId="77" fillId="9" borderId="33" xfId="0" applyFont="1" applyFill="1" applyBorder="1" applyAlignment="1">
      <alignment horizontal="center" vertical="center" wrapText="1"/>
    </xf>
    <xf numFmtId="0" fontId="17" fillId="0" borderId="61" xfId="0" applyFont="1" applyBorder="1" applyAlignment="1">
      <alignment horizontal="center" vertical="center"/>
    </xf>
    <xf numFmtId="0" fontId="17" fillId="0" borderId="62" xfId="0" applyFont="1" applyBorder="1" applyAlignment="1">
      <alignment horizontal="center" vertical="center"/>
    </xf>
    <xf numFmtId="0" fontId="17" fillId="0" borderId="63" xfId="0" applyFont="1" applyBorder="1" applyAlignment="1">
      <alignment horizontal="center" vertical="center"/>
    </xf>
    <xf numFmtId="0" fontId="42" fillId="0" borderId="0" xfId="0" applyFont="1" applyAlignment="1">
      <alignment horizontal="center" vertical="center" wrapText="1"/>
    </xf>
    <xf numFmtId="0" fontId="15" fillId="9" borderId="5" xfId="0" applyFont="1" applyFill="1" applyBorder="1" applyAlignment="1">
      <alignment horizontal="center" vertical="center"/>
    </xf>
    <xf numFmtId="0" fontId="15" fillId="9" borderId="1" xfId="0" applyFont="1" applyFill="1" applyBorder="1" applyAlignment="1">
      <alignment horizontal="center" vertical="center"/>
    </xf>
    <xf numFmtId="0" fontId="0" fillId="0" borderId="16" xfId="0" applyBorder="1" applyAlignment="1">
      <alignment horizontal="center" vertical="center"/>
    </xf>
    <xf numFmtId="0" fontId="0" fillId="0" borderId="35"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31" fillId="9" borderId="66" xfId="0" applyFont="1" applyFill="1" applyBorder="1" applyAlignment="1">
      <alignment horizontal="center" vertical="center"/>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3" fillId="9" borderId="61" xfId="0" applyFont="1" applyFill="1" applyBorder="1" applyAlignment="1">
      <alignment horizontal="center" vertical="center" wrapText="1"/>
    </xf>
    <xf numFmtId="0" fontId="3" fillId="9" borderId="62" xfId="0" applyFont="1" applyFill="1" applyBorder="1" applyAlignment="1">
      <alignment horizontal="center" vertical="center" wrapText="1"/>
    </xf>
    <xf numFmtId="0" fontId="3" fillId="9" borderId="63" xfId="0" applyFont="1" applyFill="1" applyBorder="1" applyAlignment="1">
      <alignment horizontal="center" vertical="center" wrapText="1"/>
    </xf>
    <xf numFmtId="0" fontId="43" fillId="4" borderId="18" xfId="0" applyFont="1" applyFill="1" applyBorder="1" applyAlignment="1">
      <alignment horizontal="center" vertical="center"/>
    </xf>
    <xf numFmtId="0" fontId="43" fillId="4" borderId="52" xfId="0" applyFont="1" applyFill="1" applyBorder="1" applyAlignment="1">
      <alignment horizontal="center" vertical="center"/>
    </xf>
    <xf numFmtId="0" fontId="43" fillId="4" borderId="53" xfId="0" applyFont="1" applyFill="1" applyBorder="1" applyAlignment="1">
      <alignment horizontal="center" vertical="center"/>
    </xf>
    <xf numFmtId="0" fontId="29" fillId="0" borderId="3" xfId="0" applyFont="1" applyBorder="1" applyAlignment="1" applyProtection="1">
      <alignment horizontal="center" vertical="center"/>
      <protection hidden="1"/>
    </xf>
    <xf numFmtId="0" fontId="29" fillId="0" borderId="4" xfId="0" applyFont="1" applyBorder="1" applyAlignment="1" applyProtection="1">
      <alignment horizontal="center" vertical="center"/>
      <protection hidden="1"/>
    </xf>
    <xf numFmtId="0" fontId="21" fillId="9" borderId="48" xfId="0" applyFont="1" applyFill="1" applyBorder="1" applyAlignment="1" applyProtection="1">
      <alignment horizontal="center" vertical="center"/>
      <protection hidden="1"/>
    </xf>
    <xf numFmtId="0" fontId="21" fillId="9" borderId="16" xfId="0" applyFont="1" applyFill="1" applyBorder="1" applyAlignment="1" applyProtection="1">
      <alignment horizontal="center" vertical="center"/>
      <protection hidden="1"/>
    </xf>
    <xf numFmtId="0" fontId="4" fillId="0" borderId="18" xfId="0" applyFont="1" applyBorder="1" applyAlignment="1">
      <alignment horizontal="center" vertical="center"/>
    </xf>
    <xf numFmtId="0" fontId="4" fillId="0" borderId="52" xfId="0" applyFont="1" applyBorder="1" applyAlignment="1">
      <alignment horizontal="center" vertical="center"/>
    </xf>
    <xf numFmtId="0" fontId="4" fillId="0" borderId="71" xfId="0" applyFont="1" applyBorder="1" applyAlignment="1">
      <alignment horizontal="center" vertical="center"/>
    </xf>
    <xf numFmtId="0" fontId="22" fillId="9" borderId="18" xfId="0" applyFont="1" applyFill="1" applyBorder="1" applyAlignment="1">
      <alignment horizontal="center" vertical="center"/>
    </xf>
    <xf numFmtId="0" fontId="22" fillId="9" borderId="53" xfId="0" applyFont="1" applyFill="1" applyBorder="1" applyAlignment="1">
      <alignment horizontal="center" vertical="center"/>
    </xf>
    <xf numFmtId="0" fontId="17" fillId="36" borderId="61" xfId="0" applyFont="1" applyFill="1" applyBorder="1" applyAlignment="1">
      <alignment horizontal="center" vertical="center"/>
    </xf>
    <xf numFmtId="0" fontId="17" fillId="36" borderId="62" xfId="0" applyFont="1" applyFill="1" applyBorder="1" applyAlignment="1">
      <alignment horizontal="center" vertical="center"/>
    </xf>
    <xf numFmtId="0" fontId="17" fillId="36" borderId="63" xfId="0" applyFont="1" applyFill="1" applyBorder="1" applyAlignment="1">
      <alignment horizontal="center" vertical="center"/>
    </xf>
    <xf numFmtId="0" fontId="22" fillId="9" borderId="51" xfId="0" applyFont="1" applyFill="1" applyBorder="1" applyAlignment="1" applyProtection="1">
      <alignment horizontal="left" vertical="center"/>
      <protection hidden="1"/>
    </xf>
    <xf numFmtId="0" fontId="22" fillId="9" borderId="38" xfId="0" applyFont="1" applyFill="1" applyBorder="1" applyAlignment="1" applyProtection="1">
      <alignment horizontal="left" vertical="center"/>
      <protection hidden="1"/>
    </xf>
    <xf numFmtId="0" fontId="22" fillId="9" borderId="49" xfId="0" applyFont="1" applyFill="1" applyBorder="1" applyAlignment="1" applyProtection="1">
      <alignment horizontal="left" vertical="center"/>
      <protection hidden="1"/>
    </xf>
    <xf numFmtId="0" fontId="22" fillId="9" borderId="46" xfId="0" applyFont="1" applyFill="1" applyBorder="1" applyAlignment="1" applyProtection="1">
      <alignment horizontal="left" vertical="center"/>
      <protection hidden="1"/>
    </xf>
    <xf numFmtId="0" fontId="17" fillId="36" borderId="61" xfId="0" applyFont="1" applyFill="1" applyBorder="1" applyAlignment="1">
      <alignment horizontal="center" vertical="center" wrapText="1"/>
    </xf>
    <xf numFmtId="0" fontId="17" fillId="36" borderId="62" xfId="0" applyFont="1" applyFill="1" applyBorder="1" applyAlignment="1">
      <alignment horizontal="center" vertical="center" wrapText="1"/>
    </xf>
    <xf numFmtId="0" fontId="17" fillId="36" borderId="63" xfId="0" applyFont="1" applyFill="1" applyBorder="1" applyAlignment="1">
      <alignment horizontal="center" vertical="center" wrapText="1"/>
    </xf>
    <xf numFmtId="0" fontId="17" fillId="35" borderId="61" xfId="0" applyFont="1" applyFill="1" applyBorder="1" applyAlignment="1">
      <alignment horizontal="center" vertical="center" wrapText="1"/>
    </xf>
    <xf numFmtId="0" fontId="17" fillId="35" borderId="62" xfId="0" applyFont="1" applyFill="1" applyBorder="1" applyAlignment="1">
      <alignment horizontal="center" vertical="center" wrapText="1"/>
    </xf>
    <xf numFmtId="0" fontId="17" fillId="35" borderId="63" xfId="0" applyFont="1" applyFill="1" applyBorder="1" applyAlignment="1">
      <alignment horizontal="center" vertical="center" wrapText="1"/>
    </xf>
    <xf numFmtId="0" fontId="21" fillId="9" borderId="31" xfId="0" applyFont="1" applyFill="1" applyBorder="1" applyAlignment="1">
      <alignment horizontal="center" vertical="center" wrapText="1"/>
    </xf>
    <xf numFmtId="0" fontId="31" fillId="9" borderId="75" xfId="0" applyFont="1" applyFill="1" applyBorder="1" applyAlignment="1">
      <alignment horizontal="center" vertical="center"/>
    </xf>
    <xf numFmtId="0" fontId="17" fillId="2" borderId="61" xfId="0" applyFont="1" applyFill="1" applyBorder="1" applyAlignment="1">
      <alignment horizontal="center" vertical="center"/>
    </xf>
    <xf numFmtId="0" fontId="17" fillId="2" borderId="62" xfId="0" applyFont="1" applyFill="1" applyBorder="1" applyAlignment="1">
      <alignment horizontal="center" vertical="center"/>
    </xf>
    <xf numFmtId="0" fontId="17" fillId="2" borderId="63" xfId="0" applyFont="1" applyFill="1" applyBorder="1" applyAlignment="1">
      <alignment horizontal="center" vertical="center"/>
    </xf>
    <xf numFmtId="0" fontId="31" fillId="9" borderId="72" xfId="0" applyFont="1" applyFill="1" applyBorder="1" applyAlignment="1">
      <alignment horizontal="center" vertical="center"/>
    </xf>
    <xf numFmtId="0" fontId="17" fillId="36" borderId="28" xfId="0" applyFont="1" applyFill="1" applyBorder="1" applyAlignment="1">
      <alignment horizontal="center" vertical="center"/>
    </xf>
    <xf numFmtId="0" fontId="17" fillId="3" borderId="26" xfId="0" applyFont="1" applyFill="1" applyBorder="1" applyAlignment="1">
      <alignment horizontal="center" vertical="center"/>
    </xf>
    <xf numFmtId="0" fontId="17" fillId="3" borderId="28" xfId="0" applyFont="1" applyFill="1" applyBorder="1" applyAlignment="1">
      <alignment horizontal="center" vertical="center"/>
    </xf>
    <xf numFmtId="0" fontId="17" fillId="3" borderId="23" xfId="0" applyFont="1" applyFill="1" applyBorder="1" applyAlignment="1">
      <alignment horizontal="center" vertical="center"/>
    </xf>
    <xf numFmtId="0" fontId="17" fillId="2" borderId="61" xfId="0" applyFont="1" applyFill="1" applyBorder="1" applyAlignment="1">
      <alignment horizontal="center" vertical="center" wrapText="1"/>
    </xf>
    <xf numFmtId="0" fontId="17" fillId="2" borderId="62" xfId="0" applyFont="1" applyFill="1" applyBorder="1" applyAlignment="1">
      <alignment horizontal="center" vertical="center" wrapText="1"/>
    </xf>
    <xf numFmtId="0" fontId="17" fillId="2" borderId="63" xfId="0" applyFont="1" applyFill="1" applyBorder="1" applyAlignment="1">
      <alignment horizontal="center" vertical="center" wrapText="1"/>
    </xf>
    <xf numFmtId="164" fontId="17" fillId="0" borderId="1" xfId="3" applyNumberFormat="1" applyFont="1" applyFill="1" applyBorder="1" applyAlignment="1">
      <alignment horizontal="center" vertical="center"/>
    </xf>
    <xf numFmtId="164" fontId="17" fillId="0" borderId="6" xfId="3" applyNumberFormat="1" applyFont="1" applyFill="1" applyBorder="1" applyAlignment="1">
      <alignment horizontal="center" vertical="center"/>
    </xf>
    <xf numFmtId="0" fontId="31" fillId="9" borderId="61" xfId="0" applyFont="1" applyFill="1" applyBorder="1" applyAlignment="1">
      <alignment horizontal="center" vertical="center"/>
    </xf>
    <xf numFmtId="49" fontId="22" fillId="0" borderId="61" xfId="0" applyNumberFormat="1" applyFont="1" applyBorder="1" applyAlignment="1">
      <alignment horizontal="center" vertical="center"/>
    </xf>
    <xf numFmtId="49" fontId="22" fillId="0" borderId="62" xfId="0" applyNumberFormat="1" applyFont="1" applyBorder="1" applyAlignment="1">
      <alignment horizontal="center" vertical="center"/>
    </xf>
    <xf numFmtId="49" fontId="22" fillId="0" borderId="63" xfId="0" applyNumberFormat="1" applyFont="1" applyBorder="1" applyAlignment="1">
      <alignment horizontal="center" vertical="center"/>
    </xf>
    <xf numFmtId="0" fontId="44" fillId="29" borderId="31" xfId="0" applyFont="1" applyFill="1" applyBorder="1" applyAlignment="1">
      <alignment horizontal="center" vertical="center"/>
    </xf>
    <xf numFmtId="0" fontId="44" fillId="29" borderId="32" xfId="0" applyFont="1" applyFill="1" applyBorder="1" applyAlignment="1">
      <alignment horizontal="center" vertical="center"/>
    </xf>
    <xf numFmtId="0" fontId="44" fillId="29" borderId="33" xfId="0" applyFont="1" applyFill="1" applyBorder="1" applyAlignment="1">
      <alignment horizontal="center" vertical="center"/>
    </xf>
    <xf numFmtId="0" fontId="31" fillId="9" borderId="57" xfId="0" applyFont="1" applyFill="1" applyBorder="1" applyAlignment="1">
      <alignment horizontal="center" vertical="center"/>
    </xf>
    <xf numFmtId="0" fontId="31" fillId="9" borderId="46" xfId="0" applyFont="1" applyFill="1" applyBorder="1" applyAlignment="1">
      <alignment horizontal="center" vertical="center"/>
    </xf>
    <xf numFmtId="0" fontId="21" fillId="0" borderId="51" xfId="0" applyFont="1" applyBorder="1" applyAlignment="1">
      <alignment horizontal="left" vertical="center"/>
    </xf>
    <xf numFmtId="0" fontId="21" fillId="0" borderId="38" xfId="0" applyFont="1" applyBorder="1" applyAlignment="1">
      <alignment horizontal="left" vertical="center"/>
    </xf>
    <xf numFmtId="0" fontId="21" fillId="0" borderId="42" xfId="0" applyFont="1" applyBorder="1" applyAlignment="1">
      <alignment horizontal="left" vertical="center"/>
    </xf>
    <xf numFmtId="0" fontId="21" fillId="0" borderId="49" xfId="0" applyFont="1" applyBorder="1" applyAlignment="1">
      <alignment horizontal="left" vertical="center"/>
    </xf>
    <xf numFmtId="0" fontId="21" fillId="0" borderId="46" xfId="0" applyFont="1" applyBorder="1" applyAlignment="1">
      <alignment horizontal="left" vertical="center"/>
    </xf>
    <xf numFmtId="0" fontId="21" fillId="0" borderId="43" xfId="0" applyFont="1" applyBorder="1" applyAlignment="1">
      <alignment horizontal="left" vertical="center"/>
    </xf>
    <xf numFmtId="0" fontId="99" fillId="0" borderId="28" xfId="0" applyFont="1" applyBorder="1" applyAlignment="1">
      <alignment horizontal="center" vertical="center"/>
    </xf>
    <xf numFmtId="0" fontId="99" fillId="0" borderId="0" xfId="0" applyFont="1" applyAlignment="1">
      <alignment horizontal="center" vertical="center"/>
    </xf>
    <xf numFmtId="0" fontId="99" fillId="0" borderId="15" xfId="0" applyFont="1" applyBorder="1" applyAlignment="1">
      <alignment horizontal="center" vertical="center"/>
    </xf>
    <xf numFmtId="0" fontId="99" fillId="0" borderId="23" xfId="0" applyFont="1" applyBorder="1" applyAlignment="1">
      <alignment horizontal="center" vertical="center"/>
    </xf>
    <xf numFmtId="0" fontId="99" fillId="0" borderId="24" xfId="0" applyFont="1" applyBorder="1" applyAlignment="1">
      <alignment horizontal="center" vertical="center"/>
    </xf>
    <xf numFmtId="0" fontId="99" fillId="0" borderId="30" xfId="0" applyFont="1" applyBorder="1" applyAlignment="1">
      <alignment horizontal="center" vertical="center"/>
    </xf>
    <xf numFmtId="0" fontId="22" fillId="0" borderId="54" xfId="0" applyFont="1" applyBorder="1" applyAlignment="1" applyProtection="1">
      <alignment horizontal="center" vertical="center"/>
      <protection locked="0"/>
    </xf>
    <xf numFmtId="0" fontId="22" fillId="0" borderId="76" xfId="0" applyFont="1" applyBorder="1" applyAlignment="1" applyProtection="1">
      <alignment horizontal="center" vertical="center"/>
      <protection locked="0"/>
    </xf>
    <xf numFmtId="0" fontId="19" fillId="10" borderId="18" xfId="0" applyFont="1" applyFill="1" applyBorder="1" applyAlignment="1">
      <alignment horizontal="center" vertical="center"/>
    </xf>
    <xf numFmtId="0" fontId="19" fillId="10" borderId="52" xfId="0" applyFont="1" applyFill="1" applyBorder="1" applyAlignment="1">
      <alignment horizontal="center" vertical="center"/>
    </xf>
    <xf numFmtId="0" fontId="19" fillId="10" borderId="53" xfId="0" applyFont="1" applyFill="1" applyBorder="1" applyAlignment="1">
      <alignment horizontal="center" vertical="center"/>
    </xf>
    <xf numFmtId="0" fontId="41" fillId="0" borderId="0" xfId="0" applyFont="1" applyAlignment="1">
      <alignment horizontal="center" vertical="center"/>
    </xf>
    <xf numFmtId="0" fontId="41" fillId="4" borderId="3" xfId="0" applyFont="1" applyFill="1" applyBorder="1" applyAlignment="1">
      <alignment horizontal="center" vertical="center" wrapText="1"/>
    </xf>
    <xf numFmtId="0" fontId="41" fillId="4" borderId="16" xfId="0" applyFont="1" applyFill="1" applyBorder="1" applyAlignment="1">
      <alignment horizontal="center" vertical="center" wrapText="1"/>
    </xf>
    <xf numFmtId="0" fontId="20" fillId="2" borderId="59" xfId="0" applyFont="1" applyFill="1" applyBorder="1" applyAlignment="1">
      <alignment horizontal="center" vertical="center"/>
    </xf>
    <xf numFmtId="0" fontId="20" fillId="2" borderId="66" xfId="0" applyFont="1" applyFill="1" applyBorder="1" applyAlignment="1">
      <alignment horizontal="center" vertical="center"/>
    </xf>
    <xf numFmtId="0" fontId="20" fillId="2" borderId="45" xfId="0" applyFont="1" applyFill="1" applyBorder="1" applyAlignment="1">
      <alignment horizontal="center" vertical="center"/>
    </xf>
    <xf numFmtId="0" fontId="21" fillId="9" borderId="26" xfId="0" applyFont="1" applyFill="1" applyBorder="1" applyAlignment="1">
      <alignment horizontal="center" vertical="center" wrapText="1"/>
    </xf>
    <xf numFmtId="0" fontId="21" fillId="9" borderId="28" xfId="0" applyFont="1" applyFill="1" applyBorder="1" applyAlignment="1">
      <alignment horizontal="center" vertical="center" wrapText="1"/>
    </xf>
    <xf numFmtId="0" fontId="21" fillId="9" borderId="48" xfId="0" applyFont="1" applyFill="1" applyBorder="1" applyAlignment="1">
      <alignment horizontal="center" vertical="center"/>
    </xf>
    <xf numFmtId="0" fontId="21" fillId="9" borderId="75" xfId="0" applyFont="1" applyFill="1" applyBorder="1" applyAlignment="1">
      <alignment horizontal="center" vertical="center"/>
    </xf>
    <xf numFmtId="0" fontId="22" fillId="0" borderId="10" xfId="0" applyFont="1" applyBorder="1" applyAlignment="1" applyProtection="1">
      <alignment horizontal="center" vertical="center"/>
      <protection locked="0"/>
    </xf>
    <xf numFmtId="173" fontId="22" fillId="0" borderId="11" xfId="0" applyNumberFormat="1" applyFont="1" applyBorder="1" applyAlignment="1" applyProtection="1">
      <alignment horizontal="center" vertical="center"/>
      <protection locked="0"/>
    </xf>
    <xf numFmtId="173" fontId="22" fillId="0" borderId="34" xfId="0" applyNumberFormat="1" applyFont="1" applyBorder="1" applyAlignment="1" applyProtection="1">
      <alignment horizontal="center" vertical="center"/>
      <protection locked="0"/>
    </xf>
    <xf numFmtId="0" fontId="21" fillId="9" borderId="10" xfId="0" applyFont="1" applyFill="1" applyBorder="1" applyAlignment="1">
      <alignment horizontal="center" vertical="center"/>
    </xf>
    <xf numFmtId="0" fontId="21" fillId="9" borderId="72" xfId="0" applyFont="1" applyFill="1" applyBorder="1" applyAlignment="1">
      <alignment horizontal="center" vertical="center"/>
    </xf>
    <xf numFmtId="0" fontId="22" fillId="0" borderId="66" xfId="0" applyFont="1" applyBorder="1" applyAlignment="1" applyProtection="1">
      <alignment horizontal="center" vertical="center"/>
      <protection locked="0"/>
    </xf>
    <xf numFmtId="0" fontId="80" fillId="14" borderId="18" xfId="0" applyFont="1" applyFill="1" applyBorder="1" applyAlignment="1">
      <alignment horizontal="center" vertical="center"/>
    </xf>
    <xf numFmtId="0" fontId="80" fillId="14" borderId="52" xfId="0" applyFont="1" applyFill="1" applyBorder="1" applyAlignment="1">
      <alignment horizontal="center" vertical="center"/>
    </xf>
    <xf numFmtId="0" fontId="80" fillId="14" borderId="21" xfId="0" applyFont="1" applyFill="1" applyBorder="1" applyAlignment="1">
      <alignment horizontal="center" vertical="center"/>
    </xf>
    <xf numFmtId="0" fontId="80" fillId="14" borderId="27" xfId="0" applyFont="1" applyFill="1" applyBorder="1" applyAlignment="1">
      <alignment horizontal="center" vertical="center"/>
    </xf>
    <xf numFmtId="0" fontId="21" fillId="9" borderId="56" xfId="0" applyFont="1" applyFill="1" applyBorder="1" applyAlignment="1">
      <alignment horizontal="center" vertical="center"/>
    </xf>
    <xf numFmtId="0" fontId="21" fillId="9" borderId="5" xfId="0" applyFont="1" applyFill="1" applyBorder="1" applyAlignment="1">
      <alignment horizontal="center" vertical="center"/>
    </xf>
    <xf numFmtId="0" fontId="21" fillId="9" borderId="58" xfId="0" applyFont="1" applyFill="1" applyBorder="1" applyAlignment="1">
      <alignment horizontal="center" vertical="center"/>
    </xf>
    <xf numFmtId="0" fontId="98" fillId="9" borderId="12" xfId="0" applyFont="1" applyFill="1" applyBorder="1" applyAlignment="1">
      <alignment horizontal="center" vertical="center"/>
    </xf>
    <xf numFmtId="0" fontId="98" fillId="9" borderId="13" xfId="0" applyFont="1" applyFill="1" applyBorder="1" applyAlignment="1">
      <alignment horizontal="center" vertical="center"/>
    </xf>
    <xf numFmtId="0" fontId="98" fillId="9" borderId="14" xfId="0" applyFont="1" applyFill="1" applyBorder="1" applyAlignment="1">
      <alignment horizontal="center" vertical="center"/>
    </xf>
    <xf numFmtId="0" fontId="98" fillId="9" borderId="64" xfId="0" applyFont="1" applyFill="1" applyBorder="1" applyAlignment="1">
      <alignment horizontal="center" vertical="center"/>
    </xf>
    <xf numFmtId="0" fontId="41" fillId="8" borderId="52" xfId="0" applyFont="1" applyFill="1" applyBorder="1" applyAlignment="1" applyProtection="1">
      <alignment horizontal="center" vertical="center"/>
      <protection locked="0"/>
    </xf>
    <xf numFmtId="0" fontId="41" fillId="8" borderId="53" xfId="0" applyFont="1" applyFill="1" applyBorder="1" applyAlignment="1" applyProtection="1">
      <alignment horizontal="center" vertical="center"/>
      <protection locked="0"/>
    </xf>
    <xf numFmtId="0" fontId="98" fillId="9" borderId="49" xfId="0" applyFont="1" applyFill="1" applyBorder="1" applyAlignment="1">
      <alignment horizontal="center" vertical="center"/>
    </xf>
    <xf numFmtId="0" fontId="98" fillId="9" borderId="46" xfId="0" applyFont="1" applyFill="1" applyBorder="1" applyAlignment="1">
      <alignment horizontal="center" vertical="center"/>
    </xf>
    <xf numFmtId="0" fontId="21" fillId="9" borderId="31" xfId="0" applyFont="1" applyFill="1" applyBorder="1" applyAlignment="1">
      <alignment horizontal="center" vertical="center"/>
    </xf>
    <xf numFmtId="0" fontId="21" fillId="9" borderId="32" xfId="0" applyFont="1" applyFill="1" applyBorder="1" applyAlignment="1">
      <alignment horizontal="center" vertical="center"/>
    </xf>
    <xf numFmtId="0" fontId="21" fillId="9" borderId="65" xfId="0" applyFont="1" applyFill="1" applyBorder="1" applyAlignment="1">
      <alignment horizontal="center" vertical="center"/>
    </xf>
    <xf numFmtId="0" fontId="21" fillId="9" borderId="17" xfId="0" applyFont="1" applyFill="1" applyBorder="1" applyAlignment="1">
      <alignment horizontal="center" vertical="center" wrapText="1"/>
    </xf>
    <xf numFmtId="0" fontId="21" fillId="9" borderId="20" xfId="0" applyFont="1" applyFill="1" applyBorder="1" applyAlignment="1">
      <alignment horizontal="center" vertical="center" wrapText="1"/>
    </xf>
    <xf numFmtId="0" fontId="21" fillId="0" borderId="12" xfId="0" applyFont="1" applyBorder="1" applyAlignment="1">
      <alignment horizontal="left" vertical="center"/>
    </xf>
    <xf numFmtId="0" fontId="21" fillId="0" borderId="13" xfId="0" applyFont="1" applyBorder="1" applyAlignment="1">
      <alignment horizontal="left" vertical="center"/>
    </xf>
    <xf numFmtId="0" fontId="21" fillId="0" borderId="14" xfId="0" applyFont="1" applyBorder="1" applyAlignment="1">
      <alignment horizontal="left" vertical="center"/>
    </xf>
    <xf numFmtId="14" fontId="22" fillId="0" borderId="1" xfId="0" applyNumberFormat="1" applyFont="1" applyBorder="1" applyAlignment="1" applyProtection="1">
      <alignment horizontal="center" vertical="center"/>
      <protection locked="0"/>
    </xf>
    <xf numFmtId="164" fontId="17" fillId="0" borderId="11" xfId="3" applyNumberFormat="1" applyFont="1" applyFill="1" applyBorder="1" applyAlignment="1">
      <alignment horizontal="center" vertical="center"/>
    </xf>
    <xf numFmtId="164" fontId="17" fillId="0" borderId="34" xfId="3" applyNumberFormat="1" applyFont="1" applyFill="1" applyBorder="1" applyAlignment="1">
      <alignment horizontal="center" vertical="center"/>
    </xf>
    <xf numFmtId="0" fontId="43" fillId="9" borderId="31" xfId="0" applyFont="1" applyFill="1" applyBorder="1" applyAlignment="1">
      <alignment horizontal="center" vertical="center"/>
    </xf>
    <xf numFmtId="0" fontId="43" fillId="9" borderId="32" xfId="0" applyFont="1" applyFill="1" applyBorder="1" applyAlignment="1">
      <alignment horizontal="center" vertical="center"/>
    </xf>
    <xf numFmtId="0" fontId="43" fillId="9" borderId="33" xfId="0" applyFont="1" applyFill="1" applyBorder="1" applyAlignment="1">
      <alignment horizontal="center" vertical="center"/>
    </xf>
    <xf numFmtId="0" fontId="22" fillId="2" borderId="18" xfId="0" applyFont="1" applyFill="1" applyBorder="1" applyAlignment="1">
      <alignment horizontal="center" vertical="center"/>
    </xf>
    <xf numFmtId="0" fontId="22" fillId="2" borderId="71" xfId="0" applyFont="1" applyFill="1" applyBorder="1" applyAlignment="1">
      <alignment horizontal="center" vertical="center"/>
    </xf>
    <xf numFmtId="0" fontId="21" fillId="9" borderId="18" xfId="0" applyFont="1" applyFill="1" applyBorder="1" applyAlignment="1">
      <alignment horizontal="center" vertical="center"/>
    </xf>
    <xf numFmtId="0" fontId="21" fillId="9" borderId="52" xfId="0" applyFont="1" applyFill="1" applyBorder="1" applyAlignment="1">
      <alignment horizontal="center" vertical="center"/>
    </xf>
    <xf numFmtId="0" fontId="21" fillId="9" borderId="53" xfId="0" applyFont="1" applyFill="1" applyBorder="1" applyAlignment="1">
      <alignment horizontal="center" vertical="center"/>
    </xf>
    <xf numFmtId="0" fontId="4" fillId="9" borderId="52" xfId="0" applyFont="1" applyFill="1" applyBorder="1" applyAlignment="1">
      <alignment horizontal="center" vertical="center"/>
    </xf>
    <xf numFmtId="0" fontId="34" fillId="9" borderId="18" xfId="0" applyFont="1" applyFill="1" applyBorder="1" applyAlignment="1">
      <alignment horizontal="center" vertical="center"/>
    </xf>
    <xf numFmtId="0" fontId="34" fillId="9" borderId="52" xfId="0" applyFont="1" applyFill="1" applyBorder="1" applyAlignment="1">
      <alignment horizontal="center" vertical="center"/>
    </xf>
    <xf numFmtId="0" fontId="34" fillId="9" borderId="53" xfId="0" applyFont="1" applyFill="1" applyBorder="1" applyAlignment="1">
      <alignment horizontal="center" vertical="center"/>
    </xf>
    <xf numFmtId="0" fontId="22" fillId="9" borderId="26" xfId="0" applyFont="1" applyFill="1" applyBorder="1" applyAlignment="1" applyProtection="1">
      <alignment horizontal="left" vertical="center"/>
      <protection hidden="1"/>
    </xf>
    <xf numFmtId="0" fontId="22" fillId="9" borderId="21" xfId="0" applyFont="1" applyFill="1" applyBorder="1" applyAlignment="1" applyProtection="1">
      <alignment horizontal="left" vertical="center"/>
      <protection hidden="1"/>
    </xf>
    <xf numFmtId="164" fontId="4" fillId="16" borderId="5" xfId="3" applyNumberFormat="1" applyFont="1" applyFill="1" applyBorder="1" applyAlignment="1" applyProtection="1">
      <alignment horizontal="center" vertical="center"/>
    </xf>
    <xf numFmtId="164" fontId="4" fillId="16" borderId="1" xfId="3" applyNumberFormat="1" applyFont="1" applyFill="1" applyBorder="1" applyAlignment="1" applyProtection="1">
      <alignment horizontal="center" vertical="center"/>
    </xf>
    <xf numFmtId="164" fontId="4" fillId="16" borderId="6" xfId="3" applyNumberFormat="1" applyFont="1" applyFill="1" applyBorder="1" applyAlignment="1" applyProtection="1">
      <alignment horizontal="center" vertical="center"/>
    </xf>
    <xf numFmtId="0" fontId="15" fillId="9" borderId="10" xfId="0" applyFont="1" applyFill="1" applyBorder="1" applyAlignment="1">
      <alignment horizontal="center" vertical="center"/>
    </xf>
    <xf numFmtId="0" fontId="15" fillId="9" borderId="11" xfId="0" applyFont="1" applyFill="1" applyBorder="1" applyAlignment="1">
      <alignment horizontal="center" vertical="center"/>
    </xf>
    <xf numFmtId="0" fontId="15" fillId="9" borderId="31" xfId="0" applyFont="1" applyFill="1" applyBorder="1" applyAlignment="1">
      <alignment horizontal="center" vertical="center" wrapText="1"/>
    </xf>
    <xf numFmtId="0" fontId="15" fillId="9" borderId="32" xfId="0" applyFont="1" applyFill="1" applyBorder="1" applyAlignment="1">
      <alignment horizontal="center" vertical="center" wrapText="1"/>
    </xf>
    <xf numFmtId="0" fontId="41" fillId="9" borderId="31" xfId="0" applyFont="1" applyFill="1" applyBorder="1" applyAlignment="1">
      <alignment horizontal="center" vertical="center"/>
    </xf>
    <xf numFmtId="0" fontId="41" fillId="9" borderId="32" xfId="0" applyFont="1" applyFill="1" applyBorder="1" applyAlignment="1">
      <alignment horizontal="center" vertical="center"/>
    </xf>
    <xf numFmtId="0" fontId="0" fillId="0" borderId="11" xfId="0" applyBorder="1" applyAlignment="1">
      <alignment horizontal="center" vertical="center"/>
    </xf>
    <xf numFmtId="0" fontId="0" fillId="0" borderId="34" xfId="0" applyBorder="1" applyAlignment="1">
      <alignment horizontal="center" vertical="center"/>
    </xf>
    <xf numFmtId="0" fontId="41" fillId="9" borderId="33" xfId="0" applyFont="1" applyFill="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34" fillId="0" borderId="0" xfId="0" applyFont="1" applyAlignment="1">
      <alignment horizontal="center" vertical="center" wrapText="1"/>
    </xf>
    <xf numFmtId="0" fontId="90" fillId="34" borderId="18" xfId="4" quotePrefix="1" applyFont="1" applyFill="1" applyBorder="1" applyAlignment="1" applyProtection="1">
      <alignment horizontal="center"/>
      <protection locked="0"/>
    </xf>
    <xf numFmtId="0" fontId="90" fillId="34" borderId="53" xfId="4" quotePrefix="1" applyFont="1" applyFill="1" applyBorder="1" applyAlignment="1" applyProtection="1">
      <alignment horizontal="center"/>
      <protection locked="0"/>
    </xf>
    <xf numFmtId="164" fontId="17" fillId="0" borderId="16" xfId="3" applyNumberFormat="1" applyFont="1" applyFill="1" applyBorder="1" applyAlignment="1">
      <alignment horizontal="center" vertical="center"/>
    </xf>
    <xf numFmtId="164" fontId="17" fillId="0" borderId="35" xfId="3" applyNumberFormat="1" applyFont="1" applyFill="1" applyBorder="1" applyAlignment="1">
      <alignment horizontal="center" vertical="center"/>
    </xf>
    <xf numFmtId="44" fontId="4" fillId="16" borderId="7" xfId="3" applyFont="1" applyFill="1" applyBorder="1" applyAlignment="1" applyProtection="1">
      <alignment horizontal="center" vertical="center"/>
    </xf>
    <xf numFmtId="44" fontId="4" fillId="16" borderId="8" xfId="3" applyFont="1" applyFill="1" applyBorder="1" applyAlignment="1" applyProtection="1">
      <alignment horizontal="center" vertical="center"/>
    </xf>
    <xf numFmtId="44" fontId="4" fillId="16" borderId="9" xfId="3" applyFont="1" applyFill="1" applyBorder="1" applyAlignment="1" applyProtection="1">
      <alignment horizontal="center" vertical="center"/>
    </xf>
    <xf numFmtId="0" fontId="4" fillId="22" borderId="8" xfId="0" applyFont="1" applyFill="1" applyBorder="1" applyAlignment="1">
      <alignment horizontal="left" vertical="center"/>
    </xf>
    <xf numFmtId="0" fontId="32" fillId="4" borderId="18" xfId="0" applyFont="1" applyFill="1" applyBorder="1" applyAlignment="1">
      <alignment horizontal="center" vertical="center"/>
    </xf>
    <xf numFmtId="0" fontId="32" fillId="4" borderId="52" xfId="0" applyFont="1" applyFill="1" applyBorder="1" applyAlignment="1">
      <alignment horizontal="center" vertical="center"/>
    </xf>
    <xf numFmtId="0" fontId="32" fillId="4" borderId="53" xfId="0" applyFont="1" applyFill="1" applyBorder="1" applyAlignment="1">
      <alignment horizontal="center" vertical="center"/>
    </xf>
    <xf numFmtId="0" fontId="15" fillId="4" borderId="1" xfId="0" applyFont="1" applyFill="1" applyBorder="1" applyAlignment="1">
      <alignment horizontal="center" vertical="center"/>
    </xf>
    <xf numFmtId="0" fontId="31" fillId="2" borderId="0" xfId="0" applyFont="1" applyFill="1" applyAlignment="1">
      <alignment horizontal="center" vertical="center"/>
    </xf>
    <xf numFmtId="0" fontId="33" fillId="19" borderId="5" xfId="0" applyFont="1" applyFill="1" applyBorder="1" applyAlignment="1">
      <alignment horizontal="left" vertical="center"/>
    </xf>
    <xf numFmtId="0" fontId="33" fillId="19" borderId="1" xfId="0" applyFont="1" applyFill="1" applyBorder="1" applyAlignment="1">
      <alignment horizontal="left" vertical="center"/>
    </xf>
    <xf numFmtId="0" fontId="21" fillId="9" borderId="7" xfId="0" applyFont="1" applyFill="1" applyBorder="1" applyAlignment="1" applyProtection="1">
      <alignment horizontal="center" vertical="center"/>
      <protection hidden="1"/>
    </xf>
    <xf numFmtId="0" fontId="21" fillId="9" borderId="8" xfId="0" applyFont="1" applyFill="1" applyBorder="1" applyAlignment="1" applyProtection="1">
      <alignment horizontal="center" vertical="center"/>
      <protection hidden="1"/>
    </xf>
    <xf numFmtId="0" fontId="31" fillId="0" borderId="0" xfId="0" applyFont="1" applyAlignment="1">
      <alignment horizontal="center" vertical="center"/>
    </xf>
    <xf numFmtId="0" fontId="22" fillId="2" borderId="26" xfId="0" applyFont="1" applyFill="1" applyBorder="1" applyAlignment="1" applyProtection="1">
      <alignment horizontal="center" vertical="center" wrapText="1"/>
      <protection locked="0"/>
    </xf>
    <xf numFmtId="0" fontId="22" fillId="2" borderId="21" xfId="0" applyFont="1" applyFill="1" applyBorder="1" applyAlignment="1" applyProtection="1">
      <alignment horizontal="center" vertical="center"/>
      <protection locked="0"/>
    </xf>
    <xf numFmtId="0" fontId="22" fillId="2" borderId="27" xfId="0" applyFont="1" applyFill="1" applyBorder="1" applyAlignment="1" applyProtection="1">
      <alignment horizontal="center" vertical="center"/>
      <protection locked="0"/>
    </xf>
    <xf numFmtId="0" fontId="22" fillId="2" borderId="28" xfId="0" applyFont="1" applyFill="1" applyBorder="1" applyAlignment="1" applyProtection="1">
      <alignment horizontal="center" vertical="center"/>
      <protection locked="0"/>
    </xf>
    <xf numFmtId="0" fontId="22" fillId="2" borderId="0" xfId="0" applyFont="1" applyFill="1" applyAlignment="1" applyProtection="1">
      <alignment horizontal="center" vertical="center"/>
      <protection locked="0"/>
    </xf>
    <xf numFmtId="0" fontId="22" fillId="2" borderId="15" xfId="0" applyFont="1" applyFill="1" applyBorder="1" applyAlignment="1" applyProtection="1">
      <alignment horizontal="center" vertical="center"/>
      <protection locked="0"/>
    </xf>
    <xf numFmtId="0" fontId="22" fillId="2" borderId="23" xfId="0" applyFont="1" applyFill="1" applyBorder="1" applyAlignment="1" applyProtection="1">
      <alignment horizontal="center" vertical="center"/>
      <protection locked="0"/>
    </xf>
    <xf numFmtId="0" fontId="22" fillId="2" borderId="24" xfId="0" applyFont="1" applyFill="1" applyBorder="1" applyAlignment="1" applyProtection="1">
      <alignment horizontal="center" vertical="center"/>
      <protection locked="0"/>
    </xf>
    <xf numFmtId="0" fontId="22" fillId="2" borderId="30" xfId="0" applyFont="1" applyFill="1" applyBorder="1" applyAlignment="1" applyProtection="1">
      <alignment horizontal="center" vertical="center"/>
      <protection locked="0"/>
    </xf>
    <xf numFmtId="0" fontId="22" fillId="2" borderId="1" xfId="0" applyFont="1" applyFill="1" applyBorder="1" applyAlignment="1" applyProtection="1">
      <alignment horizontal="center" vertical="center"/>
      <protection locked="0"/>
    </xf>
    <xf numFmtId="0" fontId="21" fillId="8" borderId="7" xfId="0" applyFont="1" applyFill="1" applyBorder="1" applyAlignment="1" applyProtection="1">
      <alignment horizontal="center" vertical="center" wrapText="1"/>
      <protection hidden="1"/>
    </xf>
    <xf numFmtId="0" fontId="21" fillId="8" borderId="8" xfId="0" applyFont="1" applyFill="1" applyBorder="1" applyAlignment="1" applyProtection="1">
      <alignment horizontal="center" vertical="center" wrapText="1"/>
      <protection hidden="1"/>
    </xf>
    <xf numFmtId="0" fontId="22" fillId="9" borderId="3" xfId="0" applyFont="1" applyFill="1" applyBorder="1" applyAlignment="1" applyProtection="1">
      <alignment horizontal="center" vertical="center" wrapText="1"/>
      <protection hidden="1"/>
    </xf>
    <xf numFmtId="0" fontId="22" fillId="9" borderId="2" xfId="0" applyFont="1" applyFill="1" applyBorder="1" applyAlignment="1" applyProtection="1">
      <alignment horizontal="center" vertical="center"/>
      <protection hidden="1"/>
    </xf>
    <xf numFmtId="0" fontId="22" fillId="9" borderId="3" xfId="0" applyFont="1" applyFill="1" applyBorder="1" applyAlignment="1" applyProtection="1">
      <alignment horizontal="center" vertical="center"/>
      <protection hidden="1"/>
    </xf>
    <xf numFmtId="0" fontId="21" fillId="4" borderId="22" xfId="0" applyFont="1" applyFill="1" applyBorder="1" applyAlignment="1" applyProtection="1">
      <alignment horizontal="center" vertical="center" wrapText="1"/>
      <protection hidden="1"/>
    </xf>
    <xf numFmtId="0" fontId="21" fillId="4" borderId="29" xfId="0" applyFont="1" applyFill="1" applyBorder="1" applyAlignment="1" applyProtection="1">
      <alignment horizontal="center" vertical="center" wrapText="1"/>
      <protection hidden="1"/>
    </xf>
    <xf numFmtId="0" fontId="21" fillId="4" borderId="67" xfId="0" applyFont="1" applyFill="1" applyBorder="1" applyAlignment="1" applyProtection="1">
      <alignment horizontal="center" vertical="center" wrapText="1"/>
      <protection hidden="1"/>
    </xf>
    <xf numFmtId="43" fontId="22" fillId="9" borderId="16" xfId="1" applyFont="1" applyFill="1" applyBorder="1" applyAlignment="1">
      <alignment horizontal="center" vertical="center"/>
    </xf>
    <xf numFmtId="0" fontId="21" fillId="8" borderId="8" xfId="0" applyFont="1" applyFill="1" applyBorder="1" applyAlignment="1" applyProtection="1">
      <alignment horizontal="center" vertical="center"/>
      <protection hidden="1"/>
    </xf>
    <xf numFmtId="0" fontId="21" fillId="8" borderId="9" xfId="0" applyFont="1" applyFill="1" applyBorder="1" applyAlignment="1" applyProtection="1">
      <alignment horizontal="center" vertical="center"/>
      <protection hidden="1"/>
    </xf>
    <xf numFmtId="0" fontId="31" fillId="14" borderId="1" xfId="0" applyFont="1" applyFill="1" applyBorder="1" applyAlignment="1">
      <alignment horizontal="center" vertical="center"/>
    </xf>
    <xf numFmtId="0" fontId="31" fillId="14" borderId="1" xfId="0" applyFont="1" applyFill="1" applyBorder="1" applyAlignment="1">
      <alignment horizontal="center" vertical="center" wrapText="1"/>
    </xf>
    <xf numFmtId="0" fontId="31" fillId="4" borderId="1" xfId="0" applyFont="1" applyFill="1" applyBorder="1" applyAlignment="1">
      <alignment horizontal="center" vertical="center"/>
    </xf>
    <xf numFmtId="0" fontId="17" fillId="35" borderId="61" xfId="0" applyFont="1" applyFill="1" applyBorder="1" applyAlignment="1">
      <alignment horizontal="center" vertical="center"/>
    </xf>
    <xf numFmtId="0" fontId="17" fillId="35" borderId="62" xfId="0" applyFont="1" applyFill="1" applyBorder="1" applyAlignment="1">
      <alignment horizontal="center" vertical="center"/>
    </xf>
    <xf numFmtId="0" fontId="17" fillId="35" borderId="63" xfId="0" applyFont="1" applyFill="1" applyBorder="1" applyAlignment="1">
      <alignment horizontal="center" vertical="center"/>
    </xf>
    <xf numFmtId="0" fontId="43" fillId="4" borderId="31" xfId="0" applyFont="1" applyFill="1" applyBorder="1" applyAlignment="1">
      <alignment horizontal="center" vertical="center"/>
    </xf>
    <xf numFmtId="0" fontId="43" fillId="4" borderId="33" xfId="0" applyFont="1" applyFill="1" applyBorder="1" applyAlignment="1">
      <alignment horizontal="center" vertical="center"/>
    </xf>
    <xf numFmtId="0" fontId="22" fillId="0" borderId="0" xfId="0" applyFont="1" applyAlignment="1">
      <alignment horizontal="center" vertical="center" wrapText="1"/>
    </xf>
    <xf numFmtId="0" fontId="21" fillId="9" borderId="2" xfId="0" applyFont="1" applyFill="1" applyBorder="1" applyAlignment="1" applyProtection="1">
      <alignment horizontal="center" vertical="center"/>
      <protection hidden="1"/>
    </xf>
    <xf numFmtId="0" fontId="21" fillId="9" borderId="3" xfId="0" applyFont="1" applyFill="1" applyBorder="1" applyAlignment="1" applyProtection="1">
      <alignment horizontal="center" vertical="center"/>
      <protection hidden="1"/>
    </xf>
    <xf numFmtId="44" fontId="4" fillId="22" borderId="32" xfId="3" applyFont="1" applyFill="1" applyBorder="1" applyAlignment="1">
      <alignment horizontal="center" vertical="center"/>
    </xf>
    <xf numFmtId="44" fontId="4" fillId="22" borderId="33" xfId="3" applyFont="1" applyFill="1" applyBorder="1" applyAlignment="1">
      <alignment horizontal="center" vertical="center"/>
    </xf>
    <xf numFmtId="0" fontId="3" fillId="9" borderId="18" xfId="0" applyFont="1" applyFill="1" applyBorder="1" applyAlignment="1">
      <alignment horizontal="center" vertical="center"/>
    </xf>
    <xf numFmtId="0" fontId="3" fillId="9" borderId="52" xfId="0" applyFont="1" applyFill="1" applyBorder="1" applyAlignment="1">
      <alignment horizontal="center" vertical="center"/>
    </xf>
    <xf numFmtId="0" fontId="3" fillId="9" borderId="53" xfId="0" applyFont="1" applyFill="1" applyBorder="1" applyAlignment="1">
      <alignment horizontal="center" vertical="center"/>
    </xf>
    <xf numFmtId="0" fontId="3" fillId="9" borderId="22" xfId="0" applyFont="1" applyFill="1" applyBorder="1" applyAlignment="1">
      <alignment horizontal="center" vertical="center"/>
    </xf>
    <xf numFmtId="0" fontId="3" fillId="9" borderId="19" xfId="0" applyFont="1" applyFill="1" applyBorder="1" applyAlignment="1">
      <alignment horizontal="center" vertical="center"/>
    </xf>
    <xf numFmtId="44" fontId="4" fillId="22" borderId="8" xfId="3" applyFont="1" applyFill="1" applyBorder="1" applyAlignment="1">
      <alignment horizontal="center" vertical="center"/>
    </xf>
    <xf numFmtId="44" fontId="4" fillId="22" borderId="9" xfId="3" applyFont="1" applyFill="1" applyBorder="1" applyAlignment="1">
      <alignment horizontal="center" vertical="center"/>
    </xf>
    <xf numFmtId="0" fontId="31" fillId="14" borderId="65" xfId="0" applyFont="1" applyFill="1" applyBorder="1" applyAlignment="1">
      <alignment horizontal="center" vertical="center"/>
    </xf>
    <xf numFmtId="0" fontId="31" fillId="14" borderId="52" xfId="0" applyFont="1" applyFill="1" applyBorder="1" applyAlignment="1">
      <alignment horizontal="center" vertical="center"/>
    </xf>
    <xf numFmtId="0" fontId="31" fillId="14" borderId="53" xfId="0" applyFont="1" applyFill="1" applyBorder="1" applyAlignment="1">
      <alignment horizontal="center" vertical="center"/>
    </xf>
    <xf numFmtId="0" fontId="15" fillId="9" borderId="48" xfId="0" applyFont="1" applyFill="1" applyBorder="1" applyAlignment="1">
      <alignment horizontal="center" vertical="center"/>
    </xf>
    <xf numFmtId="0" fontId="15" fillId="9" borderId="16" xfId="0" applyFont="1" applyFill="1" applyBorder="1" applyAlignment="1">
      <alignment horizontal="center" vertical="center"/>
    </xf>
    <xf numFmtId="0" fontId="0" fillId="0" borderId="0" xfId="0" applyAlignment="1">
      <alignment horizontal="center" vertical="center" wrapText="1"/>
    </xf>
    <xf numFmtId="0" fontId="22" fillId="9" borderId="31" xfId="0" applyFont="1" applyFill="1" applyBorder="1" applyAlignment="1">
      <alignment horizontal="center" vertical="center"/>
    </xf>
    <xf numFmtId="0" fontId="22" fillId="9" borderId="32" xfId="0" applyFont="1" applyFill="1" applyBorder="1" applyAlignment="1">
      <alignment horizontal="center" vertical="center"/>
    </xf>
    <xf numFmtId="0" fontId="22" fillId="8" borderId="32" xfId="0" applyFont="1" applyFill="1" applyBorder="1" applyAlignment="1" applyProtection="1">
      <alignment horizontal="center" vertical="center"/>
      <protection locked="0"/>
    </xf>
    <xf numFmtId="0" fontId="22" fillId="8" borderId="33" xfId="0" applyFont="1" applyFill="1" applyBorder="1" applyAlignment="1" applyProtection="1">
      <alignment horizontal="center" vertical="center"/>
      <protection locked="0"/>
    </xf>
    <xf numFmtId="0" fontId="22" fillId="2" borderId="5" xfId="0" applyFont="1" applyFill="1" applyBorder="1" applyAlignment="1" applyProtection="1">
      <alignment horizontal="center" vertical="center"/>
      <protection locked="0"/>
    </xf>
    <xf numFmtId="0" fontId="45" fillId="4" borderId="18" xfId="0" applyFont="1" applyFill="1" applyBorder="1" applyAlignment="1">
      <alignment horizontal="center" vertical="center"/>
    </xf>
    <xf numFmtId="0" fontId="45" fillId="4" borderId="52" xfId="0" applyFont="1" applyFill="1" applyBorder="1" applyAlignment="1">
      <alignment horizontal="center" vertical="center"/>
    </xf>
    <xf numFmtId="0" fontId="45" fillId="4" borderId="53" xfId="0" applyFont="1" applyFill="1" applyBorder="1" applyAlignment="1">
      <alignment horizontal="center" vertical="center"/>
    </xf>
    <xf numFmtId="0" fontId="103" fillId="3" borderId="18" xfId="0" applyFont="1" applyFill="1" applyBorder="1" applyAlignment="1">
      <alignment horizontal="center" vertical="center"/>
    </xf>
    <xf numFmtId="0" fontId="103" fillId="3" borderId="52" xfId="0" applyFont="1" applyFill="1" applyBorder="1" applyAlignment="1">
      <alignment horizontal="center" vertical="center"/>
    </xf>
    <xf numFmtId="0" fontId="103" fillId="3" borderId="53" xfId="0" applyFont="1" applyFill="1" applyBorder="1" applyAlignment="1">
      <alignment horizontal="center" vertical="center"/>
    </xf>
    <xf numFmtId="0" fontId="21" fillId="18" borderId="41" xfId="0" applyFont="1" applyFill="1" applyBorder="1" applyAlignment="1">
      <alignment horizontal="center" vertical="center"/>
    </xf>
    <xf numFmtId="0" fontId="6" fillId="0" borderId="0" xfId="0" applyFont="1" applyAlignment="1">
      <alignment horizontal="center"/>
    </xf>
    <xf numFmtId="0" fontId="5" fillId="21" borderId="2" xfId="0" applyFont="1" applyFill="1" applyBorder="1" applyAlignment="1">
      <alignment horizontal="center" vertical="center" wrapText="1"/>
    </xf>
    <xf numFmtId="0" fontId="5" fillId="21" borderId="48" xfId="0" applyFont="1" applyFill="1" applyBorder="1" applyAlignment="1">
      <alignment horizontal="center" vertical="center" wrapText="1"/>
    </xf>
    <xf numFmtId="0" fontId="5" fillId="21" borderId="3" xfId="0" applyFont="1" applyFill="1" applyBorder="1" applyAlignment="1">
      <alignment horizontal="center"/>
    </xf>
    <xf numFmtId="0" fontId="5" fillId="21" borderId="16" xfId="0" applyFont="1" applyFill="1" applyBorder="1" applyAlignment="1">
      <alignment horizontal="center"/>
    </xf>
    <xf numFmtId="0" fontId="5" fillId="21" borderId="7" xfId="0" applyFont="1" applyFill="1" applyBorder="1" applyAlignment="1">
      <alignment horizontal="center" vertical="center" wrapText="1"/>
    </xf>
    <xf numFmtId="0" fontId="5" fillId="21" borderId="8" xfId="0" applyFont="1" applyFill="1" applyBorder="1" applyAlignment="1">
      <alignment horizontal="center"/>
    </xf>
    <xf numFmtId="164" fontId="25" fillId="2" borderId="86" xfId="0" applyNumberFormat="1" applyFont="1" applyFill="1" applyBorder="1" applyAlignment="1">
      <alignment horizontal="center" vertical="center" wrapText="1"/>
    </xf>
    <xf numFmtId="164" fontId="25" fillId="2" borderId="86" xfId="4" applyNumberFormat="1" applyFont="1" applyFill="1" applyBorder="1" applyAlignment="1">
      <alignment horizontal="center" vertical="center" wrapText="1"/>
    </xf>
    <xf numFmtId="164" fontId="25" fillId="2" borderId="110" xfId="4" applyNumberFormat="1" applyFont="1" applyFill="1" applyBorder="1" applyAlignment="1">
      <alignment horizontal="center" vertical="center" wrapText="1"/>
    </xf>
    <xf numFmtId="164" fontId="25" fillId="2" borderId="109" xfId="4" applyNumberFormat="1" applyFont="1" applyFill="1" applyBorder="1" applyAlignment="1">
      <alignment horizontal="center" vertical="center" wrapText="1"/>
    </xf>
    <xf numFmtId="164" fontId="25" fillId="2" borderId="97" xfId="4" applyNumberFormat="1" applyFont="1" applyFill="1" applyBorder="1" applyAlignment="1">
      <alignment horizontal="center" vertical="center" wrapText="1"/>
    </xf>
    <xf numFmtId="0" fontId="0" fillId="2" borderId="86" xfId="0" applyFill="1" applyBorder="1" applyAlignment="1" applyProtection="1">
      <alignment horizontal="center" vertical="center"/>
      <protection hidden="1"/>
    </xf>
    <xf numFmtId="0" fontId="25" fillId="2" borderId="86" xfId="0" applyFont="1" applyFill="1" applyBorder="1" applyAlignment="1">
      <alignment horizontal="center" vertical="center"/>
    </xf>
  </cellXfs>
  <cellStyles count="53">
    <cellStyle name="Comma" xfId="1" builtinId="3"/>
    <cellStyle name="Comma 2" xfId="7" xr:uid="{E1E01A65-D3A4-46C1-BAE9-345CC5B918FC}"/>
    <cellStyle name="Comma 2 2" xfId="13" xr:uid="{C6CE620B-0841-4BDD-BD05-09D2E8E32A91}"/>
    <cellStyle name="Comma 2 2 2" xfId="36" xr:uid="{1270FE9E-7BC9-4423-820A-FDC6157E5AA1}"/>
    <cellStyle name="Comma 2 3" xfId="14" xr:uid="{8DC304C8-9988-49C5-9A79-9681F3D2F7BE}"/>
    <cellStyle name="Comma 2 3 2" xfId="37" xr:uid="{8C29A78E-8B16-406E-9A78-F7CB4756AD94}"/>
    <cellStyle name="Comma 2 4" xfId="32" xr:uid="{6C9E3027-3148-423F-962B-0BED84520CE1}"/>
    <cellStyle name="Comma 3" xfId="9" xr:uid="{75ED8588-5108-4953-854A-959FEB3F8248}"/>
    <cellStyle name="Comma 3 2" xfId="15" xr:uid="{E8424C94-A1C6-460D-8893-B789F63BC177}"/>
    <cellStyle name="Comma 3 2 2" xfId="38" xr:uid="{621E727D-58AB-4432-B8E9-CA9DD934FF68}"/>
    <cellStyle name="Comma 3 3" xfId="16" xr:uid="{3C12F1D3-ABB5-4B4A-BC30-D27577291161}"/>
    <cellStyle name="Comma 3 3 2" xfId="39" xr:uid="{8F352E38-B258-4F2C-B978-B4E03289E3C2}"/>
    <cellStyle name="Comma 3 4" xfId="34" xr:uid="{3E5B0012-963E-4FBD-931E-D0D5316000DA}"/>
    <cellStyle name="Comma 4" xfId="17" xr:uid="{11C276E7-EC6A-41B0-925D-877EFBBC9789}"/>
    <cellStyle name="Comma 4 2" xfId="40" xr:uid="{93A8FDF5-8F19-4EF8-95BF-878185F9CE86}"/>
    <cellStyle name="Comma 5" xfId="18" xr:uid="{4BAA13E8-A0F4-4F0D-8396-00D3CEB08158}"/>
    <cellStyle name="Comma 5 2" xfId="41" xr:uid="{67C9C57A-EE8E-4077-BDD1-DA85FFECB23D}"/>
    <cellStyle name="Comma 6" xfId="29" xr:uid="{EFD92693-0B88-484D-B840-DC0FD9A223A8}"/>
    <cellStyle name="Comma 8" xfId="6" xr:uid="{4264F035-5512-4D6F-8002-98A747DCCE64}"/>
    <cellStyle name="Comma 8 2" xfId="19" xr:uid="{BF9D7614-488F-4F1C-B930-31039E78438A}"/>
    <cellStyle name="Comma 8 2 2" xfId="42" xr:uid="{603C858F-EA6A-4952-A946-134582CFBCD6}"/>
    <cellStyle name="Comma 8 3" xfId="20" xr:uid="{14939B52-5F71-463D-92C4-60F6F491F35C}"/>
    <cellStyle name="Comma 8 3 2" xfId="43" xr:uid="{BB960F2C-11AF-4C2B-A063-8CA01818A745}"/>
    <cellStyle name="Comma 8 4" xfId="31" xr:uid="{A79DE45B-BD53-42FE-9113-7F1957076BF9}"/>
    <cellStyle name="Comma 8 7" xfId="52" xr:uid="{68AF4D0C-EAE7-4962-AD46-847AD0F52F12}"/>
    <cellStyle name="Currency" xfId="3" builtinId="4"/>
    <cellStyle name="Currency 10" xfId="27" xr:uid="{9D5DF392-5983-428D-A5A3-6AC4B299DBDB}"/>
    <cellStyle name="Currency 10 2" xfId="50" xr:uid="{77292CA5-D92F-4EF7-9842-7DBB6DDFDEB8}"/>
    <cellStyle name="Currency 2" xfId="8" xr:uid="{A9960A3E-ED20-4159-BB3C-46050EE1006F}"/>
    <cellStyle name="Currency 2 2" xfId="21" xr:uid="{EA29C36C-EDC3-48A0-A120-A931A0993DB5}"/>
    <cellStyle name="Currency 2 2 2" xfId="28" xr:uid="{24F0EF24-3AEC-48AE-9C46-28F62043359E}"/>
    <cellStyle name="Currency 2 2 2 2" xfId="51" xr:uid="{F1BDFA85-771F-402C-97EF-37AF8BF21BB9}"/>
    <cellStyle name="Currency 2 2 3" xfId="44" xr:uid="{F96EF03E-F3B4-492C-BEC7-72E97A4799D3}"/>
    <cellStyle name="Currency 2 3" xfId="22" xr:uid="{EDF904CD-8EDF-47BB-89AA-01C62B79753E}"/>
    <cellStyle name="Currency 2 3 2" xfId="45" xr:uid="{E45D2E62-A31F-4642-838D-F5915D4513E0}"/>
    <cellStyle name="Currency 2 4" xfId="33" xr:uid="{EA8BAC02-0080-43B9-8B36-87DE554235B0}"/>
    <cellStyle name="Currency 3" xfId="10" xr:uid="{327441E2-A997-49C7-8E6E-236AE25D7DEC}"/>
    <cellStyle name="Currency 3 2" xfId="23" xr:uid="{7663AEB9-B19C-4E90-86EC-A381A77AFD01}"/>
    <cellStyle name="Currency 3 2 2" xfId="46" xr:uid="{EA3681C4-6DF5-4DA4-89F0-FC2BABC43B88}"/>
    <cellStyle name="Currency 3 3" xfId="24" xr:uid="{83C7ED42-128C-497D-A2A4-A65BF7B429E1}"/>
    <cellStyle name="Currency 3 3 2" xfId="47" xr:uid="{252EA964-C2D5-4041-8CC5-D3FC8E96866B}"/>
    <cellStyle name="Currency 3 4" xfId="35" xr:uid="{5BA5D917-9129-4B18-9D02-704D2119DA29}"/>
    <cellStyle name="Currency 4" xfId="25" xr:uid="{2759B92D-AF8B-4243-9E50-C654A44E8043}"/>
    <cellStyle name="Currency 4 2" xfId="48" xr:uid="{D798499A-F66E-47F9-959B-A3BF68D857B0}"/>
    <cellStyle name="Currency 5" xfId="26" xr:uid="{7BAB2EFB-A4E2-428E-9DF8-302E44359354}"/>
    <cellStyle name="Currency 5 2" xfId="49" xr:uid="{A9276A53-E592-4214-945B-52336F86CC14}"/>
    <cellStyle name="Currency 6" xfId="30" xr:uid="{02EF1D03-45C2-4D88-A35B-94FD8B718DAB}"/>
    <cellStyle name="Hyperlink" xfId="4" builtinId="8"/>
    <cellStyle name="Normal" xfId="0" builtinId="0"/>
    <cellStyle name="Normal 8" xfId="5" xr:uid="{710005B9-1425-4665-8271-59DB0C03029F}"/>
    <cellStyle name="Normal 8 2" xfId="11" xr:uid="{FC657F0B-1714-4AAB-893E-FF49C97ABBC0}"/>
    <cellStyle name="Normal 8 7" xfId="12" xr:uid="{F3ABFAB9-FE6D-4CDA-896B-07A427019586}"/>
    <cellStyle name="Percent" xfId="2" builtinId="5"/>
  </cellStyles>
  <dxfs count="981">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ont>
        <color theme="0"/>
      </font>
      <fill>
        <patternFill>
          <bgColor theme="0"/>
        </patternFill>
      </fill>
      <border>
        <left/>
        <right/>
        <top/>
        <bottom/>
        <vertical/>
        <horizontal/>
      </border>
    </dxf>
    <dxf>
      <font>
        <b/>
        <i val="0"/>
        <color rgb="FFFF0000"/>
      </font>
    </dxf>
    <dxf>
      <font>
        <b/>
        <i val="0"/>
        <color rgb="FFFF0000"/>
      </font>
      <fill>
        <patternFill patternType="solid">
          <fgColor theme="0"/>
          <bgColor theme="0"/>
        </patternFill>
      </fill>
    </dxf>
    <dxf>
      <font>
        <color rgb="FFFF0000"/>
      </font>
      <numFmt numFmtId="0" formatCode="General"/>
    </dxf>
    <dxf>
      <font>
        <b/>
        <i val="0"/>
        <color rgb="FFFF0000"/>
      </font>
    </dxf>
    <dxf>
      <font>
        <b/>
        <i val="0"/>
        <color rgb="FFFF0000"/>
      </font>
    </dxf>
    <dxf>
      <font>
        <b/>
        <i val="0"/>
        <color rgb="FFFF0000"/>
      </font>
    </dxf>
    <dxf>
      <font>
        <b/>
        <i val="0"/>
        <color rgb="FFFF0000"/>
      </font>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9" tint="-0.24994659260841701"/>
          <bgColor theme="9" tint="0.39994506668294322"/>
        </patternFill>
      </fill>
    </dxf>
    <dxf>
      <fill>
        <patternFill patternType="lightTrellis">
          <fgColor theme="9" tint="-0.24994659260841701"/>
          <bgColor theme="9" tint="0.39994506668294322"/>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auto="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ill>
        <patternFill patternType="lightTrellis">
          <fgColor theme="7" tint="-0.24994659260841701"/>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bgColor theme="0"/>
        </patternFill>
      </fill>
    </dxf>
    <dxf>
      <fill>
        <patternFill patternType="lightTrellis">
          <fgColor theme="7"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9" tint="-0.24994659260841701"/>
          <bgColor theme="9" tint="0.39994506668294322"/>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ont>
        <color theme="0"/>
      </font>
      <fill>
        <patternFill>
          <bgColor theme="0"/>
        </patternFill>
      </fill>
      <border>
        <left/>
        <right/>
        <top/>
        <bottom/>
        <vertical/>
        <horizontal/>
      </border>
    </dxf>
    <dxf>
      <font>
        <color rgb="FFFF0000"/>
      </font>
      <fill>
        <patternFill>
          <bgColor rgb="FFFFFF00"/>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5117038483843"/>
        </patternFill>
      </fill>
    </dxf>
    <dxf>
      <fill>
        <patternFill patternType="solid">
          <fgColor rgb="FFFF0000"/>
          <bgColor rgb="FFFF0000"/>
        </patternFill>
      </fill>
    </dxf>
    <dxf>
      <fill>
        <patternFill patternType="lightTrellis">
          <fgColor theme="5" tint="-0.24994659260841701"/>
        </patternFill>
      </fill>
    </dxf>
    <dxf>
      <fill>
        <patternFill>
          <bgColor rgb="FFFF9900"/>
        </patternFill>
      </fill>
    </dxf>
    <dxf>
      <fill>
        <patternFill>
          <bgColor rgb="FFFFFF00"/>
        </patternFill>
      </fill>
    </dxf>
    <dxf>
      <fill>
        <patternFill>
          <bgColor rgb="FFFF0000"/>
        </patternFill>
      </fill>
    </dxf>
    <dxf>
      <fill>
        <patternFill>
          <bgColor rgb="FFFF99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9900"/>
        </patternFill>
      </fill>
    </dxf>
    <dxf>
      <fill>
        <patternFill>
          <bgColor rgb="FFFF9900"/>
        </patternFill>
      </fill>
    </dxf>
    <dxf>
      <fill>
        <patternFill>
          <bgColor rgb="FFFF0000"/>
        </patternFill>
      </fill>
    </dxf>
    <dxf>
      <fill>
        <patternFill>
          <bgColor rgb="FFFFFF00"/>
        </patternFill>
      </fill>
    </dxf>
    <dxf>
      <fill>
        <patternFill>
          <bgColor rgb="FFFF0000"/>
        </patternFill>
      </fill>
    </dxf>
    <dxf>
      <fill>
        <patternFill>
          <bgColor rgb="FFFF9900"/>
        </patternFill>
      </fill>
    </dxf>
    <dxf>
      <fill>
        <patternFill>
          <bgColor rgb="FFFFFF00"/>
        </patternFill>
      </fill>
    </dxf>
    <dxf>
      <fill>
        <patternFill>
          <bgColor rgb="FFFF0000"/>
        </patternFill>
      </fill>
    </dxf>
    <dxf>
      <fill>
        <patternFill>
          <bgColor rgb="FFFFFF00"/>
        </patternFill>
      </fill>
    </dxf>
    <dxf>
      <fill>
        <patternFill>
          <bgColor rgb="FFFF9900"/>
        </patternFill>
      </fill>
    </dxf>
    <dxf>
      <fill>
        <patternFill>
          <bgColor rgb="FFFF9900"/>
        </patternFill>
      </fill>
    </dxf>
    <dxf>
      <fill>
        <patternFill>
          <bgColor rgb="FFFF0000"/>
        </patternFill>
      </fill>
    </dxf>
    <dxf>
      <fill>
        <patternFill>
          <bgColor rgb="FFFFFF00"/>
        </patternFill>
      </fill>
    </dxf>
    <dxf>
      <fill>
        <patternFill>
          <bgColor rgb="FFFFFF00"/>
        </patternFill>
      </fill>
    </dxf>
    <dxf>
      <fill>
        <patternFill>
          <bgColor rgb="FFFF9900"/>
        </patternFill>
      </fill>
    </dxf>
    <dxf>
      <fill>
        <patternFill>
          <bgColor rgb="FFFF0000"/>
        </patternFill>
      </fill>
    </dxf>
    <dxf>
      <fill>
        <patternFill>
          <bgColor rgb="FFFF99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9900"/>
        </patternFill>
      </fill>
    </dxf>
    <dxf>
      <fill>
        <patternFill>
          <bgColor rgb="FFFF99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9900"/>
        </patternFill>
      </fill>
    </dxf>
    <dxf>
      <fill>
        <patternFill>
          <bgColor rgb="FFFF99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9900"/>
        </patternFill>
      </fill>
    </dxf>
    <dxf>
      <fill>
        <patternFill>
          <bgColor rgb="FFFF99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9900"/>
        </patternFill>
      </fill>
    </dxf>
    <dxf>
      <fill>
        <patternFill>
          <bgColor rgb="FFFFFF00"/>
        </patternFill>
      </fill>
    </dxf>
    <dxf>
      <fill>
        <patternFill>
          <bgColor rgb="FFFF9900"/>
        </patternFill>
      </fill>
    </dxf>
    <dxf>
      <fill>
        <patternFill>
          <bgColor rgb="FFFF0000"/>
        </patternFill>
      </fill>
    </dxf>
    <dxf>
      <fill>
        <patternFill>
          <bgColor rgb="FFFF99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9900"/>
        </patternFill>
      </fill>
    </dxf>
    <dxf>
      <fill>
        <patternFill>
          <bgColor rgb="FFFF0000"/>
        </patternFill>
      </fill>
    </dxf>
    <dxf>
      <fill>
        <patternFill>
          <bgColor rgb="FFFF9900"/>
        </patternFill>
      </fill>
    </dxf>
    <dxf>
      <fill>
        <patternFill>
          <bgColor rgb="FFFFFF00"/>
        </patternFill>
      </fill>
    </dxf>
    <dxf>
      <fill>
        <patternFill>
          <bgColor rgb="FFFFFF00"/>
        </patternFill>
      </fill>
    </dxf>
    <dxf>
      <fill>
        <patternFill>
          <bgColor rgb="FFFF0000"/>
        </patternFill>
      </fill>
    </dxf>
    <dxf>
      <fill>
        <patternFill>
          <bgColor rgb="FFFF9900"/>
        </patternFill>
      </fill>
    </dxf>
    <dxf>
      <fill>
        <patternFill>
          <bgColor rgb="FFFFFF00"/>
        </patternFill>
      </fill>
    </dxf>
    <dxf>
      <fill>
        <patternFill>
          <bgColor rgb="FFFF0000"/>
        </patternFill>
      </fill>
    </dxf>
    <dxf>
      <fill>
        <patternFill>
          <bgColor rgb="FFFF9900"/>
        </patternFill>
      </fill>
    </dxf>
    <dxf>
      <fill>
        <patternFill>
          <bgColor rgb="FFFF0000"/>
        </patternFill>
      </fill>
    </dxf>
    <dxf>
      <fill>
        <patternFill>
          <bgColor rgb="FFFF9900"/>
        </patternFill>
      </fill>
    </dxf>
    <dxf>
      <fill>
        <patternFill>
          <bgColor rgb="FFFFFF00"/>
        </patternFill>
      </fill>
    </dxf>
    <dxf>
      <fill>
        <patternFill>
          <bgColor rgb="FFFF99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9900"/>
        </patternFill>
      </fill>
    </dxf>
    <dxf>
      <fill>
        <patternFill>
          <bgColor rgb="FFFF9900"/>
        </patternFill>
      </fill>
    </dxf>
    <dxf>
      <fill>
        <patternFill>
          <bgColor rgb="FFFF0000"/>
        </patternFill>
      </fill>
    </dxf>
    <dxf>
      <fill>
        <patternFill>
          <bgColor rgb="FFFFFF00"/>
        </patternFill>
      </fill>
    </dxf>
    <dxf>
      <fill>
        <patternFill>
          <bgColor rgb="FFFF9900"/>
        </patternFill>
      </fill>
    </dxf>
    <dxf>
      <fill>
        <patternFill>
          <bgColor rgb="FFFF0000"/>
        </patternFill>
      </fill>
    </dxf>
    <dxf>
      <fill>
        <patternFill>
          <bgColor rgb="FFFFFF00"/>
        </patternFill>
      </fill>
    </dxf>
    <dxf>
      <fill>
        <patternFill patternType="lightTrellis">
          <fgColor theme="5" tint="-0.24994659260841701"/>
        </patternFill>
      </fill>
    </dxf>
    <dxf>
      <fill>
        <patternFill>
          <bgColor rgb="FFFF9900"/>
        </patternFill>
      </fill>
    </dxf>
    <dxf>
      <fill>
        <patternFill patternType="lightTrellis">
          <fgColor theme="5" tint="-0.24994659260841701"/>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patternType="lightTrellis">
          <fgColor theme="5" tint="-0.24994659260841701"/>
        </patternFill>
      </fill>
    </dxf>
    <dxf>
      <fill>
        <patternFill>
          <bgColor rgb="FFFF9900"/>
        </patternFill>
      </fill>
    </dxf>
    <dxf>
      <fill>
        <patternFill>
          <bgColor rgb="FFFF9900"/>
        </patternFill>
      </fill>
    </dxf>
    <dxf>
      <fill>
        <patternFill>
          <bgColor rgb="FFFFFF00"/>
        </patternFill>
      </fill>
    </dxf>
    <dxf>
      <fill>
        <patternFill>
          <bgColor rgb="FFFF0000"/>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ont>
        <color auto="1"/>
      </font>
      <fill>
        <patternFill>
          <bgColor rgb="FFFF0000"/>
        </patternFill>
      </fill>
      <border>
        <left style="thin">
          <color rgb="FFFFFF00"/>
        </left>
        <right style="thin">
          <color rgb="FFFFFF00"/>
        </right>
        <top style="thin">
          <color rgb="FFFFFF00"/>
        </top>
        <bottom style="thin">
          <color rgb="FFFFFF00"/>
        </bottom>
        <vertical/>
        <horizontal/>
      </border>
    </dxf>
    <dxf>
      <fill>
        <patternFill>
          <bgColor rgb="FFFF9900"/>
        </patternFill>
      </fill>
    </dxf>
    <dxf>
      <fill>
        <patternFill>
          <bgColor rgb="FFDEFF15"/>
        </patternFill>
      </fill>
    </dxf>
    <dxf>
      <fill>
        <patternFill>
          <bgColor rgb="FFFFFF00"/>
        </patternFill>
      </fill>
    </dxf>
    <dxf>
      <fill>
        <patternFill>
          <bgColor rgb="FF9CFD6B"/>
        </patternFill>
      </fill>
    </dxf>
    <dxf>
      <font>
        <color theme="0"/>
      </font>
      <fill>
        <patternFill>
          <bgColor theme="0"/>
        </patternFill>
      </fill>
      <border>
        <left/>
        <right/>
        <top/>
        <bottom/>
        <vertical/>
        <horizontal/>
      </border>
    </dxf>
    <dxf>
      <fill>
        <patternFill patternType="lightTrellis">
          <fgColor theme="5" tint="-0.24994659260841701"/>
        </patternFill>
      </fill>
    </dxf>
    <dxf>
      <fill>
        <patternFill patternType="lightTrellis">
          <fgColor theme="5" tint="-0.24994659260841701"/>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patternType="lightTrellis">
          <fgColor theme="5" tint="-0.24994659260841701"/>
        </patternFill>
      </fill>
    </dxf>
    <dxf>
      <fill>
        <patternFill patternType="lightTrellis">
          <fgColor theme="5" tint="-0.24994659260841701"/>
        </patternFill>
      </fill>
    </dxf>
    <dxf>
      <font>
        <color theme="0"/>
      </font>
      <fill>
        <patternFill>
          <bgColor theme="0"/>
        </patternFill>
      </fill>
      <border>
        <left/>
        <right/>
        <top/>
        <bottom/>
        <vertical/>
        <horizontal/>
      </border>
    </dxf>
    <dxf>
      <fill>
        <patternFill patternType="lightTrellis">
          <fgColor theme="5" tint="-0.24994659260841701"/>
        </patternFill>
      </fill>
    </dxf>
    <dxf>
      <font>
        <color theme="0"/>
      </font>
      <fill>
        <patternFill patternType="solid">
          <fgColor theme="0"/>
          <bgColor theme="0"/>
        </patternFill>
      </fill>
      <border>
        <left/>
        <right/>
        <top/>
        <bottom/>
      </border>
    </dxf>
    <dxf>
      <fill>
        <patternFill patternType="lightTrellis">
          <fgColor theme="5" tint="-0.24994659260841701"/>
        </patternFill>
      </fill>
    </dxf>
    <dxf>
      <font>
        <b/>
        <i val="0"/>
        <color rgb="FFFF0000"/>
      </font>
      <fill>
        <patternFill>
          <bgColor rgb="FFFFFF00"/>
        </patternFill>
      </fill>
      <border>
        <left style="thin">
          <color auto="1"/>
        </left>
        <right style="thin">
          <color auto="1"/>
        </right>
        <top style="thin">
          <color auto="1"/>
        </top>
        <bottom style="thin">
          <color auto="1"/>
        </bottom>
        <vertical/>
        <horizontal/>
      </border>
    </dxf>
    <dxf>
      <font>
        <color rgb="FFFF0000"/>
      </font>
      <fill>
        <patternFill>
          <bgColor rgb="FFFFFF00"/>
        </patternFill>
      </fill>
      <border>
        <left style="thin">
          <color auto="1"/>
        </left>
        <right style="thin">
          <color auto="1"/>
        </right>
        <top style="thin">
          <color auto="1"/>
        </top>
        <bottom style="thin">
          <color auto="1"/>
        </bottom>
        <vertical/>
        <horizontal/>
      </border>
    </dxf>
    <dxf>
      <fill>
        <patternFill patternType="lightTrellis">
          <fgColor theme="5" tint="-0.24994659260841701"/>
        </patternFill>
      </fill>
    </dxf>
    <dxf>
      <fill>
        <patternFill patternType="lightTrellis">
          <fgColor theme="5" tint="-0.24994659260841701"/>
        </patternFill>
      </fill>
    </dxf>
    <dxf>
      <font>
        <color rgb="FFFF0000"/>
      </font>
      <fill>
        <patternFill>
          <bgColor rgb="FFFFFF00"/>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ill>
        <patternFill patternType="lightTrellis">
          <fgColor theme="5" tint="-0.24994659260841701"/>
        </patternFill>
      </fill>
    </dxf>
    <dxf>
      <font>
        <color theme="0"/>
      </font>
      <fill>
        <patternFill>
          <bgColor theme="0"/>
        </patternFill>
      </fill>
      <border>
        <left/>
        <right/>
        <top/>
        <bottom/>
        <vertical/>
        <horizontal/>
      </border>
    </dxf>
    <dxf>
      <font>
        <color rgb="FFFF0000"/>
      </font>
      <fill>
        <patternFill>
          <bgColor rgb="FFFFFF00"/>
        </patternFill>
      </fill>
      <border>
        <left style="thin">
          <color auto="1"/>
        </left>
        <right style="thin">
          <color auto="1"/>
        </right>
        <top style="thin">
          <color auto="1"/>
        </top>
        <bottom style="thin">
          <color auto="1"/>
        </bottom>
        <vertical/>
        <horizontal/>
      </border>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ont>
        <color theme="0"/>
      </font>
      <fill>
        <patternFill>
          <bgColor theme="0"/>
        </patternFill>
      </fill>
      <border>
        <left/>
        <right/>
        <top/>
        <bottom/>
        <vertical/>
        <horizontal/>
      </border>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patternFill>
      </fill>
    </dxf>
    <dxf>
      <fill>
        <patternFill patternType="lightTrellis">
          <fgColor theme="5" tint="-0.24994659260841701"/>
          <bgColor theme="0"/>
        </patternFill>
      </fill>
    </dxf>
    <dxf>
      <fill>
        <patternFill>
          <fgColor rgb="FFCC3300"/>
          <bgColor rgb="FFCC3300"/>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ont>
        <color rgb="FFFF0000"/>
      </font>
      <fill>
        <patternFill>
          <bgColor rgb="FFFFFF00"/>
        </patternFill>
      </fill>
      <border>
        <left style="thin">
          <color auto="1"/>
        </left>
        <right style="thin">
          <color auto="1"/>
        </right>
        <top style="thin">
          <color auto="1"/>
        </top>
        <bottom style="thin">
          <color auto="1"/>
        </bottom>
      </border>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Trellis">
          <fgColor theme="9" tint="-0.24994659260841701"/>
          <bgColor theme="9" tint="0.59996337778862885"/>
        </patternFill>
      </fill>
    </dxf>
    <dxf>
      <fill>
        <patternFill patternType="lightUp"/>
      </fill>
    </dxf>
    <dxf>
      <fill>
        <patternFill patternType="lightTrellis">
          <fgColor theme="5" tint="-0.24994659260841701"/>
        </patternFill>
      </fill>
    </dxf>
    <dxf>
      <font>
        <color theme="0"/>
      </font>
      <fill>
        <patternFill>
          <bgColor theme="0"/>
        </patternFill>
      </fill>
      <border>
        <left/>
        <right/>
        <top/>
        <bottom/>
        <vertical/>
        <horizontal/>
      </border>
    </dxf>
    <dxf>
      <fill>
        <patternFill patternType="lightTrellis">
          <fgColor theme="5" tint="-0.24994659260841701"/>
        </patternFill>
      </fill>
    </dxf>
    <dxf>
      <fill>
        <patternFill patternType="lightTrellis">
          <fgColor theme="5" tint="-0.24994659260841701"/>
        </patternFill>
      </fill>
    </dxf>
    <dxf>
      <font>
        <color theme="0"/>
      </font>
      <fill>
        <patternFill>
          <bgColor theme="0"/>
        </patternFill>
      </fill>
      <border>
        <left/>
        <right/>
        <top/>
        <bottom/>
        <vertical/>
        <horizontal/>
      </border>
    </dxf>
    <dxf>
      <fill>
        <patternFill patternType="darkGrid">
          <fgColor theme="5" tint="-0.24994659260841701"/>
        </patternFill>
      </fill>
    </dxf>
    <dxf>
      <font>
        <color theme="0"/>
      </font>
      <fill>
        <patternFill>
          <bgColor theme="0"/>
        </patternFill>
      </fill>
      <border>
        <left/>
        <right/>
        <top/>
        <bottom/>
        <vertical/>
        <horizontal/>
      </border>
    </dxf>
    <dxf>
      <fill>
        <patternFill patternType="darkGrid">
          <fgColor theme="5" tint="-0.24994659260841701"/>
        </patternFill>
      </fill>
    </dxf>
    <dxf>
      <fill>
        <patternFill patternType="darkGrid">
          <fgColor theme="5" tint="-0.24994659260841701"/>
        </patternFill>
      </fill>
    </dxf>
    <dxf>
      <fill>
        <patternFill patternType="darkGrid">
          <fgColor theme="5" tint="-0.24994659260841701"/>
        </patternFill>
      </fill>
    </dxf>
    <dxf>
      <fill>
        <patternFill patternType="darkGrid">
          <fgColor theme="5" tint="-0.24994659260841701"/>
        </patternFill>
      </fill>
    </dxf>
    <dxf>
      <fill>
        <patternFill patternType="darkGrid">
          <fgColor theme="5" tint="-0.24994659260841701"/>
        </patternFill>
      </fill>
    </dxf>
    <dxf>
      <fill>
        <patternFill patternType="darkGrid">
          <fgColor theme="5" tint="-0.24994659260841701"/>
        </patternFill>
      </fill>
    </dxf>
    <dxf>
      <fill>
        <patternFill patternType="darkGrid">
          <fgColor theme="5" tint="-0.24994659260841701"/>
        </patternFill>
      </fill>
    </dxf>
    <dxf>
      <fill>
        <patternFill patternType="darkGrid">
          <fgColor theme="5" tint="-0.24994659260841701"/>
        </patternFill>
      </fill>
    </dxf>
    <dxf>
      <fill>
        <patternFill patternType="darkGrid">
          <fgColor theme="5" tint="-0.24994659260841701"/>
        </patternFill>
      </fill>
    </dxf>
    <dxf>
      <fill>
        <patternFill patternType="darkGrid">
          <fgColor theme="5" tint="-0.24994659260841701"/>
        </patternFill>
      </fill>
    </dxf>
    <dxf>
      <fill>
        <patternFill patternType="darkGrid">
          <fgColor theme="5" tint="-0.24994659260841701"/>
        </patternFill>
      </fill>
    </dxf>
    <dxf>
      <fill>
        <patternFill patternType="darkGrid">
          <fgColor theme="5" tint="-0.24994659260841701"/>
        </patternFill>
      </fill>
    </dxf>
    <dxf>
      <fill>
        <patternFill patternType="darkGrid">
          <fgColor theme="5" tint="-0.24994659260841701"/>
        </patternFill>
      </fill>
    </dxf>
    <dxf>
      <fill>
        <patternFill patternType="darkGrid">
          <fgColor theme="5" tint="-0.24994659260841701"/>
        </patternFill>
      </fill>
    </dxf>
    <dxf>
      <font>
        <color theme="0"/>
      </font>
      <fill>
        <patternFill>
          <bgColor theme="0"/>
        </patternFill>
      </fill>
      <border>
        <left/>
        <right/>
        <top/>
        <bottom/>
        <vertical/>
        <horizontal/>
      </border>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98168889431442"/>
        </patternFill>
      </fill>
    </dxf>
    <dxf>
      <fill>
        <patternFill patternType="lightTrellis">
          <fgColor theme="5" tint="-0.24994659260841701"/>
          <bgColor theme="7" tint="0.79989013336588644"/>
        </patternFill>
      </fill>
    </dxf>
    <dxf>
      <numFmt numFmtId="30" formatCode="@"/>
      <fill>
        <patternFill>
          <bgColor rgb="FFFFFF00"/>
        </patternFill>
      </fill>
    </dxf>
    <dxf>
      <font>
        <b/>
        <i val="0"/>
        <color rgb="FFFF0000"/>
      </font>
      <fill>
        <patternFill>
          <bgColor rgb="FFFFFF00"/>
        </patternFill>
      </fill>
      <border>
        <left style="thin">
          <color auto="1"/>
        </left>
        <right style="thin">
          <color auto="1"/>
        </right>
        <top style="thin">
          <color auto="1"/>
        </top>
        <bottom style="thin">
          <color auto="1"/>
        </bottom>
        <vertical/>
        <horizontal/>
      </border>
    </dxf>
    <dxf>
      <font>
        <b/>
        <i val="0"/>
        <color rgb="FFFF0000"/>
      </font>
      <fill>
        <patternFill>
          <bgColor rgb="FFFFFF00"/>
        </patternFill>
      </fill>
      <border>
        <left style="thin">
          <color auto="1"/>
        </left>
        <right style="thin">
          <color auto="1"/>
        </right>
        <top style="thin">
          <color auto="1"/>
        </top>
        <bottom style="thin">
          <color auto="1"/>
        </bottom>
        <vertical/>
        <horizontal/>
      </border>
    </dxf>
    <dxf>
      <fill>
        <patternFill>
          <fgColor theme="1"/>
          <bgColor theme="1"/>
        </patternFill>
      </fill>
    </dxf>
    <dxf>
      <fill>
        <patternFill>
          <fgColor theme="1"/>
          <bgColor theme="1"/>
        </patternFill>
      </fill>
    </dxf>
    <dxf>
      <fill>
        <patternFill patternType="darkGray">
          <fgColor theme="1"/>
          <bgColor theme="1"/>
        </patternFill>
      </fill>
    </dxf>
    <dxf>
      <fill>
        <patternFill patternType="darkUp">
          <fgColor theme="1"/>
          <bgColor theme="1"/>
        </patternFill>
      </fill>
    </dxf>
    <dxf>
      <fill>
        <patternFill patternType="darkUp">
          <fgColor theme="1"/>
          <bgColor theme="1"/>
        </patternFill>
      </fill>
    </dxf>
    <dxf>
      <fill>
        <patternFill patternType="darkUp">
          <fgColor theme="1"/>
          <bgColor theme="1"/>
        </patternFill>
      </fill>
    </dxf>
    <dxf>
      <fill>
        <patternFill patternType="lightUp">
          <fgColor theme="1"/>
          <bgColor theme="1"/>
        </patternFill>
      </fill>
    </dxf>
    <dxf>
      <font>
        <b val="0"/>
        <i val="0"/>
        <strike val="0"/>
        <condense val="0"/>
        <extend val="0"/>
        <outline val="0"/>
        <shadow val="0"/>
        <u val="none"/>
        <vertAlign val="baseline"/>
        <sz val="14"/>
        <color theme="1"/>
        <name val="Calibri"/>
        <family val="2"/>
        <scheme val="minor"/>
      </font>
      <fill>
        <patternFill patternType="solid">
          <fgColor indexed="64"/>
          <bgColor theme="9" tint="0.79998168889431442"/>
        </patternFill>
      </fill>
      <alignment horizontal="general"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theme="9"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border outline="0">
        <top style="thin">
          <color indexed="64"/>
        </top>
        <bottom style="medium">
          <color indexed="64"/>
        </bottom>
      </border>
    </dxf>
    <dxf>
      <border outline="0">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rgb="FFFF6600"/>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s>
  <tableStyles count="1" defaultTableStyle="TableStyleMedium2" defaultPivotStyle="PivotStyleLight16">
    <tableStyle name="Invisible" pivot="0" table="0" count="0" xr9:uid="{648A7AC6-C97F-4F13-8C45-32182EAE85C5}"/>
  </tableStyles>
  <colors>
    <mruColors>
      <color rgb="FFCC00CC"/>
      <color rgb="FFFF6600"/>
      <color rgb="FFFF9900"/>
      <color rgb="FFFF0000"/>
      <color rgb="FFCC3300"/>
      <color rgb="FF790771"/>
      <color rgb="FFFFFF99"/>
      <color rgb="FFADF2A2"/>
      <color rgb="FF0066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62339439195896E-2"/>
          <c:y val="9.8725129946991938E-2"/>
          <c:w val="0.92854332184080346"/>
          <c:h val="0.88017544603127518"/>
        </c:manualLayout>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0-53AF-41B9-AF8A-EC61F2C09E8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3AF-41B9-AF8A-EC61F2C09E8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53AF-41B9-AF8A-EC61F2C09E8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3AF-41B9-AF8A-EC61F2C09E8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53AF-41B9-AF8A-EC61F2C09E87}"/>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3AF-41B9-AF8A-EC61F2C09E87}"/>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53AF-41B9-AF8A-EC61F2C09E87}"/>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3AF-41B9-AF8A-EC61F2C09E87}"/>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53AF-41B9-AF8A-EC61F2C09E87}"/>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3AF-41B9-AF8A-EC61F2C09E8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0-53AF-41B9-AF8A-EC61F2C09E8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3AF-41B9-AF8A-EC61F2C09E8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53AF-41B9-AF8A-EC61F2C09E8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3AF-41B9-AF8A-EC61F2C09E8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53AF-41B9-AF8A-EC61F2C09E87}"/>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3AF-41B9-AF8A-EC61F2C09E87}"/>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53AF-41B9-AF8A-EC61F2C09E87}"/>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3AF-41B9-AF8A-EC61F2C09E87}"/>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53AF-41B9-AF8A-EC61F2C09E87}"/>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3AF-41B9-AF8A-EC61F2C09E87}"/>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'Bidcell BOM (LTS)'!$A$477:$A$486</c:f>
              <c:strCache>
                <c:ptCount val="10"/>
                <c:pt idx="0">
                  <c:v>Modules</c:v>
                </c:pt>
                <c:pt idx="1">
                  <c:v>Inverters</c:v>
                </c:pt>
                <c:pt idx="2">
                  <c:v>ACCB Panel, DCDB, Optimazer &amp; Spare feeder</c:v>
                </c:pt>
                <c:pt idx="3">
                  <c:v>Module Mounting Structure </c:v>
                </c:pt>
                <c:pt idx="4">
                  <c:v>DC, AC, Control &amp; Communication Cables</c:v>
                </c:pt>
                <c:pt idx="5">
                  <c:v>Earthing &amp; LA, RMS and BOS</c:v>
                </c:pt>
                <c:pt idx="6">
                  <c:v>Rooftop Infra. (Walkways, cable tray, Ladder &amp; Etc.)</c:v>
                </c:pt>
                <c:pt idx="7">
                  <c:v>Ground Infra. (Fencing, road, soil test, land lavelling)</c:v>
                </c:pt>
                <c:pt idx="8">
                  <c:v>I&amp;C and Civil works, Spare &amp; Additional item's</c:v>
                </c:pt>
                <c:pt idx="9">
                  <c:v>Liaisoning, Net metering &amp; AMC</c:v>
                </c:pt>
              </c:strCache>
            </c:strRef>
          </c:cat>
          <c:val>
            <c:numRef>
              <c:f>'Bidcell BOM (LTS)'!$B$477:$B$486</c:f>
              <c:numCache>
                <c:formatCode>_("₹"* #,##0.00_);_("₹"* \(#,##0.00\);_("₹"* "-"??_);_(@_)</c:formatCode>
                <c:ptCount val="10"/>
                <c:pt idx="0">
                  <c:v>18</c:v>
                </c:pt>
                <c:pt idx="1">
                  <c:v>1.4980525317087785</c:v>
                </c:pt>
                <c:pt idx="2">
                  <c:v>0.85972236093079002</c:v>
                </c:pt>
                <c:pt idx="3">
                  <c:v>14.720000000000002</c:v>
                </c:pt>
                <c:pt idx="4">
                  <c:v>2.7400028373114953</c:v>
                </c:pt>
                <c:pt idx="5">
                  <c:v>1.6775451912513735</c:v>
                </c:pt>
                <c:pt idx="6">
                  <c:v>2.6452092280035955</c:v>
                </c:pt>
                <c:pt idx="7">
                  <c:v>0</c:v>
                </c:pt>
                <c:pt idx="8">
                  <c:v>-14.147494257465295</c:v>
                </c:pt>
                <c:pt idx="9">
                  <c:v>3.7249975032457807</c:v>
                </c:pt>
              </c:numCache>
            </c:numRef>
          </c:val>
          <c:extLst>
            <c:ext xmlns:c16="http://schemas.microsoft.com/office/drawing/2014/chart" uri="{C3380CC4-5D6E-409C-BE32-E72D297353CC}">
              <c16:uniqueId val="{00000000-C28C-4A24-B8B5-8AFEDADD20DB}"/>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tx1"/>
                </a:solidFill>
                <a:effectLst/>
                <a:latin typeface="Calibri" panose="020F0502020204030204"/>
                <a:ea typeface="Calibri" panose="020F0502020204030204" pitchFamily="34" charset="0"/>
                <a:cs typeface="Calibri" panose="020F0502020204030204" pitchFamily="34" charset="0"/>
              </a:rPr>
              <a:t>Your selected State is Here </a:t>
            </a:r>
            <a:endParaRPr lang="en-IN">
              <a:solidFill>
                <a:schemeClr val="tx1"/>
              </a:solidFill>
              <a:effectLst/>
            </a:endParaRPr>
          </a:p>
        </cx:rich>
      </cx:tx>
      <cx:spPr>
        <a:solidFill>
          <a:srgbClr val="FFC000"/>
        </a:solidFill>
      </cx:spPr>
    </cx:title>
    <cx:plotArea>
      <cx:plotAreaRegion>
        <cx:series layoutId="regionMap" uniqueId="{F565F0B5-310B-4654-B295-32B88DA53956}" formatIdx="1">
          <cx:tx>
            <cx:txData>
              <cx:f>_xlchart.v5.2</cx:f>
              <cx:v>map values</cx:v>
            </cx:txData>
          </cx:tx>
          <cx:dataId val="0"/>
          <cx:layoutPr>
            <cx:geography cultureLanguage="en-US" cultureRegion="IN" attribution="Powered by Bing">
              <cx:geoCache provider="{E9337A44-BEBE-4D9F-B70C-5C5E7DAFC167}">
                <cx:binary>1HxZc9w40u1fcfjhPl2qsYOYO/1FNJfatcuy3C+MsiWTBEhwX3/9l7KkHqtGHntiNBFX9dLtYoFM
8CAzT54E9Pcv49++ZHf7+t2YZ7b525fx9/dJ25Z/++235ktyl++bozz9UhdN8bU9+lLkvxVfv6Zf
7n67rfdDauPfCMLsty/Jvm7vxvf/83e4W3xX7Iov+zYt7Hl3V08Xd02Xtc2/uPbipXf72zy1Qdq0
dfqlxb+/X+3raW/379/d2TZtp6upvPv9/bMfvX/32+Gt/umx7zKwrO1uYSxRR1i5WDH+/l1W2Pjx
aymOKEOEIeaibx/x9MiTfQ7DfsGOb1bsb2/ru6aBeXz773cDnxkN31+8f/el6Gx7/65ieG2/v1/b
2xRmmjaF/3DBL+4tXp98m+Jvz9/y//z94AuY9ME33wFx+IZ+dumfcFgWr4gB5kdUUEIVcdXD5zkW
7AhxIpQg5OEqQPUA/wMWP7HlZRy+DTrAYPnHm8LgD3ub1Pt3Z/X+9q5Jnt7Jf+4SAIfknGNXoRfh
UEdKcIa5Yg+X6dOjH+D4dbNeRuZw/AFIf5y9LZDqzu4hNGavjxORR1xR6iqOH2IUeeY2ShxhJKkU
TygehLA//h3LfgDVP9/iEK23FdYuU2PS/Gk9/+eudA+RRIgi8gTCM4hc94hJScCRyItZ5ufmvIzL
07gDMC63b8t1mmb/mlhASucM3AUC28PnGRaKHLlEcoh59OWw9jNrXobij4dhB0j8cfmmkPBS4Hav
6BX8SEjlcszpw7LHz5Bw4TJSQoBXPD3zIbP81IyXIXgcdgCB97Yi08e7pn3n3dl4nz29lFcIT/TI
vc/kSMrnCMgjJYFxsUdXUAeM6xeNeRmOZ4MPQPnovSm/8JNk37ZpE+/rV+RfBB8RIVym+GNWOHAP
coQYhlCFDtzjV615GZbnow9w8a/eFC7LTu/rffuKjkKOhAJQ+FMaV8/8RWJgYhJxyh8rFHCnZxXK
z+15GZS/JnKAx3LzpvA4K6CUBSGhrqenF/OfBy+Mj1xFsCD0RTeR6kgKyOhQw/+VZL7H5Ky77X5u
0suwfD/2AJmzT28KmVWa/5eqE4qPFKEcAtnL8MgjQgXBVPxAYPk3DHsZpH+e2gFUq7dVSW72ed69
29vbd9t9k+Rp/XquROkRB0bGOcIvUWPJ7ytJIcTT5YNK8sGy/7PPy//3K7a9DNeLNzlAbPO2CpgN
sGaTAGKvhxShR4ILTJT7SM3cZ4kIqDMXDFMiHmsc9vToBwb9Sxb9AJ9/TOYQldWbCnnbfW337d68
poDJjiRGjDD2cqwDJQbcC8qdl0vLX7LoZVS+G3qAyvZtiZlX+zzN3p3sb7unFfsqDAFhAeKY+9xL
JMguSIImww942q8Z8TIS3489gOIKFPs3pO1v7+p99pregY4YU66UEqLR8x4LQy6BeCUeGNpBPfNz
O15G4mncAQrb3ZtC4Xh/m0z/BXUfMginLgaF/5F4Pa8uwTeI6ypB6SMVOFD3f92sl8E5HH8A0vHb
4mTHe8iKwMba+jX9RR0xKP1dCmLkt88BQve6vqsoeWy/HIozv2jTj+D5bkKH2LytPH+8t2nZvSJL
JpDlKRPQqnxSAZ6FMwViGqiakmP5F4n+vuD8BXt+hMnjRA7xeFtp5fguhjbYfnpFTyFAd0HTx1Q+
CZXPEQEhTYIIIJF4GZFfsegHmPxj6CEqbyzNpHNRv2qbhR5RBE6A6HPSdd9foQIRhV5uGx//3JAf
QPE08BCIP99Uvj/Zg7T/urWiOEICu6C/vFjVK3bEBBAB+cgD0AEZ/hWDXkbkHyMPIDl5W75xeps2
yWuGK3TEMUWMQWZ/+DwLVy4AQqAfA+nlIe8fdF1+bs7LcDyNOwDj9OJN+Uewh91m7x5EpvsFVr9b
7fu7LH29cpGgIxBWCIPNYM9wkRQIF1T3XD5W9weiyoNl98Lcr9r1Mk4/us8Bbj/62RuqMM86q/ef
Xw85io5cRmBHEnnexwThEopLF/zpkZIdFDM/t+NlpJ7GHSBz5r0pj7rY633Tgj75ekAQccRdBlv5
gAm/EOHAk1zQmAlknRcj3C9Z9DIk3w09QOXibfXKru6ABcSvuscVyyPI8YLDzpfngU0dIaTuG82P
lAwuf1+x/JIpL8Px3dADOK6Wb8pJrur7IvI1SQA9kgz6yLDd9RkYCsP3REI/7DHLHGT/XzDkB1A8
zeAQiLeV/z+0LeT8V9/sChHrW5sSP+6hRM/FFhcomxDQ13/qtxxkkF+26mVsDoYfIPThbYlh3yaz
f+WGF6R2aGch2HvxWMP/UwgDGZ9CP+wx3xx4zS/a9C/QeZrQITZvqxUZ7PO9fWTPQfqKPRYgzY9N
r5fl5PuqH3I9dg8c58Gge9L8E3NehuZg+AE4B1ffEDMO7rLkNUsa90gw6Doi6N1/+zyPblIeYcyZ
hK2YD+5z0Nj/qTU/AOdhEoeg/P9d/L+8SB7o0EMr8tkv/t1jRgQ2HxPYsveU3cmz5A+blUBWFhJR
/oDTgRbzeBTox9a8DMTjsGeG/5fPFf34zNFfp7AC6L6H345vfXfs6F9f/TY9OFN2MPSRrb7YKX54
V+vb399jLoBq/XUq7P4ez2juHy+eo/nHyDuokn5/D+qMBAoNO8Q5wQyKHEhEA2zK/f09nBWDQxac
Cqyoy+BH4EW2qNsEHg2ny2AHlEQYSwytgffvmqL7dgE2FAIDVApuJyCAqr+OzZ0V2RQX9q/38fjv
d7bLz4rUtg3cFb1/Vz787N5Kye4fgYUCJ3YFd7mA55Rf9hdwNO/+1/9XNJnT4063i7qLh+Yy6Vz3
apaOLQNeKHHKZOI2gYOLamHRWCwYanWYtTEPvnttL9hBgK4eWAJmSEjFkvL7Ton7zdLvLEG8F6kz
KRIWuGmujTt1QSRUtO7jnFx1JlW7UQhvFtbLo2L0y6JbuZlyQqxHvoKv0oWDTbEsTJL/yZMSeTZJ
p8rLRJoGeRzxM9RO0XomDQkmpbqTRKdJ7umKm5BVDjlPmtrx0orYtZvkte9Uztz6Y5xFoVObIaBc
TqGNlfUT1A03mDBJFq3gNtTupLaiM3zyFOmNr+H3kzd0I17XkRj3hWOJ32l2kqfUWblC88ybm5bu
EUfZMadZVHttlXWzN6JqO4rWT8U0fqa0nW+xqfkVHAFRy2Ki/aY1Q3OWZqbQnk5MWnjxUHxupdus
O9HXpwlr8QYVmAQicbsF7NJuz2JBo4BZMoVI001WlKsxdbSXdyL+MDGVVZ5mU+MzjcUN7iLlF6DE
f0gG5Sy60tC1tjTy5p6SXZXEzgJ+gpajjERQDEm9ahhSu9ihw7qHTBHUU7awUzwFFau67dQ66UmX
sjgsh6oMZVcR43eVpYtJDjyMWjaFMRftFa9QGai0oIGMq+QyswO/kbMbhfXU1CGtEVqVDZ1hatXZ
bKbJy4UzHMe50VfdMDofh6HqF5rX0Qr22SCvLkgaVkWpfTrX/W2VazcUubHnLHdp6kXC6Y6HMq83
aUxZANtEF804HLOkWrnW2bpVIhbx6IhFj+SppDqZPGRi7M8oXZLcEs/hNQ+lsWpp6NR6TSPKgCVT
thKJE9hoNn6j87ARzVnWpcLLkqjyZNfYYMjrdEV7lgRlW1cnpTHtTarjdmmbtvDnOG79yTrOZzlX
Y+j2djrJueoDNcB6SmFZLVjXmLCkTX7/f+I2rlu1HMYy/jgTh1jPwf10HLPBwjMLfI5Gis+6vB9P
UenMflX2YzDMZerlyp6mWVZ7Sd7NyzJu2/Ms42KZZWw+Z22kw2p2Uj+novB7MadnZkrtKcUkDilJ
eWg7LdZJRZjPkyoOaouI38u2XBVDWV5nllJAU1aezUwSWpV/pUMSh3hQ+VXE5ODJqZYB3KPwu6QS
q35U825MRrYueOsurY1JSO2kCq/IZeznjlJhHSPXH8eoDOqYpqu6ddzQxBMal5IXqPGMW/NFR3kv
IUQI8LXGiMApR0k9m0/5SncZ3UyJjLyOjuI0bRx60Y+Dj2xzMpbzvFR9wY/dgk1Lndk+YL3Ax7Gb
nCoIMiFx2Snqcj9LhtGPke22Pabpl6mok695PHa+ylrrYzVHuwkP6HSWtLqJIeqvaJeJTd335bEd
WLuebc8XDnQeTxsw2686Hl3EltE9Kd10I3TLV+3QdV9qllUXEJnddSaL+k9SddrHUke+ikWe+GXa
ddbjLBZm7TLuj7D4Ky+SXTct+VzlQ5DEOp+8pqy6RZSYYcEb5ZYntkeDDbo61sfdUMZBUjt6oeOe
+knhNtaLojjxsa1lG5AK0cx3u562HqaDCPo0uqbMiU5ZnhazT7gqiFcmGeCsUtLyTzl2u3OHFCLz
CGrq66YqZ9/gKD4VbZ1vIPn1xxFNpgXEtGnZTJ3dDFOefCqx7XvfjWvw66R3Wm+kyizmcrCxT7Aa
6S4pDd9IxiIW0lLdTUaYeF1aW4VD19qNmzX8hqWqXc26yJnXt3TwrCvF0jI5zh5UgOXXtDBTGUZz
3X6Vjdt4UT+3NzlW3aoUxalNnI/VODQr6yDsKSy459o0n70ywyr3JqFa8P+ZfcqkEcoTSVzcsLzO
1kpP8AA0yHU0pK4/5bldJyQassAh0dj4bRVlZzgZerzMo4GNa6GnXu3KPMLmTji86S6wztllXBZ0
XLSlU+4bcIV9FBF7XWSJc1zFwiZeVECCDnENT8vVPHwoNasdSFIRu477/sbkytlOLh+jLWJT7Qsx
zMLnbYp8lNKB+uJ+/cdlTS/s6OZuoK1t/DGdxFc8EX4BqbBx14PUmT5vm6ZYtxKnl11dASXA3SgC
iivCT/pcVV/jvKEoTFIpPtpqpF+mwZ3WbVny5ZT2Yium3r1TucTMiwjSK8fFfBdpNiaeUw3VJUm4
OLYjvFVjMrnsccU81jiVuDCRqD7lTFQXDKL15ZRX1Upbp1/ETUz4ojSJKzzF3PGYzhFdMZ7GoWyA
uwwskl7bD/K6SVDmnjY4knrTmwtH9e5WE914jJk4RKaISl8rVKGPharTTwPXHfHqMp0bL8/iloZp
0fE/BUoqe6rnShdhm9pZe03mojDDTt14M1H4HFtaQLh14vNk4MNNVpf4A3UGelm0ON8o3PAFoWNx
GmVO/MEKlayB1ZjSEz3cArjWoANq6z7IxnRYVgVpt1gy1weW5pzziRRLXHWNb4e5uJPpSBZu7ziT
T+Ko/1CP2OrA6Mr2nrBmPJlMTtpwnidCvTnpc+7HeTGuNB66YIjjddQU4+dEOkNQ1FPyMSZ5cyxp
nPtOkmDf5oz6Pbxgf+4hf+a68h01uuskH+fTrs1EUFeqKX2Kcge4mLscR50lEFRN3jS+iYp23JaR
dVjuZUNHVrIZ52HTFDrZAJ0pgolgnVwBbRBXrOmS0XdLyO9LpSU+M1U2e8MkYCnMhWh8XdP6AkYt
uJ7SZd2Nw+Tn3AYiQ3I7xM0UJsUU54Ft6uamjMTsRZpPa6xJu4hMHUM6omphK+54BZbZMirm+LSf
J75oGaxRltTuTjhV4qVxnXop80p2l6D1WNsbgbp9xKWnqdkQeVP3AyV+1kedx0an+Qz8sli0mJdj
YMep/+gkU3WW1akOqYkyE2TQLz8pHEiWywl1QgeNUUvXMTqIjcqWOuJspeNYLDlK3QBb0VcnRQrB
1uUd9nCXl+EYITydNSMixaYoZn4sVN6fJTxxaq+nmd6mRpmrvosSj2QILXnfZGvdcH3WJwltQl0W
011P8kz6cTHoj26rosA6XKeB0o2kvkZUlP6AaZGHRe6SMRxtg3Tk8b6GVNtzmazdZkx9nZZD40dR
Hq/4OLA1bAMpF6Kq7c7KDp3oQVYE+K25HouEkk0f906gByyjlYqiKltpV9udS9yu9PDMVzDlwRc9
dlY97fHnronpGRtIA7y6mdAlRJuEw8LtujJIxjQK6jYK8z7qNyZWu9q4CypNFgLpKZdxZOPdwHnj
kS5z9vMQtc2yF62zcbXeV9RRpxWVieNNM8nuOivjUwNREbJ/m8dePTKoHropmgLDkD2WWQrszenR
dYlSdQYJrtoWaGBbpZx2AW3dbsFGAmtiLKKvPBNZaGA/0enIUwIEWnapXwwSQxQtnWtHzBBDpjGK
Rl+VFi1NmTehzHh1MQ+CRd7YEnpSR0j5qZrHPddZdD5BFF+S2EFe3nKgZdhmfpc1dzUrc1/EqApg
t0wJmTOOgHTOOOB4OIlqIAXpQLcUEAr1ZGTYC1R8KIlkoYBE42VlpcM8jeTxlGTJNe7qk4qIdtGY
ollmBWlGmPXc7moem60wtYRAQrJuVUCNEag4IWvE+HTORp75LLPbrMg+CJLfOZF72vZu4RmcGL8a
DVqkiR3WTupCZtKNX0jZeAK382lWVfmXfqq70wLYl9cCC9gls0lWwo2HjcSfzWC8tm3ZwlDjo3ic
VtRhCdRS8xBMyZQvMCSk2OvjKdF+GscrkXaTH5HBK5L1mPJNMoldbeOtmVNxHMsYb62b1p7RdDD+
XPIyyHDvAGXMb92hirHX9MNVCc60YDYufOFOpY8qkwaJ25vzeAJGG9Ux27ptx84Zzt1Nj8o+bLFW
gXTcdBmBt2+7SY7Wo0WNgYJadL8MuS8nWBrOWGdBwcdVlAmxNHW6cU27RMkQYDdZItnDmp78wfIs
ANaRbqIca78metzWIP4Ek4Dc5M1F0a2xzPFCO5p6MeN17eemZsE8jyuWVqsKAYeYWe/68HdPGi8W
OltHcw7xr+8B6qgsHD/JJycsmsTZJnGlbhAv2bKJJvyxdoGyqyrONuU4dwF2cHycOZyFfFD9au41
+dOlLv0o5FxeAAPW6zZK+2tjo2JNbelc4L7jF2auDMRK7iYes3Wyq1udHCd5NYcISNsXjDGU0Lik
2mNtcUuTinsOa3djpbdNHvFgQtFnNELuo5M/O4b7XepcVbpztmTqhVcOqlk5UybXI+nU8SAGdelG
ug1sXGm/wEBge2lp2FDsBlyWO5RY7OO0CASKvIQyqCJRfqH70QBPsPUeC8uC3KGRz6DEXzeUrEYz
OxtE0zy0eGhPWtU2G6nMBS8Sn7tWeITVJwX5WKHxuDMonKm7IK34ZJLh1A4Ir0wyXrpKL2Inv5jy
ehUZfJ+WROxFuOh9oIYf61jd5LkKSJ/uaxA2/Kw2VRC7NrnQY5evVCsgsA/U7pgZCKzjulgr12xd
nuSbeGTzVtSJE0ruZqvcuEs2mcI3OslWEbLpemizeEn77hJRm3ruZHufZFDgzb1TGVgchVgjDsXV
nOTmCyW62JlO6tlPBysC3UGMJMhZJYWmAW8ztIxVHi0KI6PtmPE8dFTcrBSGSt+zlZa7NCaR544y
mBu3X9eZyZapXOMu2eKcrGaaV2GJU/6hLGW7Q0zSD6lmJcTcvlUhJxMkRpPnufBMNLmd7+qOL+Ym
La+dQWWBS6FEmYUDLGxW5TYpUH9ZyvzMcOTpicPvexEmRG/avLqzI6+PczM5uRe7yIYQ4DeodIOq
xvkCJKZyrV0T+RUdTUBMPR3PBPeBgC06XyjMz4uLzrS+tCO76Ry3Wvfadc/GzvJFhHocWKm8Js7K
sK9GtBB963c0QhDzihsqHHTRR7qBCmdU03kOx0SI5zqiXrTcJUv4i1eFNwwIXr2Rxpf9oMLBceLY
K2u+yy1jgSjFsJNT5O56WhzHKfLGGd8xyhKvmeVGqcsRmSBN6NmUZuu8TT8PcXc3xbWgHioLIOKk
GjOPi7haNbguFpA2HX/g2Rho4qCwcPLhpDM9hirbSVeQuVYG8xWWTTCwPhiQazyow1euW4BDyTyE
bHsnBnLiWK6WjZxX3MFb7vazB1xrUfX9p44Mce2PlJp1BengssZoOqFR8qmjZPbrwrmmqeKnuR7b
vcNpuYLrnjVAWyQUEGtaQTUGFMW5HBU9LmgVlHpEvixKsatIHXmakxsI4LEnUMWvKc1x4CRiCtwJ
X+dSqEALt/bnOlkAh/br0vhT0d51qCFeD6nZU7KOPdO5tTfl4quRZC2SdJ2b0U+G/KoSKdBLPvhp
1cdeBQl8kUclBXFjmdnpxildBt7jmDAdIpR6GcvaSyiym0XG0mMd9elS4fZsqDOgejRNzpKGftCF
mnw50j7AGQK+iEExkph0Hm3SxVilqc9SkoGUh9nJOIomcLPeBqbWUcCtCEmDQlEXRe1z3G+Y2TkK
bcshTcEd7WWnc6/r7SZSjVqlTXciZjXWQdN1KugKnF/FVTHeKNtu9NwYL4OCw8vLcSWqbFy2ZUps
mI1TsU7bpls4RuC1gxOyMg3uz6q5j/+MDa598NA9lPxXtM784YyUXoerWwk619UAf1VsjYH6rhNQ
hkI79jtHZFBQCzEv0CjdFSOZhtqkO41zkFu6riivKdbzyuipi73UcWmIy1J7tu3roCqnckckKGZQ
NkSLXs7ick6G1I/QPB4XMxtByySiWguhu6B2xjSwatw5MreeGvQIQKF4WZIoDSWRk/KqkqYfej6y
E1hnIemm3SSiZqcjNnuFRqB6rWdN3BDGNjdNw5w1gUoxLCiaAnim/FLOUbPq1XCpIn2ZkyJZykKX
y1qV5tqxoHxXvD7rqAW7UpSGphJR4EROF8aQ54En9w6Ir4wBCy8vBOp7bwaeMM2SxR5yKrueS1P6
1TB84kU/gnRQJ2uRxuw4Q8QEcZ84IBFnpqw8kG+ALQ8jdXcyLnnhgS5UyoBr+F1EQYRKbAIKVcVv
JUhdXmMmcmaFHs91E1c4MPd6OOxfG0BJHReGkPijmbnZNW5hN5aKsQybVEep50SNNV40jXo5mMT8
WeuhXbaG8kUBTBMIlemCnEFGTmdUa6+WJXEgLkwZPlZc9vGuF9PWcu1cR6ScPV1C6RE2DsZXcC4Y
Tx5xjWm8rMj1bmyAksmoxKt+wGg7ytjC6rT5nHjjJOQJbGJJt1HcVCsYQkNE0nYHtTy5TlXG17gV
1dcmKYE6RqzZDTUUTNah6JxYHp86oqDLKqn1smosECAsKhzGaQeZty9zvkN9G9RA/uB4Eqk9DSrF
TtWcXHY5iTfZRMgVBH572gmaLPu4aq2H6qpaEp3TajGinHAvq8rRh+K/hNQnZ39iVQ8yW9WBElZM
JNm7AuKFl/LBfCDYPe4UtyBmDvZMV4Xw8cjuIoXoZ0RxkQSwMSS6jbI0vwIa8kkrbrzK1Oeka66I
Mn3Q3wte3Tys2nkqFwa483YcESxXDsKXK2y/Gp3Z7kueypVbMu2XcYTCvmhhFYE8GMSTmc9Q148+
9BHazJukC7KZIS24FgOBTnRQUhRyUaS6PHEN7fyyGuWyTdoP/ZTk8PLrjymuKr9Oc7s0hIuTuY3T
i8lpqj9Z7DqJhyI5LCnvWOV3jCZeyaGwiaOrJFFqDUfBgO50hSfcbjumWkPAG/VmIvJrCvTfozpv
AwMSFESCkZd+37nqCmc5JJNmNmPQtdjuxByddXI+E7FQ54l0Rx/3WbkoWvLFJi4sRp7S4zEHblzr
mW4bPTn7XsRxGBXqT9VidyXKpPeAJTF/6jMgYYqWDrSIMr0ee4JXkHWhNCabFFjTB51hfkIwLD8r
nXjTja6zgsJuCIG8n7epcLwRGlMLWbU7DES9cdt+SWdQJcOezM3aNNY56adRgYjBrpJSwONMDu2V
2mgvcUQfdESDhF/D5LPSbzE9deYK7WBP4+y5Edcb7MZQFBujQBkSZtva8QKTGpyzttKTw4A3JFKX
09iybWLtJQIn8hAfFnUvVTi22VWR6ZOpnZGfiJJ5I9Ep9mYDW/V93s1oJWzdLggwHIiFII2ysFU9
xORBmmKrCtomoALUDBbzEINeLSAgY1WXHybliNuCS1Ati0T5QCxmgJc36wKWYTC5ZZFASW3KRQlh
8bhNmuisnud5M7XCPXZVm/mm1B94LM5Fo9WiY2ovNN5mY7xzQe1eMt4AFZzouQJetE2Tzq+rNEjz
+nrq9A3vCxBamzLxq0J6jjmPmj4JZmiwXNac5j5xiuyCoqLeVk3RBn0skmtOtFiZegBKMzZF0NZu
EM9YBlVSslC6pbPMW+XF3fkIvabjeEj0RoOv7fMxSiM/kyXQ7rYG7aXj4AGx5TvcEeiLVSxH/8vZ
t3XLaSvd/qHDGYAkLi/nAbqbdb/bXvYLI3ZskBACBEKCX39mJ/myl9m+jI+R/eIdR6glVamq5qyp
Y9JPV9VMk4ML9CVYwp3KKFt5kSyABA1HtJCJeMF10spS5T6jPkqOkSrI0KbYxqQN3/tDTc8BUM8u
EyfV5wC1BtiPCbsbDCquVLK8mxKUqKQXnjr4t9t0kSLOvdl5X9YGgRnuQ/vI7TpfVr1q6izVk//K
uPZekPeTmxVH+b1Tcs4dauz1oTH1eA+/MA741VR+ilw6f6njCXkdigbpDFCoadh6PSrGG1RvqXnP
ppHfz56DGS8NNgEYk63vytWKJVsnjjBT9iR9kUE0XtauW+GutD9/tOjheWfqoFaFjFGnUhXrFCqZ
lHaIBkN5X7HEUzmRLtXZWrV2xZJw2ufgMPJ3Rlp9CTgKYZwyIT8ho6YXsWn5mkVdH+Lvhu2cp42d
X0WsvtQt8fJpmb4gLffmbOCdOPhD+EUi4APgtqJglXkCJZHR+Mn1HE4cnqLDPwfTq/F2iboaIaXP
XpVoYEv41/5465Fo/ExkyON8DMvu1JuZ/SkQkJ/WmUaXSVlFt0BZ3Z3RXYvyGDBhHdnp1HPJHk1E
4dHquMJBGWLsnqkjcuF5pQb+VC+5gGTsudKlMoSKM2S5mDmpyYV5HAh+4Tv9FDkKGFKWgcoFZV4u
SiFvJy9yz6is1aeha/N1nVM/T7yhnbKyiSIO8xNzdYgjVx/ioGSfu26Y5iOV/nA1erJ9F05pcAhR
lb2InST30nrNmMdlYgFFhyQnQ4Sokga5T6oYF5/jJyCKxWBxgKs1+UPVfnVKhlI84OAPx9VLzWUX
duG9P9d/pCMqehlHTJsZO3+k/WTykVbDsaHrg6lneQj7Ns2Mv5qsrMMlj6Z2PQzLa88PzegPGQm7
OyCCHf77IXhX9cNhXhpdpDxZ36u59g+u6vTRCGMPzgVxVkp9RRRD1hGv+gJZYH0aiVc+md6HrzfR
J1dO9XIUKhmOfjrrW5Gg+OVQAnuiTdnITChGXwA2rae6FuWjVZafJue5j+UUfJUrig5NWtJ7pXX7
XnHcHV2T+BmY6fzR2JQUM4tkm+t0qHkGFCVac7GW6TVHWRJZRyPES2386SkOAfgcw5ZXc96GPr9m
6YKQoEpocKgI7mTWxHm5Evfslia44MzMBXUpErTujKrxy4V2gE7JHB/PN3WMxOMYp63KexACsj4Y
/PfO9DpzZlxQTZnlGZgNDoLb+dix/gWZGaKUieoi6XpyK6yYT+0i+WFpwk/A38prBCLiRiKazNsB
Cc3C2+ia9XC1sxDyuAD7u5WiZh9ibz22lW9PgpPlYpym+KLpe33drwE/NWb0n2obzgVABpQ5p972
qN0s/VBMypbP9eyiO5Qr8VMEQMF4UPQa0HTwgFWliA/o0t8GpWE50DXlsm6NQ9Ao+mS9UauLvy2L
amUB9AU5IFA3d2V1yvOErjg9qKW+VCs198T0D161HhSqebeDm6JLKmORZiCvd9eVqlCMG3y24i/o
2ZxEHzR5unbfBhsFKrMRIJW4I+ZPCerAafJkeUEqie91Yx8WAQKFa+q7C9kukP+YQeM5prNn46xi
ir/H/n5awkEUDkUEXF3A1bOqDZC2ufIQifHVp6IuasobntmgZjqjKNOhuAP8zj+gp8sz2UpMdLRN
BEhRB/P1srooTwZlPk4LWR7EgvuxH2KRTTUSA02661ixccz6iOGyAWaO+H9Yav40DcmAcrEYyT2p
4KGnzn8A1nDiFue3Zcu7QLLmz9Vr+cuY6vhPIHDpDTPBFTeC9Bny7RDVotBqBV8YyFw7r3v1AMje
d8GgM6ZUgFMReAe/If0nm4ppyVw5N2HmeIRSMGKGL6iBIvMIB3JfhT45ghgkOmxcew/g3112tUr7
bHTUv65aDtMWEwAmjw0gdnkfS+30p7RGvJFH3exfo/qM22YWTHwpUaxEmkBtVBAbiAtwdlJskBk+
oDD0kdfrZ+tSiWs80u9IWMtLPrC1yXCd8tcA+eeHafEB6xjfXy6sRpyOXGNENuVLsAOQsxyqlM/H
pnHqMVnaNS9VEt1PbRsfw17ai1U185qj0jedgrHq6En1FpwMm4nSIhOdvHyRJP8rwWlQljitsX4E
4hVkmncBqhjV6C4SL0wBZXhJ4Q0ufOyoP9/EHpDXCf7oCSQPL19R6T8gaHcPklX0Ipym6rWeFHk3
NFMDrgNYK0B7fJA5PDoXoznXx71GB3citKg7+bpNAHhNY251c+g4A5kornATcLWg0D7zps0CWx0m
LwhvfCNVPqkQJB+1RmF/6JJYHKIhUsckHr+JgE+HqSsHk40CdAbdyPUYkuAlRm0/5+gNLSJ40yPw
3fbGk+EDm9V6GqOOZSFb47tFDx3yfec+z5IMczYmNnmkAL81UqQ1vfN50D4BpE2fQ4+6BwDY0ecw
qdW1t0TA1ZQ/XwkdL2teVdLkpKuTZ7oAZVzI9DqiDt1k2uj1lnDXnMCk0QWuUvBd+GLuTdg+gbzX
3DjEXBciHcmB2uT90Or6MIqBI5RMnHg3gK/zYGfHXOYbKt67YQVG4CUryE187vOerLcaByJXTTmT
rF3iy7Fuirq19RVrOcqRZZJcCcbu+rJpD4a0yYXqFnWJWsacr7xvYRHOXgU9iDOr0Khv6jhu8zJZ
/NdSabA+CCEfvIg8Jbp8l7rePtS6Uoe4RBbX6LE6tJbVh9aJxxo4IQcb6oImMewnTZfrRfSovEqn
7ppu1rnSzSVBOPuoYo66AZKom3RplyZD8kRu+zjtLlD3+5KM/Qv1l+uqAmCUeOxKDS1AGz+pzIUo
nf9a6yE+jbJNC0Zp+y4wMRzXBEz6Ugl1FXSRuUZNAJwQytyBB+HwXjZYqGQspwxp8pBkGkC1D/Bh
PLt0b8iHyMpTNVTiIvQ4aB2dAW3HH/qTbSYUAJxZQj/rK+CyNfXlI9z0LM+QvDvi5uhOwCT9axPO
X3sdoNYzVuyi5BalPQko8g5+i+Xgfy1X4BNQoNOVe5mnyt0lqrQXqUnWJ1As5XHlJUpSaaCeBgQX
T3ZawmNVt/3HRc6izmrj5mvX+mNeo9vpW+RI+X4eG5fVK5JSVKTLoYHlr8M94KX0g+JyOfS8Q9Wg
7rxDo8LmyBSrL4Vl3WVbx+FjwCN+R9SIQvlaS52nlkwPqA3UX6QFnpzxXtGcoBAJukMQXS/RSF+D
xjr4s3VE1dCxa7Muqc6XxknwtjjwBPRbfRnKlF4hUKm+oEiIGEKcS1FkEI8cSXiLRMCwq2R6PZeC
PvglWFlZ2vnTx7WMwveobvCP4Ket96htkGOVlt5x1an4Wns0eFpcBOSg7ORLKcr6CFgA6b3yloyk
ffyM/ju/qM3A8jCJ6qe5Anye99TIq6kWzbcuIPOzwvUKYGYp74d0YAzcCdletJOgR0+U5ZVpCTkN
I+4aJM/Kf5BysR9RZoluAVnJY9IlpsGRp+M9EAP63Bok4F63NM9N530Wo05Okcb9aWR5VVduBJzD
9H01uOAPpmaUFRvYTKa6ycedyD0Qg3QLis0aXo6N8DKUZ+andQVcnIXW6INUcX9aNQoZvUht3qdh
8C0USXkNhk6vst4zGnltaeqHCMHBCWBcedV2sEOrhxbHFqk+UmdUC4BGhU+2G8snkabdsQIR4EWV
/Bm3K2Iehlwa1y+50G0cA0urm+uxke5dZOv1Ypl6AE8eXrjIQoS1B8TIzYdU9AuK0V5Zv840Rs0t
lcKi7ID69gpeDVwU95pT7BN6PYbR+ofqeVQkNdC7cWpJniLlzFMx4LoC1veMath0wVh8Zveda++9
b8ZvINcsedJV7HkdgvVyXozMsW9jhqQrveobG6GmASQGpjpkE20tyidjjLrCEnlBBloex7EEgt26
u5lPj+0aTGDGTfPJpGVyApsMMWfFvUIBunkeZ9cjYx7ZhU+HEFlVEliGpHJJvq1exHBTrOpdU2MN
IjqSE5dRd9nNtrzTwuh7Wo7NVR1g/tUKomDWxDTBkgdf4XC827lcxukYSS/xMiYlfND/AVdMCBHK
5VTPlgW5TLqvbOjKo2Ol/CinpQKEAsrwu0gC/2BgXz3MqhSfmnSc7xgB6II6LciwzexJeCShHt++
m/EPnflvmvWXrl80iBr/PFDy7x//30vX4n9/PaTxn//z/L7Jf/5UfO3O2nrj9i+difD//i185h9i
/Jl9/t0f/osJ/xOu+9NfL6j85F9+R4T/8vYZkf/p6PyLzh6Arv1zHvx3TQb//v2/2e9pjE7qALTu
M68bWnZnRv3f7PcowQMqDG+o+JArQncDQYvJP+x3Ev9fH9VulkYQYCEQPUDj/Pg3//0vyjzkpROU
+9GinULq+39+2nc7A87/D4jnGKf/D//dAx8/phC0OishveW9j6UrO3DKo4s6OAC8Gme0Av/7+/8X
456/94bFnoagwI3SxceJgXuRgZW1fKjDyP39MsvfD7P8L4Y/k+jfDC9ir1msU/ERd7jGHRetfvVS
OSQ6v54++g5+uCzoNXk7ftquDTx0GR3TkI3rYx+0qQ8nLFiQ+RR3f0bJMJWnX3/sZ3uA7X/7sRF7
L1CHjI7uHO1l8KCVzrolSiDP8qu9QAfMD3/MuffhzWLFKWjlIl2io0F8dhsElrbP1hd+dLMkqLwW
HrAojaBv6NHv+qsP/uQHJTjpbz/YJ2CMxOcPzjKN3VVXm9KAdGBqfvz1B84D/eDUnsUJ334g4av1
J7CckUmOsb2KFlKGed+MYX3DmlqEt4FpDKg546AWVHkkDYaTr+pZX/z6+5u2kX/NJjkv9ZslBSY/
Nmxc2NFU1TzkIHkVMQm+oVFgAKFnqOwM8HKJvZvOVkFzRLmzS5DKVEnYosdrzxqfT+6bGchqaWfJ
0D5gk5DlRHffYmb5b37fzzZw4xU6WCqSnYkdl2WMX/1u6cATNuJ+39Q3vkEmgkcjARLaEM6/+ngz
60Z5vDH5vuE3vqHzLOuHmjH058Tz+8CCV+tKpGn7Rt94Bi2t6PtwYEcksSuoPs4DuBv1XRfvnP7G
G4SuChKUwOENOgq2+xKhTJoNA0zp8Otf8BPfFm2Mp0UNHHTfKi5aFMnLp7htB/OeDGvqX01encaP
aK4i0eWvP/azk7TxPSFwKoXaEuKjbomjhxFyQdP7dpq8b7vGjzeuZkx841vHkmIFJeC4VBR0C8eb
Uf9mN84n/geeJt4sVto1VBqE+UWHbLk9WR0A5JZ2CfgB2TVNd35m408I7VCh7j2gkpMJpwsVdQps
KxVId+z5ZN0+u443TmPo5qEkrk3AI2jWF3CC6nsFZsnLr/fiZ2u18Rq2AWhoEeMUIdgLRznqmNxU
dOmGDw1LQEP59Vd+cqLOiqhvHV8N5LBBZSAptKTLpdeu/n1aBVpm+4Yn3w/flXwBP2GNCgN2L8ol
wtGP0dr1x33Db9yHmeMOamJgRs4SOwDuWnukxkOhY9/wG+dhOPqF5CLAkhvnBnuwJM7LRn8BqrTv
Axt7blIUMFG+ScAGasHx6AOm7FGLeLUPuz5wjpLfbi+QBDIGwOKKdKz5+zgZxwfHq2HZN/9oY2jo
uEKrN+hqRU/oxEE5IC7N6qa1/j4TizYmhlaSIZpCHRfNWPX0cmzDOcmEoeh4+/UCnT3PDzxStLGy
pRKV31ps8VAuvT6IisTxQ+utc3RVTWXbHF0VLupVosfvk1GVVb/x5D+LeaKN4QHELuMOVPOik4ns
r2pvLGNE9k2KsC6ZrKATmE5inXMOTL49NW6t4kNELemeZ3+KzG9+/0/sP9oY6IK2RRA8vLJoY88c
CLdxkcSS/OZ8BGdL+dHyht+fPzZPDs2vQ1oQH0zU4xqU83Rk5brKiz4l8XJfjW33rfeobS/omih2
B0ZgqG7DOEnEawL6CPvNVH72Qze2nCjB+s5yWvRxOaJzaU2/9s7ZYZ8fjTaWLDW6sUGFigvt9Rao
U0BlVpGk+vPXx/Qns2cbOzaBjtCLUNGi6l3ykeF2uxt9r93nRtnZON5EvwOplPC8GJVbiUwmN0EC
QAml8WX8zSn7iZWdZc7ffmDkw8JCp5NiWmwZorlQa/+z6wNYXB3Wfpcpbvo2C9eor7707TqG+7bl
3An/9sPEKolDpKMiSsrWAAwLR/TdAfTf6cHZxn+sdG0GQEfxEQXO4IguteqwRqjs7tv283F4szER
eF9KDG4FYoN+3lUByot0L37jg352qDa2D6H62gPSsRYi5ODDoCnhUC5duPNQbUwfWU+XgD+/FiHy
xsyvgw+qor8LJH829Y01BxGK4E5Wa1HFy3RrFgVKpRxqND/sW/iNOddo7ekJ2iILr2zTyxCsf3An
E1rsGp1urJn0M+unBqNPJYqvlqC/ZWwDvm/udGPNiQrXZI6xrd4U1jkYemjEQfFznx+lG1MWvqd9
W45rMQRcomILVuHM6Hr69cqczeYH9wXd2KsqWb2ugWcL67GvSDub+USnplfFZONo5y/YmCxoETNo
OyUwChjuUzp14hjQrtmXjtONyU4KoRC6ZG3RUQbST8rMQSxqp7uhG5MNJnDDklWYoholveayjW97
J3dOfWOxuKjLBr1oE1pHRRnkYLmC61O7pj78enN/YrR0Y7QMDN3GQ9/ksT/TMZqpmm5MWcqdRrUx
2a3mCEFTgrxnGpjTvnNzlst764ybgM9DNZ8bHCuDFvSefVzSRf3m4P9kbc5iLm8HBw26oUlSzsdB
1gEY/2ggHqAnsnPqG6Ml6AgMS5HMWHnvow4R34ENX+7bVrKx2aYHFuaN0T9TpyHaOKG6snfqW2tl
SWmSOpiPqUXRODyPDhR77+jn7XhzwTb+3JcSPQxHJ9I6N0ljsihCH+auA0821gqkO+nw6gtGp+HX
gVOg2bzaWdkiG2ttXCsTXmHwdDUtOJOgRdZN5PbFBmcQ5e3CuInEpVya+cgmEFUcuExZ0JfTviuK
bGy1rftQoXXCHNW8gkdV869GrMG+VQ83djpCjAHMYmuObVNTQIPsozejq2fXloYbO/VLpslSe9Mx
Hnx1QF/zH6MBd23f4BszHcbUCUTC5ijQ259FgoPZqNEqvG/0jZ1Cc8YDtJpi6qkJbkfAIw9ljK7N
faNv7NQZGkIXIzXFiv4x6BmABsUOHgRVxn1nJtyYKhrU0tb01VwstFXAssHfKHobTl/2zX9jqwEv
Q925FjdrOcor9LYH6LYXy3Hf6OH35mQ0msMqtBwWU0o+QVngcaTkcd/QW0sdF2iyLN5U8Nq7g3v8
iFaJneW7cGOnKedQ3FAxMHpbJwdTs5cO2gz7NjTY2KlqRk+niTGFxyeeg6Z+E0MeZt9hPwsNv/Vf
gIVtP6IR46ik+5MvwYeQtVDQ3IEVBRsrTbitoH/gLQWGHScod4x1lC0jqfa53mBjpzP4aHVD9VRA
rc1/pRP8QDbyNdgXaQQbQzWDDH1ZdqZoO70eOhd/rnlf7lz2jZGWCR/imWtTsEVDZaOFLNTY/A55
PQ/yg+TgTB54u6epiihEEdqpgNZdCuJYFaDPvOw/7NvWjYmGUzjpSXMcxxpiGKS1r+gv2LmlGxtd
aZeCGdWYQjMQAoPEfZRD8rBv3hsbpZD/sZxgbE+ML9Qst4yOt7uGhijgdwveWSg3gT89Hf3SgyyQ
KG/Qy7ezPuBvLDRAM2e8eugJxNvr9+BIfkyg87bPtZxfEnl7UrwacbrusCayVo9d1Z3Ktt7nyf2N
ddLeLsShpn7s1vlCo8Wesn03qL8xzH5hE3pVkNtFLRqcOlcoXe6DWf2NWXI5OSihYNJ9+26dTS7i
9/tOyMYkZSp0j+ZA70jr5rN26WOyRvv81Plx8bd7aIa5cYuNpmIZRfCyLlNYCEPGw76JbyySqNIp
AXGvYvRAJQhVA5WZ9HXf2BuLbCQfWRz43pFxRLeeH/1BU7LvYoNO/vfLgoM9DBAumoqaRy5j6EQ+
QP5y3mU4eCTx+9GTEYJ7lM3ecYiedXdIUMXesyY03VhkXdUQb6yXqTAJyByWjGhYHKKXfYNvbNIC
f0e3Rzkeg7q/sBLY/kAg7bFv8I1ZamP8Bp0d4zGR7IGY/guHFNrOVdnYZUrZ4g9JOh51Sx4YxnZm
3jv2xjQDy2M0ToBfuYbEvzFJJa4GCs21fauysc56pLNEPIuDwlbop/rinYzqXQEWTTe26VJDbZPC
8h2EMEXu0zLqDiEiIL7LtdB0Y6C9bWkJrGYqKtr/4dn5A8CHd7vWZUvWmtEVCFENrIsxkLMdQBfN
SBLGu+IIFIS+N09dzzHq0Q4TR6eH6fwrN6Oja9/MNxYq2hgCK5D8KtDUfStBOEQ3B8Ro9w2+sVBT
aXAuzQzpol4+grcMUbZ6V5BCk619Mg/asKQdizBkYW5byFAEVHzbN++NgS5AFMakPcuByegjenGu
eMye9w29sU8HiZQmCT1dLAF0MGQXQwy5FfuYETTZ2GfHrEpn0HcKQEjoXls7iCSg22/f1DcGavpw
bOrA6gLqkq3MRqO9awieLU/7ht+Yp/UIvCKkaItwXv4cEcG5Mfm8a+gtwWnCxYMGewiWNVH15Pr+
0m/bfedwy22ay6SBbBaaJtd5qI+zrcKDJ9WXffPeGCdfwWbXrhmLtO7zhkLCF/JEvx76bCf/nVVB
Lvx7n2I91IPnPtboT5qZQadRJG6HqEePgoAMSv7rj5zt5Ucf2Rgpa5RTTcd0ITn5JGv6weubl31D
b0zUgfEoo7jUsP8ZCiyjhvLhTPdBddCv+X51KuiKck1CTJwGH9rZQ8++17/fN/ONjdZu6Bvt12PB
Qk7tEc2cC4XCrKybw74PbOyU1lWVoKEdR9J5jxyC53zYl4vTeGOjkrMBCTOGLpf0cfL5fUmiXTAU
3XKWZLKU7QCVv4KUbVh4STg9BpXlu5i+END8fkPDePbZzHESodqzZGg2LAjdSRijWz4UZCC8yY21
LtQMqXh/jk8DBEb3ed0tF2rS1EACA0sO93g9L+G1ZG6fDW1ZUKlFq6QYKl3EZQXtmXW5ho7tPtyM
bplO0PFAbzMk0wpo2D2QYLjR/rRz3hvr1BzoRGS9oRijBKozaJ1thl1JHI02xlk6qAVXvdBFhJXJ
IG9o0SrdJvv8YbSxzImIwYPe1wDcpoZUTtg8Gi/dF4JuqUg+REIWxfyhqDhpRWZRqDga34v2LcyW
iiREClaaWGA3aBOFlHcUPUnur/t2dEtFQst2VIJrNxRrqsM8GOkdbtJ96Dnd0pCMpxJoaXY4Ll1K
/Qa+Fs1odZakc/Oby5T++J7b8o1Az/XRSKqw9lVt41yheFaUJR324Qh0SzdaGgNFOijNQQV4bIZ8
tn37zaQxeqN33Rjs/Lve4KFQXfQpHmmAblm9jHjgIhIZVoid9o2+Mdc4di7xIYBaGBmFuR+BV06Q
/e6c+8ZiISodoAqv+mKk6F2HSHDY/NEsTlU7x9/YrOM60tZhbSB+AVWbqX3nZLDvzmPb6zTsbOtB
16fQKukvltEfT1Z29cWudd/yjaAEQhaIEfRnxej1g9+V1QXeYOqbfQuzJRwR+ElocWJbU1UO4yk2
CaEZK7to2PmBTfQLMK7pVD9j5cloL7VO3tWD3Febp1vKUQydc3CMdV/EdHrm1fiI7vLnfeu+iXqr
crFEymooYpV+Up1FByx0O3YuysZUB5TMEw8S3wXRIvmE137chWnaeeeR2Zjq5HtuWQnrClgqXiYA
9SXzFi8+7luY8Hs3oxcPGL3E6AwdxNlZjbpRv2Mx/RWC/iDX2NKMBu5Ar0sgzTLjQYcyA1qMdmof
gvcNJOzTqrlo+8VCvw9C5wT6PxG066Am/IIWt3h4wNuko35O4xY6YMAluwvRKBplEPVGMb5yQ+Lb
bKVi0O/sEHom95dBNX90ECId8giBZXgIGGrtx7g3zpzFotEvDSHUyV2awUtEEcauppdlJyBCH/io
Jrx6YPYup4BATf1AYocxLVS9VggfpPWIbrtwNac2DN16GOeWqE/u/GTFw0QjT3weA+iMFQkeD5gL
7fB78QTMCk1Mf2ZJruIQcjXREkOhoQo6yJ5HiUJfmI/O9ucwSaGfGkZQzeKjXgu/S5PlZFs5U0gI
0ood59hSlLAhSUFzCNe20HqYIR+RJ5qTGBKAXAfXFv3P6aUkwUSLFattc0aa+XKFUsydxrMg9ACt
Eoi+ilKX67MMRBfvi0LoxmG2jpqoMaQrIlZ3qPpAeLgi6T7T2jK9CC0XBJKyL+qo/VrS5rmM+b55
b3leM5AYJ0PMm5myGCE8U7JgX3GQbLwk9PbJEqCCVIRp6rLSSxsIAATdzjXZlAm0X5GoAWhXVKEQ
mWuGb5HQ+4I+svGTAu2ts4r9rjCL6e/QoMUvOjK1+1wZ2TjKOuK+UZA1Lyrd0BuK+BXMfzN93OXK
thwv3eKhlLmfu6KBEsp7nUCwXLcqmXYu+8ZTDopPaBNJuyJFUTmDPiEE76t9zV90S/LyYcKMQoax
WLq+bA94pQBqVAPektiX5WxpXoHiweoRnMioapmDQrGCgmTsMSiW71r8LdULut229OqpKwBUfbM9
vWJQGd03+S3TqzdWz8MSd0Xtp+CRTSMU8HKSivDbvrlvzHVmwwqh9bAv5JCuSRZ3eGgiR7UDiuj7
PrCxWNsrGfiuQoDgBzQzsRVHzvnOACHc2Gwf21Ks0GhENWKCSI0Jorz3rF/sm/vGZq2PVmkG3XM0
ukp5FZGZTRneCon28ftpuAlvRqEqEJk6uGFl4qtaEf8TctplXyk43Bht7PBsQTsiXkUpy12WtDRF
7E/xzkO/yUNCIk3Kz7eT4G2Vj3aoMgPBsZ2nZnOxBjpwxiFPLrxFka812OZf19a0+5ifdEv6YiGk
XiH70xcsimfvsknxyoJfWst+gx3+pK+ObolfaDcty0gmqoCUKdEvfcPnLi9jBZ0yO3beCxrO7jwP
yjgHRHFNmlcpktFT7THW7dv9LT8MfbqQaRKIP+0y1EnutQICFG2terkvjd4SxCIf4sHhcPZMkHMq
r6ETib6zZVgmf5/r21LEVt9odLyGkJ4lAYcWnhWWZqKh884AK9iYdzSurVYhPrAYiGrXq/mAF0O/
7HIdW5aYnKC2mJpVFb0+P0ZWkW8Qx9s78Y1lV8OKZ0Sho1sgtj3JECr94bivBPBXC+Wb0kvreX5l
oSBSTHTGE1geBdRg16d9i7Kx6glCYlVgZ1WURidHU0Pdq2V851W55YnZmHdKYUcLDuHHz62w5Iv2
cN3smvuWKDYKqjqqgrZArHUXz+u1HKpP+4be3MEVXgWjeDNBFaML66tA6iSreGf3XWJbqhh0OTle
ASJtQRpIZmV4EGS4qmOj6n1muiWM0dR1JFJ+W8RMiXxIk4uGQjh/39JsTFT3qqrKlKsipbW9GXVL
83gS8+OvRz9HCT/I0f3N/Xt+exRS/rjf5UoHhPz+WKVH6Qddd4yQ1aldMRbZ6jFB/aMs8SiqLFYd
f0aiftvG9Ydf/4LzOvz3LyBnKam3lVI6+4AG0Y6FDsGuhML3aOavlgz7pAdIulkgjlhZ1aWSRdon
Jao7eEexjZjZZVIEYlffTb4LhXGrxuTxMidy/AAvdUBSYp87IFv+Thqt8cIg7lzgFaRgOSgO8DfH
05Bi3pfpbqmBCZ7mSCJSdYVvyNRn2Ac8E9Z4ftod9mwu9TchVuvxcZhTDpdzfulh8p+qoNy19NTf
eGJohkyJrzF3FE3ZgWsgNKuBmPCeieM97+83VsHHeA3Inscg1uXTvHj9s6rZviY1iKV9P7rkKjB+
OMrz1Zo89i1hxcRZsmvRyZYi2P9/zs6sSVIcy8K/CDNAG3oF3D089twilxcst2KRBAIEQvz6Od5P
Uz5VnWP+2lZNeoCWu5x7PhSN4spclnyDYtMwZu8iWrc3vpirZGgJrg8L4EcQfsCZq8BM6fh113JY
b3z+1WfNYDtoEdnqE6g9gAzVcfw6YJ7v/U2f9VpVFniLCpcfo7JO6m2472Cp+Zymli1/2FD/qbT8
w2l2LSzjlKRwX15wmvGFmZcRtLXlrlXrOB2RiC3pEV56IA6NIEINjxFAU/ujFd1ovqYJoceFp/tZ
0CiwHLDiBe4KgBmoF9MzGNSDtxpaWB431f5jqEIL33qLO7dYWLf9JIbSh9V27j60zXok1QJX5B0e
GKCEmJbuH5sE8y3v1MWn4iMs1e1cImEDkyc2kwczHcrP5w78vb3Efz23TwTG++tNgSS5diWDrhHY
dgwkH+oq6Z5XqeRj2qawzL7tm16tyAGMuouTszqlW/ybp+M7mdSvtz36cuv+r1ASuSYMj7lXoIxA
Z6tTek6H+U9GGpff909L5eriW5bI1Pu8qROoNoScp3nXvpQBqocSLDBZn7nkurmpuga/vr//Jcko
GacrU6fIRvwApJ0GwlnXn257T+nfn97ApBU5IlGndQA9Papg9t2B1/PfH3552f/0nq7ukCQGREhN
izpxuEx/gKqavmRwn/2+wQf9D5XNf/snrg6duJKiTu2oDvNGACZv3AgASr5OKLafW4+Jtj8k1f/y
ya9Vc5An1MvKdQ0uklPquLAtgTos0gewrLMUGL0b207kWkRXN6idVOAAnnifRhC68c84iG6MqcRV
tB/BcASFgF6dErTjQPM+OpL84YD+ly9xLaITBFrOHTO4papH4c4S7PDjkEn0/Xm96vgmdQERl3/9
f+1rhmfzthURbDpgJLh0MHmXI1iB/33BXjbwPyzYayuwOUgw5gJAWEIwkD/5kAG7kdyWrJBrId3a
ohRJlqQ5tTSjR7sGU2ayvSmPI+JqI8fcJloLXZXJ2t7HFcnpwG9851fbOJBYAw+ER+87PVRyPJo2
vSk/JNcaugAjtHaWqipVmz4IFj2MYFbf9C2vNXSQFV6McIE9tp0f77t5didAFD/c9vCrMBBA62YN
oCKXKqnnA3geNA9S0+NtT7/apbFUU8XiqD2JdrYPUL1+HutwmzksudbQ1VzU0Zou7QnkNg3Tadff
xaO+TYpKrmV0UdjQTzFTewK2DEDKJgNwcJoPt72Xq3t362LA28kgS2doux3T1H+yE/y4b3ztVzdt
M0jAYWgvyx4QcaWHUzcNt13i11K60GxbbWoEUtoBHtcvfVzsmv3h5P2XU+taSbdCnb9jwg+baAZr
CqqxAgC1G4/EayndDpOeeQX9ElNLJhR9bYfxAlWTtwnSYEj99wNdmoCZC8UkBq2GHcxXXU0Pw6ba
2+YgybWabuF91YuRSJjj7+jZvoMK4A8HzH9Ktf9wW1xr6SjfE5hT1c0pCRFZH+LWAEQHlWRIQEhC
+wC0g50A2rMaduCorvlidMCBwSHTchBgFxmDB2WTOv1uBAMDqMpIK26qwBN6dU9q6QiIK2w+tGKb
jqxy8BSO1G19NXLt8EMAvtq1cvOBeNNAZeE+YqRy+8N7/ZflfC0g3KIxgWWIu2R6k6vPLYmz5dDM
YASWNx0j1wrCvm1B10saUW5Tw3G2hm4BNYnxhNyWNl1LCCenln2t7HJYhsYeTEZ9aSW9qUhO2NUp
hWgTKGBilkNysSzzbMSQORU3ScMJS/++G61YKdgAePi6wHZaz3TMB53eJk8k7CqQoM2CQf6lXw5p
l9iCqKTLUd/7cdtXvcoEQMTK4phUDvSFxoAdHWH2DKyk2+6Ga/1gDZlsTCPiDgNEQfmgpvpZC+Le
bvrt1/JB6q0loK460MHRsKFqrw9tYLe9mGu7snbyyYAesjvAXhOcW7OpHxy43tsiuGvt4A4IxOgW
cGv7nusCptsws6HVbYYtQMz/fT0ufoRllgjzIYhkz1WspkKoG2MVerXYmVp4BLzSfNgN7FqAtfkr
nprbZgnJtQQPHEYzVpoAbozpmVL6pilwqN3WvCfX2q8dYxBVuyKwEjb9MRvywTQAAd20GK+lX41B
7XEAnebQxhMo6iBEH6oKMrr//vR/SROv1V86UWOqBgIeTaXZ+toAUGmOgad6OtLJ4hb87//Mv1wi
10owQKcqmnT4I1iaReWasrroNyB1b3s6//uytE0lnON4el33bZlBBlbIIfy67eFXV7fqsKegZ5wO
dgMMsDVjV86muu32uFaCSUtjZxibDqtagDRsshRQPLnfdn1cK8GCQbqxT346uGbXYD6pT3vSsRs/
6dV2BZGH7gNqPQebNaIweusKSFJvk/2jq//3T9qLIJzIKnuITDQBSgmMEbHhNucmTED//ekVpXpK
Om4PrRubYmdGFxmc628LaK41YEsSUHKe6uzYdf3+cY/t9tbF/Z+s5P9lK12rwCrifbJArHxgU4J5
lMutbdPkTzXCf3v6Va4Lwg3K1UHKI41QOl+jn4PuP960kdKrXaqSNKnAzxBH+HxVOl93qBNdA3j9
bY+/2qeJHsgArrs8Mmt6CHC7jTePPNF9dttevbb7snMGqOtg5VHOSd7J9F7HN4Yz1+IvGHGNoLjh
0Ybi+rvoIfrbBInkWvkFPkNbNWKUx/1ifaR8QgvaZP62kze92qZgTjagug+0hAvXHTiArzG/zU2Q
XDt9xQyiImIMLTnkD10fPdK+fXfTUvk/ki/YCDUT6WkJdrxJTtRqzF033iyfbnv+VTmqt8nY6QWg
WzokGyzU6UzvL6N6f/ITvGzGf8h0r/VcYKZZmvmKH42N5jtXrat5BtPsQos3o6jOtQFf7Mnt1f8j
uf5PvvdP/+jV9hUhrfq1GzVyv8334NfrVqcWnFHsOn1sqg00OiCdgavJezLibt+6ANr7edCWN+aI
xLoDsxNM4jWcmypE1XdCPGR3fQxJq8pJF3bvcwQ5dnxUPMns0zpXPuHnLaJiBCNz13XU5jGRLQFk
3QmLQGjg+HQ5kwB0frdTY4AppUq05kx2BbvnMiChF3UZxtVPhQqk2z7AQs6voB0rIH5g8x1aoE7z
RC4Rp7kMsIZXd4lVHNb3oIDjds4xV6AX/MBZDP0nmxpkA53osr+MNfifp2Wka8kh9yX5gjekinX1
aQuC8LLxCTEymfvvA4q2Ysm3KYkTn7OM183XvqVK/jT1AtAPBjn3YTI53L668OUi0ruzuwGVr4dp
FBCovp0TVQoMTlaHHS2b9BCl1TaDv4mVJouV+8BMma47ix+SbOXg5LJlN5gLG4dwB0pAXwhuV/7U
xUublXFLPLCXgo+IwjKTlZmBAW6+jTUfe+g3u6EBWVUiaRYFKiSAVuOXjf0kQNTlAnMja3uqqEDY
iLOEm+UeX2sAQXrKENnlMgGnu1xMn34bneGlBwRY/FzaPZCjnQamnvcJ4MW3BgQ98UxcRUB5r5ps
qUu9Y0aFHiVws3BE2LlY9BMmNDJ8L9u2Fj+ujndZL8cYrsaIxkw87OoucLL5H2Nm2qEuhhXF4DNY
g5n8mGxim0OhewqSWJ1FFxtIDVasjzDFskO0BQcdsazLIeBbDsM5ZSikpWeu+qzJFQdumKumLwa+
eTOhJBGiGcj2AQDBh3iZAYydcEY986Feuo/bltY9iKHLkALLTNi8FUPd0BQusU3QJfKaJvuaOdIP
D3LbUQRqWLxsU+6tQzE/lxkTKSIo5wBSLSQjpHuXqGziRxisqO2hT32Cqnbs4K22o83s1hqzW3GY
uYOSk8NkLdbLjxT0wHCcVkHtB8FMkpVNNbPuB3KfTGPTGDqs4MayYX5WS1zzj5BnjebYBYExIcA1
B3a/syhVj0nj1f6r7fWwYGJmigb6PGLTNofeNiE9W5N04+cmMlmc4nhTNWe5MFTa59g5lfygYGRm
Ia9qaeqT9+vK7oEspsOXzvPACnjex5hGrz0BenccGNc/K+drBSTiqLIfjPDRfsZ0+d4U6C7h7sKc
xxCeoOqbM/yfh4j+HLpp3c8mtSF8VHucJIVtsJN+dhTL/K5W6f7sJFDvMTCu3Us2LYIf4qy1zftR
Ndv+6jHgkUboRMM3ICsvTsT8PHvX938pdG6ah46PJJyGodPVaUxlMj0soxQpQPaEpl8znlL5K/Gq
esYIeXSPNtL+E6MtJgc1tS5rGARF5dbumb8HQ2Ld72AeRL5o2VJZWo1Jx3ciNLp/TuqqTc5+aJdw
iMam2+5kmGJ+EnxT8eeYV6p634yyBsE3uAieiF0sZwzRGA6Q37rPbHqa493FZ2K51Z8A7qiGl4VJ
0RzjRg2idFu34uz0LJuaI/TTyfQ0ypX/1PAE6IsKdTf/0mzxhKOkGTZ/AGTcTXUZo1u1PqgOBsfH
ql4sxmsisdYfm2yW9GystTx3VTTxH00DxmdR97NyHdjYSRWDPUSBxwZ3dwZ12adxVLq5T5O817u3
X4mT+AUli+sEdoYbfkUb1fOUd1s094f+YsmTw9BuV8+jx2DagdnJf0vj4DnwanUPX06gIPgTwqX6
d4UtLAowilNTcACGh89hBJ8RBkfGwPIsJ2rfwYF1mJL9GMCnmyoAP53YcN7v1g9D3jlc0x6MVbXO
P/2yEvYGBMeEC0HBrUa+13jK5UNat0wHQBzR6Tz0PjUsx+xnz05aJlId1rUmOuR14rL9wW9zjarF
BrKUvIurgBgRk2xNc55BWYvyfWrb6ANnakrLhvIlKud4TWQJPPTevU3xTrq71e1enhYzRFU5+rQK
jwTwrtc4mbv2A6rIaVB5q7WTR7jG1+5eKmQwzwF1pexIVYv7zlUVG6Hzps32CNp9p4phnxJXUDuJ
CHML0wzuMKbn9jl572JlMIzRU+de2y0W6d2AlnH3PMDprh3zNVAAdOArno/A1SfnhMjZvbB5jPrv
abtl+pFrMmON9Y3RzS+isx0rwcCybT4MddauR/xlW3dgRtH5E1drU93PdduRM4ZouX5aphTMrQOO
I81LoJJI9XuHVTI8zeemY3fz0NY1tM2YwMIayeCjdN+A1W7vbGcINMMpNMTxYbagHuarC336Af9m
9rYmjdu+aZjGYyZdps1AixH2i3UR4Xyqiq2y24cu5Y7cZdJi1gU8eIhVzTplwJ/bxQEpNw1+wwDJ
KpICDYWsecXPZexl86Fu76I+pegctZWKlo/G7EN/D+lusyMq6vftJ26NuVfwSI3j5N2lU0PigjSj
2J/2WFIz4yTeQ3XOOnx6GM1yAMcePQ5kMJnJOE/n2DXS3W2OS3a5ubcGngA1XuM8505il8fwq6t3
wKfH1ofwjshNyxwgs4wfBTU433JFfDe9xC7Jxu/7NFva5YDabuwcKIm3Z4rV33zp5g0IGvyRZKhe
FMph/n2m8BLv97SbtrInCwNwd8WEeY2Xm5r14HchfI3gyQ07PuZUr8fVq8h8Eklw5nXFO1vvxw76
wZdubZu2oF0zzF82K1L21aQiZBfcMIyqLd4U0fWvHp6p8Stc66n8PsB5RX0b9ahS5FcwRCSF6dJO
3Bnh5oD4rYkzPuRjtARchXrD9YFoD5axPGKrAIiZINqBbFREP+AqH2gR41Lvzvsyqo9iwfo+qNhr
XrTbjv6LET39zFLoIgoSsqorkItSASLiIJZTqgXja0622IzPthkbjBwnsO88Wtnp4YkY64HU5ZjA
+t4No9uOLGnp+pL08QT/XfRZ5Uea9b45rhqknNcxbciXbAblpZxphVJA1kaOP4feVuIYT51PX9B/
Iv17rcS8PyRdPw44MCn2BmTxEKplJwUT1empMlrarcgorV8DlC9RAdK1Wd/Pux8xEI2519QXsDGs
VCFk0toXNaPGlDem1uOBBMzV6iNG1JJDVpG+L6e4SvEl2kYnT3SxF5Irny/BTwa1b1MXMltZWppl
jJMlV/sWPneZhmtSvhtMLX60GG4jb/XMh8epXxBxFU3dRUXSwRUuFDjd11x4TtzndIHtwV3NvcV9
L7YYYTrBAK91eSA0cucWPyF+twy9E0XK+Fiq0Cz9SW3Y6l9ZPPn1mIJ2nYBMMsHyLKEtyUqioSPN
Z5LsR4nLyLt8YlU3Py+QTsm+MNwI/ajmKrxk4QJA3aedPMxZpuJDBoLNhmsUIUc57RTHvtdrVJ8V
75n7CCp3sr7vpyUp0GgY029BV34tKt/QO4RroGYqTNEM6Lrl09Y1d42zMNagmKvGZUuKfXfS5gNg
SLx0U5ze1YgHPnsjyEMNKyWTcyCtQWdPUl7Ds9Wm+TDQjt9nvg6/KKZ/uqcUW8ec9m7e5dMYpdNr
7GHxihSIuMeaZ+mO2Cmh0+saWSjJ3SYKjjHyJzRFMKwNeCmBGznGkJ/ClKWfBh/VB5V2XOXGbO5h
VVq+1B4O+qXCMi7Ytvgibar2jlIqHxdeh/s62fS3UK/dB0lAfG9j/k6zyXxinexlXsd2huxk0UqN
+Ra30s95jWg3HAPoceGOr2n9xhOwsl0XMlliOfPC7Mu+HfupY/cB8kX6yUeZ+FBrD9VCmbpeRHeV
EavXeYWVm2FMPjTxr9ZVwX1ijPOQr63ZMkg5k9WHsr34AZx12HbYpmRTEizIuuM4p8hjWjJ0Zc3X
JLpfE4ppbIyV+vh+apJKPs/RNrvjijn/+G3nOuWFDHR1Dwu1rP6GyNWMB+bSKL2zrW3pY7etGrDX
ul917hM7ZW9k0TZ+GclC7AE2DaGHJcHMm/MQrVJ/jRqwhLuChZa1ZTx3jcsX1iIUlW4RbTFpxCg+
r0hEiM4DC0v7c8sYGR/XbVj3H4BSeYRDjcsYVrfG3mI27zAw1B3golOlpynTbfduS5D7H4aeEnN0
AudOiYymFufxIr87jMKk5AVDNR17gH6WJGUiNybPCcamtr9azAeYl2V2mY2LIOu1uZ/HmcQ8h6FI
hh7jfmGOv0NqLFJkwZBs7g/zrGecC00vfPJkDbbkB4Vk1X9VTMkzBW8bCbLx4msyExV9M+hSIk3e
BgYIIorQTYHVgWApr5YVp/s8LVu5mnrKPnPM9Lu3zONs/zLPo0y7kokxwn1V9SxaP3C/d1udR2kq
SO5cNZlCVkSnz/OebeEvinF//WtqMc12yDqQBN8H3WwShgNsmF7BeGZqO/Qr3F1Pso3S4ZVjl+FE
jMk0Zjiemk2gWNj0GGu+60jc+DuiGhWbku4TQoBcc85r2MAPyD8Q8XUj8PH2EosA4+L8u85NU+1P
UtVqetNzNKzHoYucPM+zXBi+2C79VI6p3lZQ2RlmkXgDOvs359W4Hm0dm6iQakke2rGueDGim+we
Q9fRGp9EtBgGnFFlLya7jghKRw47mbdlh0suBqTH6nGo0/Hkqy17P5I0OEQHbN/tS9Ba5xNwnTmG
wuqFgC+WdcMx+IyFogbhdDnvZEaC1shF5LPzQ2Rztzg/vxOJF81fK9Am2WFXcdyU3F/u1byewZi4
qxBmP7aw5sKqI4kh91UHZOqDrcPwWWZ4CSVxjiY6j1voBt5mvXcRotQQR6dtx7o+IQ5IxL3DFdB9
9560J6QAifw6wOJcNAWTddy+tytrGlhCJ4a3S45FxkiR4VQNyOYiDM7tokna56zz8V5M2PCfVMLM
QVct77HVquV+iFHBeEK9grDXrN+4uvfrJH+gEvMFoYdLOZAqHBLwAYyY9H2f1tU3+Fl0bVkbHIpt
N6kn52JEZjsMRvxZi6wp7B4AHIH+P75rxUT00+jIrJ+mapkfFmuH7jsA0e53NKp5Lrclwmekm3hT
C700d1SGu32j/o0jlnBlvY+I1aFrcluuvTBHDCtLnnfW14gN0KpcAbvLNtRrcRLOqO+47tljHAEE
xuxS6cHg9/SmEIzlKYMC/YxSupwfyZiN0SsREPFBFCT6ej2vvK6dxkdZQjxjorvq2sMWk6wThy7j
7bt6BBv+kGDMYfxrW1O1FlGDytU3eDUAUDuxbKaHvklDiqXZph+mFvnIKfTdnKcdDlCbr8sEil2d
Ls3PjJk5fSN+adYimDlBtiOoXre8WzMdfW3bpPqRXUKTu2zDlPmnwO1vp7SjCHflmCCYNVQtdxJM
kKyQfDK/B4Ytm2dAdhTAgsT0oCXN/lP8U2THSwjZAf6WFUUqA6j6cUuFF19sHUnMH7eyQmUwkgbO
SLOFRUGJoMT4e8aH4afWG0lwztGm69/g1Ca7Ip0aT+46R8MvpM71/jDptPptGr1LBv53WNNH03g6
foqqmLPfCZAZ7BdSywaVka5mj3KYFM6OuAlFWiejf51kJSxGjdBbojWv49c24hzVbIQe8QPzMBQ9
ynXiabm5PSaHla/zmmuzbB/giZzQz3aS67soovPnrBLJJwgo3H4aKkyL3EUDEuNNm209cJrB0Hfv
VvsZ71w99ImCrI13AHDD44QO56GRciyY7Y3PbVSpL5jU3fKRYcrHWur5w7TZ6FVwvz1xuTfZcahg
vXDQLGynEViJU2J1fKbAJOPM68n81siahRdbD5geXlf4/eRsXCr3wS+weP0GAxEkZ3PwtPmC0jAR
OV8D3kPquw7HgiQJGRBxCMwfZ7H71GwcQSJBKaGuEWV0LII9rNijcoIMnh1YVqNu4oFXB6dETHt7
Sm1s32C/3qn3aTZgCHwDgeF9ix+Sk3ZN7FLg2A7O5xNqY+TFqkbQglj8nE/DUPnh2I1V1xQpFdb/
uGhdz0OvjXnYhNg1/g0Vze9VQr1+IbXwCNhCS45ZZqPhDhJK4d+hFN0fcEz0/XFirJvLtFl1Arkc
wLCHwcc4ROCPcY9vgXJEZdlgkW57iJbXENz7OWq6tejZkuj7KFrNfoL92P4rYsAm5RpoyId6HzZs
nyrD61A+PihJl2Icnb8nQ4KAs2n7h2Ab9h7q5RETAvB3RJ0DRg2EiupLtENOfswwIRM+oc60rbiI
5jj55bKpTgUYOGpHeWDWi+3PPToU7bdmH2dT4Eth4D1TDSJznJh6NUUzVhb+5TAvkk+wSMtEIT23
y3kb6JidBLDcQKNWK8/aPGKwPTx6SS6bMOrWugZdcUTGhMNHld0+S392GMqQeTpsTmMbo9/1e8Hd
WZ3t5OK6XOGoHUOJaVKavA0UEVq5ejk1haArx6yP40G9tRw2NWUMv/n2i0ZBg+amX5rmU7ztOD3q
KOLJPReJYYWRqU7LAdWwtRj6FaWtHENQW112mEKLX6gdp+wdgCDtmge4QNvDEio25CHdKSIYaRP3
M5pAVcgZRj3kO7BsVnFqgvXiJ8cf5T/PCFD5I5sTLQqqhUpfde1jmCZbJAVNOxvzPmCAXx3Tbo5N
yBmG7VcUMJt+r5GoO5QcsKg3BIXAplcjWNdyrp6aIW73c0LjrX+SFnXanFvi4Zdum+l3zEjbPKd7
1UPcU8Wqv1uyNUpfMWAnOPbURHaP/k8f7BH8Rj8dIRezpkBXhS0/em/mCIDE3WXnSKOc8iXW5vKF
OBKfMpmk7TC1iATMPC+oH6oC8xVuXnJ4sSTpQ8xThuSSuai/a6GzWH/4NMi5rDiv3MnjvPblxKxV
B01INpYpiDRO5eNkQnNENqjlQ0Vhvwbxpb7gwUBLG8quaeV2X7lYZAXmRGrJSjgxxNhQbWXQz0Yr
dKjv+bqRHTGLs/QORYIB3foRsV2OOmyickwW7l05YhnoI92WZPwtWqZ0hNwhoY6AdwsTk7+sMhrz
XAodMofL1CBOpEWkJ3niqU3DdlZJRrI3eEYb9+iR2m8Wf3hLO4oYZCPDCxOt3j5H+GtklDeJI8Ny
vLhZIyFds32lz8slg36ookFtCL6gl4XBVKjq+iWYZEayMi2EY4NThZqVKNBrYchW49nI/mcbkF1D
IBeEiX9Pbo1GBAOCIWEaHMZtV9Bqhul+lsOSvTAcHjVCxazbf6kG3YhvXecHdaQ17SOPt2tJDxYz
n9p3FOE+9nIqBWVHi9Bo/N1YynyWu0TCrdkLumQfE9TnWuBfUP93P+REF/Vmo2WIXocaDZ936yVR
hWNByHRaiHWErzHG5uykz41B3wuLhFpynAQSH34AR3EZHzABWDNf7OghDch020m0oowZd9mDt+gk
PSK6zvgjwiI6f+h1p6Z7URM/nKMFrPRvJI6ruOCXmO24DCZaci1SHz0OMdyp3kXLvLQ442BDX0hE
xv0hLCabntvZYdDFsFisH3cNXWCRxTOaPC3RPSxmpjpyPzM+2+oj8TMO/x58g27d76Md+G6ErPA1
1GdvaxIQTwFxXSRic8tdGHpJ7iZU2f1JK77Hb6gqMnbfKnQCCxsbCAAOGDyNp6zE2txR27pU1KLj
OKXpUhBuuijHnnvidg4UvUYGe4xjnEBaPR7bKEG/h/do8YRcA7GW5WHcLCunRjB657ZF7neWblHc
w9It9YtETa8GK21YZNI9smSa5zc2w1X9t6jpYh4R2LbiqFmzyA/eozVT6jrrakwnQpD22va95g9V
rXv1wWd4MQ8hzdR8Hy9A6jyt+K0piOZhZ6/dIkx9v3WTVJ+Q6LXVWsQLouWx7IbMoGxN4dHWxsWC
zWyjAt4fPNgSfUCRyaOCHPBiYSy+wsEwnpNCShhgmoNBK2hezgjAJrxYJzo7veKe7lF4hhgHrTTE
bjJ8IHjtGK6SrFH7J3RPqu24Yicf5b6LRyTRPHpIo0oisOMx3OvSSxsvS09xx7k9qU6M7HHXA0Z0
kzQM7qtvFwnTCrXAOuToaruFJk88ZwI9zhSiq3ics7XgKGzM38wKy/rXAbYLc3q8WL0mqGlsDHD3
bNrl2hXSeK/KYKYLUc7N/JlNFe3PFMPl/m7s7ULKeg22f0xn+NSgRBqj3zqESSzHFkX8JI/mJImO
6FG6ttRZLZF22nG2iJCIacn3TYAi/1Dtdbe9hyUDdai9N9W0/yI9I/UPq4ZYn2OCUcdzjKrv+ITx
8sl91LCkRmzTM7o9JjSaw19hZJ19DKGOZhT4tjQrdolwJEd9eUFvpZ1niP1GR5+W2My+cAHg0POE
n9CVy56mqoA2nqNnTulFo7pmRwl58LNeQQb+FHtVz0+T25P+XgB7t1++tqgw6yBdABl+FrT7gTJf
RMqOZZGdYdaKfKaYe6x2c0BkrXBB4iC9pPl+sv5FRtNKihBFyYTNko0TxiUsu7xBaVGuQiQxMfky
i1X/D3Vn1iS3dWXrv+LQc0N9cDAc4EbbERfIueaJxeILosgqYp4Pxl9/vxTltkRL8rWiXzqscIgq
VlYWEsPea39rbQNfeqrSt+H8fHxTAz574g2c+NjW/mIGgvtd8WB1ndRce7FTtjpovB6jPxITi6JU
IlKxsaRjgNdYcRtdy0TpacdtlCzEsajS8V1nczNf1qsqneduHlyb5qXNhtOyqHV+9lTZjDfnDEfr
0JdDFJSE3bQB1Wh8FsubeeSZywDz1lsWX536BKfBNYOSkgwGauMVaavNUa0cFlfajn7FuNp6AcYi
OW1nt8lR7bo2uQeTMKmIRpYy32eQjTwX2bFBdqM/epH/QTXCB9euBPOscV9FXVvrIMXvZwe1B0dg
hcy+u+EdISlGvEWwEfoVtWJNjcDVlK9Z4HCX1WiIRY3bIyCknr5zN2MPZTlQNdtu8oLDehm6YJhY
YtPuy1E7aRZOLfnh1KHCnR1z01kJKMfmP/pOE89rON6eSZWlQwER1AeGp9soJCjZerL4buNinJK4
OfrJWfuNab/n5nzPtKObWvbdFrVgHSCVjcg4/kc0zGJeers4ENQ9zxvhZvUQrEvi3DCwqoaNG2H+
/nME0/fJQu5iV2Vd9cVW+B8z+9Edd3+OAToDdr90RhbWyLiG17XSew/RInX+pIXm+zihmrRGP0qV
2vGYFIhI/iiueu7W/b/w8P5OYBUjg1+/daQwqSHSmEwYXH9tUqf6opyMmgzEvmsQnOSYsRZA+a28
nXukWxqszBBhbcx8Tn98+M5U0W/RRt+BZTEjmjk1OrWr2WZabFKcIVfAg21Ivcb4kVmc9y+SBn4P
pvqOBe3anlPNstwdgQCtetBLHQ2bJqbO3Uw8mUgnJZGkoCqdl+pfHOHfgSy/TyfK4MN4mkhn53rs
5NDEzmxbtOZ/8Qv93qt/R581bPTrVeI7kCPl57wzP0xeE/0LXPz3Xvs7PJQyvS2bOHJ2C2s/gqRb
julQWH/yxb8jzLRp6qoeXGeHBr1lkJoGkYny+Mcn1O+98+/w0GgeU+34qbuLhdHzTB+jwEx4+v+5
Vz//1F9c7TJvLOggjotcS7J5tc+WybV++OMX/50z9PtoIrczy6mZM06XRPnyrUdTmkLhLpK9Qp4s
m6AZoLEPOIWc5k+t57O+z7NJvHhSxAg5O9ahOs922/XXmYm8+se/0E8319+4ur9Ps1HZYiELxfau
9PwEBdqvlonhCv97X0ztfrCpvPkvlW1W7j5tssdsTR9NzjTnEPXpkNCrxMmW7Yxv82ixujnQipLs
27v7zy/z/4nf69tv76P/23/x5y91Q7MfJ/q7P/7tsS7557/O3/Pff+fX3/G3/Xt9/Vq+99//pV99
D6/788/dvOrXX/1hS12ul7vhvVvu3/uh0D+9Pu/w/Df/f7/4l/efXuVxad7/+sPrW5lWG5qeLv2i
f/j5S8e3v/5ArJL8xSd0/gE/f/X8G/z1hyBNXrt//ob3117/9QfP+xH9xqGJkkKaWOI5x6f3n75i
/QhCr6SL/uJgIzsjoxUbT5O//iDVj44UyvVN05euhFf44S99Pfz0JftHvgNtlZ7OsZTJXfDvv/mv
Ppt/fFZ/qYbytk4r3fNuXOtXTwplS+F5lmmatuOwP004/Ka/vARb4iD6yi+tfROZ9mMW2+tmWJLq
hLLXb8ZsHvYj6TBJXs4BNbH3kqqyvJS2M7RMTYA495Vvukgwdv6cJUl6zSJw98r0K3haHkaJH/RI
xIwjOtd9lutE5TvRUl1GeVKzkkC3FdGRi7uPwb2efcutv6610s8JehuxeZbUN64y5lvhxaigvTBC
u6Vzn4QnT3PHFGLop/bC7qv6xA5f1r/4lT7ST6h5Y0rDejbcVdoXje6zi6zwrT5IPbt6zNNoFcc8
tY0LkfGDQsfORsyT7uiCK5bR01xnlG+O4Vy4JAt94ikDa5gZaMZhq5b0A6Mj8RQ5y+TvqIl5baue
QVWKjHtkXKzyzY8jZkkAvPWJyXu8cyh/r894CPGLNOOXoswQWLuanQllrUoIANfq7owG+ikoh3S5
g3nLdiOwxVXl2fkYiJxdwtScTjncxHoZvsIRG/dM9CJGIWk0vTYMc0AbjWgEoDGW9jqZcwf6SACp
7iIyfVxmiWN+16/LcnSBvnbDgjIWVC1CeD7lQKaDqi8hMJ1jZpoxQTw2umSpMv8gB6cjPdL6muhC
tfxabE2GS7O7Q2bk7RDUvhi8cNaCT5c+WuYBTX36CRIpB5wBIiXRstn1ylQPTi3UjuV63duiizTl
aETDfjAy60uTm9OLqUf3ZDRZfOEkfX3neot8muyqu2IgmTlhsghl4FQQmbFlw2JVBrmdxX2oMtc5
DTEaf5HP/g3QbcM+w7yKQ6J5ytNCKDUcfMYYgwHV3eo06oIl6tPWdAfnU4kS/UjEkX6wBRF5B0LV
xF26GnTUzBUhNTNn9q8Fm9xvGlfA66rc01dO51mXTqvkUZiGBNpkE/Nx6FdZBtXEIUWgyMuDafjZ
XRoPkxXk/jhfRlP/UIo1+uR3VX4yctt+UV3pXihjKQ6x7CSHqTb9627gQAWOqrweZq516rCiIaQt
9DMD2KTu1bozoSuqwOtX69iPPXFGlttLHJdjd2/U7oqcnW3FlBobp2k/NU0ZITzW5aZFLPvQ2t0c
dn59EszcWPQQ1RtnsW90DsGlHAwVvk4wyNvPUZJuy0H2u7pWHfshVXJpC296Qwb9Yhpde1263UPb
NV/9tI/CyELL9GmXm6YP9WpPN2Ubb5TT2NAtZzBIurs6xT1wEzklZ73LJhF3N9E9V8iRvRek9rwE
uu7X/QzfrgM7G5xTB3A9CWvihlAm1sZfdXnpKdvdchmOTxVaxZUhgAcZfpBDaKOF3GmXjcfomOcg
yFUYyRTExux9ArbJq0AzGhs5XePkS15xT9xwN5HztgYJ9U/eOifJ3ho4OIFyCgP2wpt4k3yTI4Ka
PTARV8I0GJeTo1HaJ0/lb6lVDeiPDG1x0TmcFnreI6jbezHaYmvHLQBgp1bWvAixL2O7TOHSouhJ
cWjDQaOWTA2qN+pG2W3yBBAeiSZut1Wmhx1z7fWKTlI8eFm3fvLglKxApt14wfS1PtLl5reR9KId
49v0a5NOkUbhBdEKQFxZBbAwyk8tY5qDVYLnV4RVvzR2IQ5tzlQfQ1GeHpYoRUCF9INB7JW86lyw
Biv30wMLk7qPtuwcToeFmXxEz1s2td6SMTE+iMLsPhpw/idVtgsSdqbUvh/QEDj+/W0GOD/S5tjD
Z5bp0NRJ/0DW9IWZ58slBGXxsZNxfxHHrLxYc+NhaMb8mFVefo9wFt+4ULo30sjLvVdV1m1bXTap
PpbjuNwKnaYb2IbxyfetcUcrXkEZz6o9rnljXIu+Es2Fxdl0MyG8XmYJd/gwRwM8MaR6iXxfvyii
zT606VBfcZjzuzJf7U/aqdi90KL/NGGLdnMTg0dfkpICWCFJy9pkg7a2pLv6Ye948iop12rdTNGQ
bm1/uCiW1Q6TlUjwwCDftDNGxjw+W5Ue1omAj2It14do1VSgERDVs+fP1nZp6MzKxLZOqgDRDYZi
bcLezbI3kOvhaOJhB2ZjVvRQACXshvPPVmlq3Woazl1c5stBmo37xZySZe+y9qvZeqVcQqsqKnRg
c2ZYblsYgVQfk3phx8V+nHjcN13LkMF0AU3z6T7xeycOtEGeoQfrdfTXJcaswJLCNIqKZ4PA9yeN
1He5UvXmgalaeWrsqB3CKrHMYyyst34R+QajRv4Z5ydZVmudNU/gUhD0NqVHtfHbTl3OjZddSa9f
vKDn3uok5SuAQcppnGfXmd3FN1bTM6yO1ihG8ppAGxEQkVHAGC1ju8RVfadsz9THqU3Xx1pSvAVz
jZtC9J37ASFpfCKZ6w1HQb3u06hnnB4X1o3y+/gd9SveVW6iK4ZWM4BHD7tFOq8/b8Fx5YesU9Oj
4lbzGs1k4YYVLTvujVyguKrMaZ7UkhXvEJh5SLhpsSmTlHkwetZLkknpHrqstW502yBMcROdYzQz
FlVlp7Vxxo9+FH9Gfj9waXkXLAvOtiXWkwCA7lC15oNY+ZyXrJ5OCyKbU7B0R6CisZhrWo9V1iwS
dIiL5EBouHPB0mv3YazIwjD6gYXala+PXpJRdDhr3n8G873GPcMHRbtzlOhM+zbjYcpwycg2kFDF
pnLkdBdHnNNADjxaS8vHbRRNTwDXuF5Xkv0A07vbQtnzUw5FscHZ4QR5UREQ3xf2VtWO8ejNajvb
CyYWIb27qYeo7qaYes9Ks2dzwfQwQjpsu7Fq3oDY8v1EAsY2ptw6gBD5HxFxl5vIdOu3sZfzboLI
ZNMZmMlDZ6ftgWgsChPZHwBIksukHpYdKHT7iYCB9WI2a/crU29MDJFz08guvSgNHveVbM3PS7UQ
I5NmnoRbHnsrCZbRSC8KJHUMS30+f40iMV2uSxanm5mUvevF7biRTHP9GaBZbiejZ6zMnHg/lVN6
62J22WE88HdKm/luzVRzNUS+sScVtQzNyHaJjp3fSnftb7HcXLM7SR9MiL/NYuK/8jT522px88tW
gzgvw3RJ0ZluAAPtm2KUxSFquK2DP5KpRZAda24uF03HBljRmP6NiuN+V9b6jN3HqbqvMRNYYdsI
c5e0xgX3RHgSWWTJY9lyXw1q9mWloZiGjDLCb9cLBXe1I+LfuPcEXPULXIynTmPUz9gmGpyr6Ev2
V4osmAHHKs0PPKTa/Txp8105U9yeVjxyLfxW7r+Ng2eau7XjadTb4/TgF46C/BrWK9EbV1hrnXuK
yeXEho4ksESfEzuc+lRzAFCBV2bpgsnH7KNg6hzrscjN+IDroaek9KPNpLMLy2nca+4Ieuu0cXnp
xnKEfIit9CMyjXUpSwNPM3Xmet1pMi2CRjA6KaisH2rY30uuV2eg9gJ96tplvMsNgO9gUa53ZRum
FkHjVqtk6muLDayb2W1msyoeVtOV+LKZaL1UeVJeWj0WmZBVas61VVOhgG2CzlOsEkuUxG59C/vt
uGFf9pEbMFJK1zBvu3jdxquA4smjJnkW7Ne96JoGuD8heuMUK0oMVuIe67wor0dGfAU+j/JKjq66
I23UtijACNAJs7Iq38AozM9xM3hAJrl6GRJzOHqez3zPddO8DmGc8ySMKqRf5uke+UAVmf8bo0Yq
20br5D0CgENSdnm3bGfWQKOxnN0OrQN75xd4REme2hiJb4YLq3323LVeEXx04EtGzYlnJ/viPIeY
U9bUy/hWts7X1hzjQ1TVxnHOItJ6S+MomuRgO+n1WsMqjG5Tboos1g9i6vB94GDaRw65azl5bmFh
EwF5bjGUKg8ciDUELqlqakPeycl1qq9i4ZCksXGQ7iwCPog0oEU+Wzd8A7NV8ux3UxEiiz9iz18C
kxBJg7IjoB2cdl2mb2jnMZ9NHhmifbsphXGwUlBzmpHPRmRd5k4GXsRapRWyMWC4/UnX8iIWtGZs
jEJXxPO0gQtfgrxO9JG1Yuu2nMwxYKHhuonS0mLgPmoyDQfe50jSietPGKeJfgDfhCedX8ux3fRD
coDPSjZEnt+sg8pvJ6skFDsR6xXXnr1vrMjf8OghgXFaOlyQvrROGWD/fdR4+d4GggnjFpddKwYM
k3YKi200lYUjuc8pSo1l3BNTFt3BYJhRCGC+WKHhD17LkivdXbrLkKXhUHB8va5QUOEGJItljwfb
UNGHwZTDR9ZnNFmYJAUNS6bd9GLuz9TRKsfxrhBZCRIVN/6Hwi7nV23F0UXP1M45dFETUNA4H+Op
GeKthi7MQpNx33wSLBq4d5t4LreuZTGKZSYR8OAQz5idigeglWYKjM52xd7Ii/6klNLUoB6MI2Po
5pnp2YO1cCoK7T1iOnEuuMFAYKeNd5gLTBkNg/fWndwtHi0Mf72/bUwxvssFbJfqVHjXkJvegR6r
0lxyTfGyeJ7LcG5ps6DuovETV1Yapk4D7VeWyb50Z3c/Y1XZOiktnATUOmWrnA/aQyUIPDjLbSq7
5gInLgIDvqDpQwwt8VJjTNunrh4Am1SvnjwKF5shDZkOQZRZ+Tdd+n9aV7tKv+DHrL/q74W1X2lx
/4vUN2WblJSu4PR3+RdpnVNQ/vPvmtc/iXGXr2+vefJLNe43X+BncU78aOGZtVw4UYYVjL/+Ls4p
+aNjmeIstNn8i0SA+1mbs9SPRC56jiANR/mudw7v/FmbsySKnvJsU1gEvSOoqX9Lm/sp1e2fdF6h
eJlfaXKATnVu5jo5/A7kavkVD3Sj8vYDxo6T0I461dJDZvtt5NUxouG6Zy/cB+pC3w7JX66aXZeX
FArp1Pr3ZZP1dyoX9oyUAmEY/EzDNnFMjEgzEpoO6A6J1Gc8Aj+PEFTNccR/cdVLxzoVszm9jtFS
fW6SnLS2zmZVVF1WWLNXJ/XjsBh7VxymxXU/dUuOL5r4w3nZL0ILQdVSjC0+P4aYYbvQqG2GBp/s
KTuTtligCL3J1q59dNRQPgwe0h4L40aquqVzXzD1lbfzjNWMKu8M4nbZWhQ7rvaEBtZJxEubLTlT
ccvoUphxre4pjKgMncwav2SOMZ/8rLRP5hDH9wh+jJTOxK50suFZRJ1zW2JMuFdl7u4NbfsHu2hW
fHVztY0MlpVfjo5rbZbawSYUu/NGssTY2/2C7vWnmc/RKPqEtQjSHYegBEC+IATZ+jpF4/wg2nh9
JxUcN3sUN2SZy9y+8YclM0kM4JlMLFoWP30jgoeh1LdJ44trNIGZgO25WR08FjwJ8iKNmbrH44Sn
zEXg8WGrAndS4skjrHUJfLddcgbGhbj13ER+zswJfm712tCUGgsxc+z+tqxcg8R2qFe1LZvIR9jM
9WVWJV0btFZXHYgKT/ujDQOHR9+s9CfYY6PbOFQ073EZzY/OWBNH0NsacuMbgRxRvVBmuH0Yw4xS
7fg2zEyb9f4NrBX+Kr1k5CI4/mhToxtFnV5BaM8puENb2wBHlYEMaa/qvcqY1m+SgjStsOHJtW4J
9gYm+0Yra6drPq12kXwUsqkDt0zn6oZtZc4YUMIsPQejKKeDU9EEhhzYeQhTalyO3zhASlv8oHmT
Okty75hJ23H03fhjSebK1zRrKGZ/ApvzyNUHL2sH80sDD1gyy8NXs7fKaOWUmh1d76Dck/p2LKR5
OfhJFQUowR4xGVP/ZXCTeWt0zVCRJVDy5172xiXtQY0bdhj8T4RHrtmtTkYXhnCOKJOmpXxqdWy/
Lc6avswsu8Is/w9E2sR7vssEQmLI0Gc6NolK6iDJXCWCb+C0rNrCC0Wda6i7cwbA4ouFGeS6eO/f
QGq8bhjbVOFkwThrdSeGqIeA/2+u2gCyZHLk9M9Zlohre17XnYMNpqb9nV2Pws3/mbimnHeCzpnq
i3U1W0x8SriUnRm253SMRvpdX4O9njFsyVIzjkV5po7+AMOuNKkNgRlZa/CNxS7EVOOncUYnoDV3
t25PTLy/FnMbmCBYPlzOqq+KvFju/4DLVg1G5UDyMb5AAKxv2uhjdyuRy65EqY2rQSXxFYpInoDe
2uoeujF9+EZtF6NrHsXkrgcyBrt7GM7xpo/xxAZyqkh7xNLzEZOo2o6Eiez6KIoeNTV5Gp4RpF1G
8DlYq9+kW0MLAhuB8rJPVTrVN1kBud0DdGLinNkyemaYkOhrL1ySpDb3v8TCh7xJyEae4ualqZv8
RRG/OZ1+mxIXS2zeWOUEwlnodjkZzozvbPJ6y9/X+FsoaY0hD0VvTQ3nalZ/LhzLfdTs5RwYH1CW
4pprs09mbTcfnXaixG8xBReBHGzt7MgPlUlY56xXZZz4m6y5pt+8Pfc27cYyKiEvEpwt02bk8K9b
EEqDCrFZxvkgQY7s488Iett0V/GaRikDI38hxiOW6OKtKj7PSZx8TYil2DS9SB+RzXuGQ4XF40YV
ubf/xqoXca220WI2Z5+9wqVXCaIyjLqdT/bYki9DmVmchml019DBq9aHBe31tcgAezbkIcMSedF8
OzUtpglW5hIuXybiaGo4h5GEDTuc4W3nXUvmxKXVmYYTyhpntGisZD/ON3i1gJax8YKyd/244k9q
IKZLJg0B24pEHpISnX3+CYwXhYUDPp2GgAAcvqvmHd41teqfMYZPJ21QcYTxop0ErlWMFLLfEfOo
gJS3tu4PNLl7jYHIDRazeCm8zr/QLsP1LG+Bf5KKTaWJNZkxl0vX5oxDo7Osva4V9yFsBJ15b3nz
nTRrP/iJsS94GvCgTkHmfs3Z21Wv7+k8x682D589wrh1snz3VXUT/dPgF4cVt/VB6r5/smYHy3hO
xEiQnE1WGkf6Ox4aIMm6GP3bwTStXV7gXw9X9lmfTNI7t8CTwwFT49riUSAibTOl2Yz+2OrLKq4F
XFeUX2GvnIdtNlXAYiaJK0uINkh/rF1Ss8JkNMx9ny3+mYFr8+Oa9vW9zOziNHOqXXoeWgNtoH0x
JOe+KW2G/qPPebbpncr74uIbrAK3stsbuyy8+6oUCquLZtOd3URRIGeDSR8nzCaCr7ojUgZ4u1hT
e1uC+B6Eo5snUYl0T0TCelnTDH4sE3aOBRPKBaNI3C0IqZm6rsi5+GICWuAdOveSLjlln3SHg2bV
rX5sZd9/mTGg3boangcZbfHCKc/i697p1daqVbKfHEFyg1E0FkZqR6pPJZEIyCxDMT+5dmp3gTOV
RD/go7opI8O6zAYMr2FBqwpA1mjWy+p6GF5Ge1FbNbbeg2Fbo+AGEMUvChWjZaHWOH8y3MT4dHZn
nRvGbP6AsdvdJ16jbnzhWid/nvKvvN/uVsX98tlfh5Qs52bpKc/IA8L41Hn6EUihbBn9TbTiFhi8
DFwHP76HsXHHxqHpw2q7WPLbqnxlPE6p0fQ54qgm2IjBQqerLpStFe/5qKbLb24JlUbdXdoRgUL5
4gLr/dI40QxJl55UBqO9/6V9Av3dRZU3E/O6x9XzLNU0ko3Qi3zZpexCMBEVPFRo2j/vIo3VWoa/
NFl4K7kT4cDWcT9kQ3j3Mum0yzZdmgi8s2sRXX2zXmDDIMeCXQVrWMtUv56XI8hzuIh5n4+K409E
GmasuMyGg5zL4oNtJ+190xbQpx390H1GmMRmRHcJDaiBi5TRw405D+I9NVuvQHoiKATX2cQ8VEk6
/oAEHOdhYV1FwjyQkgChjeAStj7QPm9MgxbmFtvZGO2mEWhaFfg0UbfsxguKsfKsTc2jYsRODfsd
8ClgMiKYQ+1dojoI95BNu8Gg6a0MftEMs9LAhFD5hvnkO8bymnqGePO8YhgO9bRiqMo76GWKVTZH
Be0ArR0WWdZsi14nYWIX8VcZ1+m9XpEiFkwk6Y4acy3PXoLtqurubvAqkFzVcYtiCsrAgqqNrY+z
SUpQ4kEaiyH3UMT66NWfWnkvKkqMLVWvb4Rd6TvFdm5IhqG+LoyvxVCu1GhDx4iDXzxY4fN3RlTN
205ZXCbYasWGM3swtzgm6lfLbxvcImNcbHHtYAFr5HwLU0yMUtVgZg9E00UJQU+dZKjTJrdRkdtH
FsXFN/hhyw6nDINvOiDZroRUTrBTEIBN/JQx60Sf76zmQzMpj508flR8rYtU3uOTRNQsBKtACkYs
GyNjL44ayK/qutk4aKvTWzeymjiMBBVgsMSd2BDyorfDKjgXmzR3oFXj5jUpjO4in1d0y9lc14OB
jeHrguVp2UdGqeYrM0uNx9EYeRUvQZeLFdMOHu1IoXttDdGp5pz+spyHutQqZnzPk5tYC0um/gU+
oerYMMZrgpkNdnsIsSEcW5XtFM+QbdyhproyycnjytR6JNMiCwyhhq2P8yEYln644k3bJzAP8ZE6
oN0iSlY7zJsWQ2tdMICdGAMF/tgWIZwGOn2WD/e1PYBZlNgP+iAi9gKEQaR3SqzF1mz8hJgNz3cu
BLLtlgou2ko3+kyd6u9xCRX4AAj8tn0//iS7Un9ezpRNYGCy3MSLzD/Ffa3u4tXsZ2bRZXaaaoOo
AKPEERTrmbiq6HZJmPeYRPjdkYnLdSkZZASR68wnrx2nA7F48QVgfc5xd9OTh40nCZkmOfs6F/K5
7VZk9Dqt3XOFXlq7RIg0xvKJ6yjQDEa++HkqPjvj5B9SylKcbHPWXwHNDJxEZ9i8G0tqVyPNMMQS
YH6s64Eimi1L9SNhAt6OEs69hRS2H/BAW0fl9hhTeoexJdwAeTsM4h9bsklIjWPufXRjz9tieUse
ufSil4QVUEnoRUPDWo845e4yjGB5BesJrzFJJScrStzb8exmgDtHoAY7EPmVY1jDgW1P1nUqVxzU
UZVlNx1BQ8vGwa29AWBWR4aeC/YnhjoPbG1In4ZiGG8xrjpfuHbNWzPp/Pe2T/pd55MnELhySYzA
mGzzWZL2dUXqbnbE4pNdKSGYaooRLaPU3K/wgUjyAhgtHBl6JpuhKkuC6Fv4EN+YmX+5zSYq7PnC
KPhl87NPiL3quNc54rW7dUg4fu541CX8tLbYET/DawpdPESyQIZMBuM8smEOFTTJ5O6AwZswseR8
VdcGGVrnysUJbWxqjyYRXzvXHrPb2pZfFc0gT+V/w9w8jLV+y5lbh/9Bc140UWUVB2txqGh+G+ou
fMxf33DM/2mp8X+RiEhAoDAR8/5IOfy/3VC9fklei7/cdq9v7/2vRMR/vMA35dBXP9qmI33hYX0w
CZaDtP6G9fnmj47tcwdxTFOZP8mDf6f6/B9t0q7421KSV6Qkut7PyqF0f3Qd4Tk+L6fQI5X8d5TD
b6z5P5RDhW3b94nasbl1Ss9R5nccOEOzZkmx2B7JzYoz4Io+v1G4E/SGzWx64X49FNmhLPDfBIoE
SKwQXjW0G0pJeTQ8O9u6JoPjNakcaD6Rz0iLc8r/91afvqxp41MPEiTR0cJ38WmtyU6snE5SwELq
xNe145TEPdlL8+IWIqk2tZlWZMlUZuwGeQzqs5X8Bh/6CZrV1JgtEGnGLXllsjszep/JDcjzbcRW
V64fAm6YV8vYW0MiviYWrDHaOMw1WXahBBSSh3bOuj3pUCP38rEavVtLtqDKNtgTd27HjK8q9Nw7
jUcxIi1vVDb9D8xN2Bptzy3MK8XXJCUWcdvGnq83tm3Y9+zttFliyF3rY2sXcoCMiJYvlmvo24aA
u00/46AMkTfo26zOHl8TfGxH52zoD8rGTV+A7nqGJbbHhoNaiLt5culiSukez8x2QJQqU2MvqyRS
pTkhFHDH+2hOsUdgwSrBeKTAPSA9NWShtXa5G9hLxhqOplfWlSzN6WqaV+PCKhnvtKudrtdWSpbn
A+mXZDx19tLGO9IFLf951FV7RBPtTfgs9s+Ea3XOwGDPjUEnX2BbTI94Fh1x452PS75lp33v77JC
JcwQwe7o2bqOcBG3aT5Kskq2/TKeD1ZyhFqtQnIlpy0vY1+wYLWl1SO8ixJ1hsBjU+to3lBXxGNg
4BwKs4mdOmZUwaIMYr7XqfiaLSzYqjA5hVMvIxJhoIbI7SPVuzXljqyIBR94tF776pwvaiHaAdro
XZqbSxXE6G7wVCSibCyCOR5Gf8aVaGD2gcX2T9BJ5ZZ8moc+8+JrqxifZWOBk7jVZcf5EVIsvJll
eazG7jjNcbVHIi33DJZkCGSRbq1VV1cx684x1Sr7vrQa44j7Pg8zy+bQtbi6Sxv00q+b0+C2l0ls
2CF5MECQEfNmU/RXOBeJpRrL9rJIJsInwAzf7LEv9sCo5TN9X3U9WrlzGEa8jTjcFgIYEPMxJFBE
0lttLfL27lVn19ddRX6pnTvrdvWVIGAwEdFTXMwPuW7agGyr+AhbsAYtj54TCbI0Lz47ddRs4e6t
s8+1mVkPpGTlu5igC/IhZHTOsLe3NtRiYNqMI8fID1NTD1ft/2PuvJYjR9Is/URogwNwiNuIQGhB
LfIGRiaT0Fo4gKffL1gzY5ns3qqduzVrK9GVmSEY4eL853wns7l7BxEFLwk70EMWVTdD1SBu4FVZ
9BKafgOn5xJEWbuU89Q1SxmbqysjoZTGZqgbNIvhztKvYBNHuy+K6lffxzepEt1Cwpjz4XZ2S7AY
zqXr+JbBGu1XEf9lUY9p8WIRKWcxMh/YToGN5doCb+4H17WN6AvvRptnor9JzCe9rA4V1NNrSpGA
sIeG3WDwcArwRGg2yxqU09mszBy2Xzpr5CPCxZxhUySS0Www0V4pCJ2zBsncYhVjTlq08CdyouZL
5TicflBfXzSeN2zyYPajzKo3yD7q5EapodNJA9ZHlvd2FyT7TOZk/vUM9pZqHN+1RstPzbG4bdoY
MICDHaqy8/lMJxGQ0Ckf5RbAErckTuFktBID6J1lFSQJs5pjMqix6YmzHqd8M1Bnz0sr3yYvytVH
yp8UBX4iUJkrDLj1fuRSsI6E8vwO1tcSamB+I3FXLwhw45fOzPQdNadY6/h3efFKFjfWFSOAku3i
PiUjgANMb3051e6z8ozwo0oH9U/Nrbb85jl3dZJytmXiidcNy/G+4/vLkrweUnK0cw1amVaBUFfm
V1xOl7bIzUdVdhZrXBmnK5KK3AQL7EMPRa1NPs0W4qMPay85TqUSwk9B92w1jvj6orn+9Jely814
oXTlcERzOAP6tITlGAnoytlJcs/qMgLlaGg/mRUQExOvoaNzyuKoaA/yUIEfPc1zn95ELqKHVVdB
ixHLJKLXoWW9a6ah2djW7Gdyv+USC9ZEO5IDtQBVjz8dgoytTl6QtjulnInCqaQ4zLhP11l0vW6S
b9sC8vD2HsXZGIz7GaYbAN7QC7on3L0V5CAimw0uL57jAEWs4xwCQkdyrRrZtzqXPr/SwiRoK1x6
W9duNDLjA0THbOMIw4bkhXK3RUaV+dGxYtf3GptAaD9ov7CATPu2pUgUebSGA2Tp2l2agvQfy05e
GJOYN3ilwvtaTf5sNukafjDBy2LumQ4korzkHqAIl4nJBVlDPhdaZa4G6AXLLqurNc46HPD61PkV
gca1Gbr3kXSBI8sf4IwOg9e9lZ3Y9BFsVHQW61wl7wOGZcQD91gixCylNjcrN0nau0hP8cWXvHGc
N5ZFr18H+GQdtwi58ZuopeHnnOkXvTOgkBZ3hurjcxTk0cIjXH0DR3HrWMxQ2FaQtzs7e2qcqgyQ
S0xcok5vwxGr2sEnmKUBtWuKl2Qa2xXTo/dRRXLZNCA85ewVW8Fn84L7SdzH3FUcNKA7ENHNJzZg
5qqdbMM1pEs0LneWNHYycANEVQyhV3xkE6p5Ztkk/CAsehYt7IM8V3M1GCzKUo7P3jwKQqq5Xr1N
hp2+dtiS5nsZaGiPU+VQjASkrn4VZhid3arjghUV9rsi4rpIQVKZVLOY2vsQpW0MvG9Qy0J02Hs0
kCpO5AxLI8cpaJpk+cF/kYY3vPzeoEUk8p0wnTcyQ5HI6l6enDFqTj05eZh9cRH+kLkb3ulWZ52y
hPWmrhX7PGbUlW2NsW/bmvtQA0LGmWLab5xqU4ftBJlyq2ji2zNX1gx+miLSF22mpXdItEotYcKY
sa833HG5NuVUyVBwomjG4dNTr9ORfGvIioWi0ACgXIIhDM95F3q8nUbCtu/Msy8Krb6byiR/Zmux
fvWlzdUzaTuDJRJiqVnVwIvSBCf+6PbFtpqgU+9H+Kajr2jofrJlkp5SpsJnwgHDXZh43ksPEPEh
zq0rhSAI72Yt5chj6k1x/8XBRDvhp1vHbE2MGPW9zdjnENUWxnxgT84xShHOMNTXdKQFZesbjfFK
qD3eR47A0KhPafKaARp4mQL1OVQ9sU8hhgGDYMGsOmbrQguVzHim8Udj4tlaBGNfo/YXbv7W6tFw
D0/IesGValf8RKnlgiwGL4QEM5hkuvPMH3Nak9Mm1vAKgDa5Q9Hw3uANjg/CGotjghuHCEdhoCly
CpdbK9GHzLf0DGnoC9EZm7PNhNJKtpXWo8WYqEajL/u0Z18FJ6uW1thNP3S30c5Kr3JzUeBygU1T
BOkB8FwNCtNRKx3z0AelzjPuw651n/9ie9L7oJmHMjVCbhqGHr4YvZoCuC8j7V+V1hAt6NgsXt2m
ye+lwoAMX8GEAFWHy98BoJDOCMKrwWv3LHptv9KZG2WrMqivtJhRGT86p5rSLcyw6B0zLebPPMiG
U5XM3aI2AvS4v1ihSP8LHWB9eACFGFdreDHOB0k3cQT60QPLNZp045jG/ITJH16/6ES7leGoPRat
jG46u3Dfy1F091d4EtoaH0kuT+mY8SFgCL/MSzrCICvyGVk2YWEf56ESu9gU8MrSMb+q2V2YZwvy
YuENCUt4f7DfLlMystg7emSxis/IlV1PbmXRMjlFiWl1eWZcYXNdICd9queif50j03wPARi0az7y
9a+pC9PdXyhTeGbhSwHcD8BE5IQ76AjWpwH0afUX2DTv6IFf1bEzYmYYCBnhz62fRJ7MaqkVOLgy
TXcR4QJXocy5UCCYk44pAYW5o88z8S4Jyfo73p/irDrBqdNum9d/46SOcV295gg4+K1ciNDLQIul
L0Bp7hpLUwzPWQHgHkiRoPKVfB6TaiwvCGLxpY+NcFtrUPdIucMPaHDuMahzrnw0M0k7YxnFEPVX
BWn6J6KvAqxW6TwKTUzv3GNMWNVjbFmI2JMN9z6Im3MzjZNYxp033kyNejF0/X7QuvqBSUgd+4xq
QYFDKGGEn47RdpgN+WbPmsN/mrLuHIfGuKulSuk1MtqXvjbbzzEkZLXSVOnel/qY3884Np4m3AbQ
8Aeo+nlDxOg62IoOYSEKzHtFpZ3C0iPK3FdasfsL/xqb0WMDtmkPxaFr9pRH6smGggUAtQxG1Lnw
oubyRYfNonq+A2ALaMmxWhS+wWUErI/3Dcctkm+jFuy4KtnhGg5PtqOmPW/WzH7z61yOU78B5sO5
1CKb+AKhnCyBrU8bvVbm2zAVzQ60DoNQgXCrPGdCiW/wKXKfrDiBRW3ThguvJpSnNSrHlinVT4fp
30dYZdq0IGJDhiXuh+uJlXXijessYi9X+P9i1OLnIC41SuVwLEqmp1AlmVjwFqMyegCVuEsjsrWr
fEg5/tZ8sYEvDrO5YmxR72Akdw+WzBKxsoIRBZjRaRFuQk1hBRVWfXI1a9xk14hM7/bjS1XS6HzJ
gcryGSa9TOo3xv9MCTDrETEd6MtVynjWH7gJx5uxtibOF045LzKPUxGCp1HCIqggNekZdaEVZoyf
/xckbt64zaFNshr/lAqmaf8XHdd1IHL5QOWmH5XHsQ2GY/441l79S6bK3ekwA59hXkVPXjH04FoN
XW2UroldCYxpg5Db76YCcu5MCOOTkNzEjdi0koRSLTwUyyuMBY950K47IDobtqR65aUT9zj6KlbA
o7nmh4gpOBcd+dNiLod72Kvkw+yJzC8MLpGhZ++deLDWEDBNv2i9+X4YJ/2coc6syN+UCw+fOC1e
Y1LetbYX/Pzi78ayqe8zmBPs2W1LNKXsNO6LHeiGGVFq3Y5R9mx52nBmJDI+lJVT7Lg6tgmn2VK/
xI5yVx4s51Ob6XI/8IV/mDqO/o2WTdsQC9CSlpHis3Sd4iJJID3wsecknODWiltzNzIlfgm7wTrk
tsAPN4txG0mz3/VhVCzyziw2RgpnxJH3nMmbW+WM9SEJQ+sYEd7YpnZsv+rAjN8DM7la1HSi/wxK
V8Es0iMenfimBceMTMXYHDJZyNgWnaENjPATY/RjMGoZrmeaMZvM3HC2U5iOQQZPpmyOXdW9esNc
bJB+1caLPPxEJeN2lxThwptdTMyddyqiSu1kG/8UjhNc1YrUNxuIYp0pOQ8Y/f4LL2yDojwELmPm
rgAN/sUYTkjDnWarvqIBuSKwO7Tw561u20HbW2mdS3hUl+3aiS2med7GIxn+l0j8R8z79+jwN84F
GqO0XELIlm0JiwDxV7L4t/C+xvJbKBaSnTGAYlli1cHabpbhmSyWpfBUjHxzHchyCyA/1TqdmACo
3AzGf3oi5p+0i+szcUA7yqu2yt9M9zuLog9qvBjOuMMRuEmGtnuPPFPNt9Vgee3FJcZi39C66Jg+
CSx1N0wl9z/bTTrhA6gs/cgantRoSHQy4jLk28Coi4VJFLh+s+Xs0OXRavK57ozsxvMC3nnbzF7c
WpuRJa6CXK4G8e4UY1EssWHWz8gf2nrsOvPeGJT2s4kCDt69i49PN0HHRnUYv3SxaS1Y4qyTp8eI
Au6gP4Mb5IMSR+NtXdqJu0KJ9fwJVPPBijqIW1NJ58tghhdVEs/p3Ka7w0c/HbRxNE+QwNgOC5mt
zTF7McxSv+2McA952F0aV9GSYrjpJ8k/lEyMXqyQmpYakY/kSl7jS/YMvyRQh2z6Z/UljBpW7Xw4
ru3ejHQv3M3hLJ5x6dbYAVNO+YvsemAfCYIbq5AGgS1Yi/HRi0w+p9nX6V58nfS9r1P/+HUDiId0
+imLBpy4PriX5OueILrS3AYjO1p3hRlvzK/rBGqS/RbPDKFk6kHgC4zHEPLzroLRA8ORNz6dwQJp
CcNpZnjcWYav6wtw3OaUX+809vV2A2B33gQRRkyfdGd+n5QTJiuhuBFd70b08A144FW8aqpcboy6
QaO8KqJkwblZZV+XLLIOziK53ry86x3MuN7GJg15uwbZOC3RcriuMX005ntbtukr8cvqTTqz3q+K
qTPHZ/JcvEmyzOS5m7lfbpRlo4UjpFcv+Ont4kOLbGKEESS4TyavZX3z2zDjv6L/v39fjS/R/4+h
gKM7TCUMScuKBeLiG+GkL+wE7APbScxZ61RBqTmWCkBZ22BWx9zi7mq3gZER9GXgQ3G+uFkZHKOR
YSVcdDXu7S6sUdNmLSQ2oxUV4MlU3XHrKYuVhU760uRDNWAUMet7S0HjrfDaoAHGNKQ44yXPgovK
FI6Aa57iKNycpElrjsHPQiPmZceVvbOjOr01QD4j6dvJHuf2PX6qS2EENx4242NIrwoKcLAWenjP
d9w86/l84mJGmFiz4Po4sS41AOFzz5ZduzZDyRoLaGdzQGXv0LdD5WSMRxP9BjLoYPmlJcMH4djF
Bm6754djr2HAMkuF9jalcPGDur5xSfGvW04yHfytCmgg66o3+HLM0v0MiLBe9qKhOTa3qytjq72O
st2eg6TsbgxvaJ/mUAWrEpPp0pKAebx6HHKyKw4DV6YKr6Oc8mKp8rJZB10abeK8ZuTo0RbFzCLp
1okzkRJ0JV85i/ADr6/BizDlyfCRE2Zl++r1YMNNmCLPsfWmZBUx3i4WDsNbAodNcBsMXvSeCyvY
dEzS6UIttLsRZQSlIHZhv8thnyUuRHs9FmekxZlPJYfODDPiIfUw/XhFhn0NBWcpNLDMRDLx7ZRk
yx/1KeAbEJpws1WHZsYkJ1rbfc+WNkuKTJy6ex0MET9oUWs81eQvtoE+67gG8RkxwFHJ7dx2VArk
lnmQrFKMUh2IfcwafIVZ5saJRPIIuQs4Qhp5hKNd3pl9bOpW5udEvY8TQa2NDarsap5MzGOVl/ee
pyosqAgU9tdONEetdWtrTYi9GAgw8g5G10ViFp17Q44S3DewmGYjvuZJApDgvAy+5kz6deTUoOoC
1Kyuk6igBVy/8OIpSX27MN7F19TKY35lfE2yWnAf695QzhNsRiZdhaFpkpE/bVj4YM2wWLG6Va8h
6l68NS1bhOe5qoTuX/exD6tXY8Pt28CQBis7fk3KQfW4bEf+ys3AtE8YBZtdAyTcV0qKXW3UXY2d
0uJyDf4QqanzkjTZYqBn3j8hYIBHjEV5AL1PXQEJWTTd8SrvplK81G4lwVuGD6S9X+Lm+gUxEiZD
Tryvg3nejYPnrCtR9tdn3a4lk9LDGDEiAtsut1U6tW9/v1BdkUJ/LlNgUijttiwcY4JeqD/TD/g4
+hRJ1NlBTD6H3qVOm2M13H49yP9qxP3/FpUBZMP/vqdprg/0P2ib/z8wNQ6ypmH+LalmAx6+efsD
bvM/v+uvubZj/ctiAO1ZqPbYbr4my3/NtW33X0yudVM3hGHphnkF2fz3YNv6F8KyxN3pMG0GZMOT
+O/Btv4vxuAcyYRlsCN5wvrfDLZ5iN8/GpbOI7ieLjxYfQa4kG8HPb76g91mRI5xwlK6MsMyeY7I
Cf4DvunbeZKHcW3LcAzbc2yD1/XtYciq2IlCtPFt0Cs/Bp1IBxP3sKHNJx02zNb/qd9ZXLfe3z7z
X49oc1mn3F3nbOl+Y3h5ECEJoga274jRy4mUYy9a9kRPoDk5ZrGilSW+d3snobbSvesVM64FMLT5
RzGZgpu7l+yp0jD3oh4M30CsZ7yQqROW8/koxrQ6/f1X9BuByvl6vvzIOXNLjymOc/1B/Xb2T2An
TGqE7JIGZf6hhild4nLjrxi4KC7RAvSakEEIs/zyo4Gs8dGPrnqaQoJBsi+tz5BM42MB1poCqLn8
/PunZ/z758S1HRO4kiDVxWfy2xKCwU6vEmRkTICVdYq50I0k/kpz5bQqOiCyOWBlRVUeMo5mvq7p
4bZD2GG3cdxtRJ/RszGF+WUao4MQ1U6PtFuEbZkvgqGnzsOuh/SVhdvdDAF1MllplO99KNINkZXq
7u9fi+X9h48GYxnTxelpufz9z7fajWdIlL3J1L/PoiMbP97fa2viCpJCtFdNjHk/N3Xpa2WrPgpb
MeLI8gIvcpF3cjvannbbj2P3iiuJIbAQxTFPNfkyMgNm4n9yGkoMMcgzDM608FKY/bDryijymzB5
rSQidBzIF09y6u2oySmKazFQPCCr2/kubTL7LPKiPsKgnKuFETFUBE4ignVEmGhBzNdBOHPBZWK4
PjVMhT4YWIXzQnAnPEi7Bm1CJRlGeVajQ5Pr6DiJoWHBKKk/e/n79/Lri/vta8YNS1qmI9hZwGj9
+V7ieG7Jp02oj4GZX0po4PSOKP3IWRmxV3xqiRov/bXbdElnDnC4vsnUp11nzTvw8+5Uh4pjm1Eb
3GRLskyOVnMYKwoMnkSLq5syKtvtwNh+PIRkjj68XgmgJgHlldmovQgzDY/VTLnEMkOGwrepj0c3
7ZN119v6P3xwWFn/bU3hm3ndElxmrXwVvr1YV68G6MC232J4OYe5cT3uGJq1q1jWbzQI7utaCINp
eDbfclQOD2YlgbGDia62gmDKo2zl9Aucg/7z738O/2F9da9LiMFPwKZ87HoC+G31yMIpH5ANpU/r
rVyaTfkZDdPO6tJxhRFx//cP9h/eBm7JBlYtCjoES/qfD1ayPyiX6IQ/Ta3zokO3uH6Lk39ot/52
aLm+mj8e5du3NHOT2G5NEjwpWYVfOqmP49QzHCWTUUzrv39F/2FFcKHakJMzIKxb12zq728fH0mS
JETxfQjHxsHU8vljtmv7aDWmfmeMLctuQRKflKWuFzcerNvV3z+B//CWYl+zPMdl/ecu+f0t1RTH
fu4I+Dec4YkgIdSoYHb+YRe+2uH+2BQxwHNwkNJlCTd01/lmYjNYct0pS2x/kM1d1Rp4ifRpk8TD
7ciRzYsvY2Eu6bD9GNW07LE6X2aRQWeaS3eFQDatvL4HQxVZgMQABG2ckPumHO9aDOy0GkdQyGOw
cnof7SprRJQ2PWbPuap/wQT5B5Hq++dDuq68Um4II3vXc5X5589sthjP9TZ+kJpthxs2dy57GsLV
bJfaP/x0/u1tI2lx3fiwaAMQxG7250NFM6ZVp9c838nscB9MIGMwRw+HsCmQhuCtbXmrvX94UI6C
37/VNjKc7nBcYmVFIvr+41LAMK6etMAfMvUgwVMQiXUb/HOjeqEKiQySGNs7amp2dD+9Ol6BoQEx
+y0JaTnt9OjA2YcBr+tQbGLfEMi4YqfNehM31SbDYIb0Gr8GRvtaDmITkwNcACpqmY3hE6uJTOMW
x32XDtaicVrKEW0Fw4kRGxc1TOEaLC9qsid93YhAntwyGFfY5o+VoWUYKxSybGDgA6ryWwavHqby
sOILhDkkXbLo71LLvcea1V9m+82q5o8CIftSzDnJBynDF+LL/UWrE2OtEqJjwZyIRV6Dtm9aJ9lk
dCzp/HuWvE6zJlZjHxfR0hvb4cPIvGZjRRYRJSRr63WMDdDhev5QVcNNQ8Kb1xknofgZILf7kqYK
bOMg/x0KW2dMwbJZyxqrZBF7FYQEmYP6bfKzVSfpjcAQBBUmqTsf1Zw9t+mNX5j33FMOsWAdi1CQ
/ktVsPTEQEW2sp0cN46Z/gDSo/y4RdFckCKqMvseXkK56mpSjIui7y0aDehVO5B1tW6DaKhBUkEY
MXW8/eO2pK+DLkgUPfuhh0c4jdaK5lmSB4SuUtU/gLX4lXC6fIoNaI7mDOqezsTnPKr3bT626xYm
2ikA44NakJi3Q9pwRZ2qMufPyjD/e7OH8F3f5t78NIa9expSB/h/hawb9SEVk6k72ugU3XBpqCzc
iDmTNx1j8g+4Qe2lb1wA3kGEkD903gYUW7vVuQfftpkrXoiSZc8qNjdgwUpMhsno3pRlXt0CrADu
zbQPc0hu1NOqTQb6YsK5uzWDqX/k3uxhKG0mhI6g2lSllp61qg639FbjsuGgde6TOlomuqGvRJ07
PLJdnQNQg36qRu7/ZNfetEA0u5L+urPRELSJ+Olt5yTvbqM+e6ejmsHm9RUqZK4NOIsbPbQ2c/mg
I9Evr67LOphOgea0m0RPFDOktPwZBCJ6oN0LX53ZxxzAXZp36lTsNSebVx0ZM/I8M9CgMZS3Tq2i
c1qX80qvGJSC4i8+6YUY10jV0z6vmvxSSPdXVMvXAiA6gE9B8xFBpXh8BoNRgmqiQwKUe8aZbmQM
10ZYYlRCyVgTPjdV+1x5YImgh4rmPStF9xS6qb3NvTrfeCjcPp53dGwCq8cmb1AucC9tk4bapEZz
Q1+aPCnADcWT1RTaKeZZrcBW8YvT4o4VFuGQCfROoJP4/KpwYzjqGLTDL1OGBzpGIPUkHkhe/MDj
MokjfoEWRsy7aG4bxkFbp6brXoIWgYMqLvfe7Kf31pXlXUau8YI4S0g2h/lm0Zu0y3J5M1e6edtH
OT8ToDnFKmpVv7cEFQGe6KJ15OF6oaR0ORpldXSSgaGwiUcrnCLaDoM5euzIi/P/VfNBBwbgM79r
sSyzOkqrndggSDGQSE/e2r7oj0Mo1Tmeg4wenlKdQMTnvlY1HbH4ZCOt+LWO8nYd2gmKrEY2ptMB
Cg40R49aTjlxSkHApI3GT3pu8Zy4NTUwXqSvYrqLbwwtpwIs4Gpnr83cejKDWrIGhgkzCSzcwkkv
hKP6uzCYDiIfQKBRoZYmD0GaFrziKr019ZGoE87zDx2NjUa6hJO+q6DdJK3hkFyfi2Q1NvalMeCE
U4o+I/Oa94KZkCwsY4FmSLkgRbLFXBETaox3yt4OkZAruEHvRYxdOi4Ga6Mq4kmNpt+XabVqo3E4
FXIIjnRpJfVCAt166eZcrCosS8GPkOvZsMAY5oBSpG53Uc3NoRNdiJHGpC85Dc/4413sfUosaTOb
KW2hi4bYRtMvKUQr8J22hbUGIUL3nQr2HDvKTZkk6aE0teFGE7ATY70o4JPhAZZE0u8su76NcCcv
gMRob0wVy7e50dONCBzosSBdwddY8ZHQovnCsy79lspF2LkxfvPRnTeRXUVvntCSfe3qWPRtds4G
qAXfi8rbDuRdliCluA5mk7uC65fvKlPGLP2SEtgm1U8ZZB5G/izeSdzcNuITB4hJmBVw1oPbOTjy
BG5egzT6nR2m7gFI4sQI1UkOIKgmHwRJ8FzM3vRCW2m1pBdK3FGcVW8ozGAvpIdiYzVd/AO63bys
LGpNkXIdSuR0fRdHcEUTM2S7jQA12mm0GulgYfxEDQtEsvJIl6Q8dEMrj4FJ3WMUDPqDAVn1Nos7
c9e0yj1aoAp83UvC05C7/FPrDWeSZR+U/CUPDOZ04A2hvuUj6td9++7mMloXGefFBfljVhcviig6
yirO/bNjT7vWMn0QIPuqv5CU9fPWLphFgAAKq9FF0q7swNeAi5zM2i7JIsbyQ8Z1/uIYhVxSJ/c0
BZZclZHO9gdBdSOv1YiETLtko1tesdAsO993aW2zhlnN2nKo8qCYDTQtkNR7TQ6WfjX0eAwoKhnt
atOp1vqEMyWD1b6arZwPftA12D/HwrZ2gDyA/rlMBK3OuXH5/Yt+1LTbgh7lE1HmD7s1hK+njckJ
OMOlVjT9WWvNrdNan5Tj7Bl5hTdMzezVOA3pKlRRshsI9D6EJNGWtQkmHDnq1IaVP4QBhb1NsG6C
XJGiFlPkk5v2Lkp4PcbsNnzkimlfm+hjsYa2akcLpx2aMyOQ4MlpHHGX551+MjpV7U1YnqdxHNuP
FmIpttQ6ih4U9V03mm7JXzRDez9dHIzYW+LENyJ+nwhciuvsohEEsCt9HVzRLDjAzenN8PDW5UM7
abBcy4J0tFPcVQU+gqhOhl8ZYFYi86ZWHQi+DRui9ma1cEQsqBvkTJJQGuquSsl+PSD/lIscn/DG
UpXFVtnXwYNVCXKNAsDFoiUevZlqU+KzCmoMiJRXz4u4NbKnUnrjC/jWjBFFC1qLEFgUBH7SmzBm
6jLxzrQzYfdONbUyuQzRmhZo8jWs2YKcKshebaN3NmRjscekNDwtlMq9k4fjkSePBp5znkmoMryO
XAkUaPNlpOyJI1PTVpdqitpTMiR3kAXfLSd57nOrX0fRZOwbhmHbvp9f+hniGZFZWlajtNn25lz6
mASBA1+3G924pia8Zq6vEhGVKzlN0VXm9kcDbME6CvqIwGYS7HON8stFA8ZlN0RqHUA6SyjOXrO7
Ug1k5riM6ehJmDbH1VMxzoc++KD57c5VxkPjDlhycXRPGEfT9iVC3t/moZbf1ldzeasXNL7puXPM
BjftVlBe8lWpixaP8zx7Z9yvDZxgupvyTKNAmmQu5yRXUugmm+5ea9N0JUqXMJ1VGf05LWIoji3F
8m+jKtx4yVPob+pAhreZN94zSDa3cNeK15GINmEAMklbpCX1a0ioXJzzqydmLIHTVZWzpfM8pMqe
be+jpxsO8VUEi9CyIbfQTrPhm3x1Nzcl+fREbQddhK8FJuZFI3rXt8sQeA3OB7NIq1s8sB4+JI+h
6tDG1c6RhXoCgMem47qDCWEglPi2y5k7K0gF3FKBHX/yewo/I71UrepJs9lY7SaylvPcanscQlRx
wbi+OODGIt9CavUbPLxHcDlMlWK7pL0qiZxN4ukdS65VmksRYz/AxuPea6NznQIiGj5CfCnxoDr6
AYmi3DSu4fHl7r2NFjLwtIL5FhvecvDy4qNDdFyPZqe/8R02cLSoYIt9Yb4hJ9z7mNcptRz7BvYw
GLqTHpkBFteR+leMacGl4fDhU0UFhE9kBO4DN17FpiUOeeg+YrPZG3lbvs+EVjfMzqN7a9DK+5lR
+7KvIP7H1LtxqfPsW88z9B+RzLy7PjWMk+HowYI/Mvx5XQp/5GEZ3feABBitiRTIYoJzkkIV75FS
g+7BSQkTr/ou/snCkp2jQY2PSp/iZBU7abkWFAP/oKan5jVE6TYiW3bEoBuexRzWt0Mzlnvwteau
CntMfyKHiqQZ4TOEiADSKCO8Cl7sQVHjeMg5sD3nHv7Zq2s/23DmYXBZD5bmu/nobUmbDZhN+yi+
oAwOT6mFMjhqU74vmQx70LwpENZbkDEUHDbYzzivHeyss38pwWgPPE4R35p8VG9psMMJRkaV2K50
uB9Ts6qJbdogyi6AyGRrIK/FNipU8ty2eQP7Coe0b+oMDhbY/XWAg9jtHnshPdoGJ+FbudZQcJvn
XGzcMNePdTREZ83WC1/QwbkdgobUlino0p6i5oZtMlnTmJgxLIXsvYwmmGKaKIpHDbIUDEJXrupq
DrgcFt05dcZbzKMAL9yBhtqKl6AtKrcqPvlXy14qK+NomU6uA8pKq5l1jKEr77SIpLfTJJxCAmBY
yxpo7iP+WwRTHSIu6M24/kkydgSxMxgXMZBAhHyhuEkBXH6jLS55pQO7aPxAyO7aZGmp+M6Mog5f
oMlh96/KvZKixEUTTne8UCT0imQ9lyqKENjUpw1G63ybmppuPuVB0H7iPmdmbKAcFnvDym1s5j2k
ioM3xTapjkA404rQfqNWnKQ17QLYk+4+AcvyygKWL30+5luQq+ZdNpvXZHcMYDIn7Auf3Mavzrdd
Vq7PPVMBEFY1SwEhFECCaexF67zAZtMxLmfTnl1siW0zGUfkvWvrXywZVLllAiIJL81uhBZP54/X
PsaDpH1Kg+Staod7muaOnzMWRPr2DEvtZxzU71JUV3p2xhaJeZ7lX1eDecydfH42Cqv9jNCBTvos
tQ9eev3aB6qVCzeouj1bIcvA732C0g2nc1vaLuB82ofWgxz0I2rY/2HvzHbkRtIs/S59PSZwNZLA
9ADj9DXcY18UihsiNhn31bg+fX8uVU1LmdVVk8DcNDA3iUwoFR7uThr/5ZzvKM7zocgh/th5AqOx
qq+TAYgZ6YTpC60l7aI3Nv5bSoI003UO7q+N6QfZxrfHY6pjH7rmiFt7dU5S/YY+qFrnsKefWSlx
X7FEp9FLqvtyiPwTyDaV4caw34BabOxzbiEOBpYnzDORhi0XWTaixYV9Sz2DkOUumb38YeonzCpG
rY517JvXhA0IBh9t33rQwcpuO5eLPsxFY21qkQBfwBnWfrVTOexTHl9PKlOYNX0/linvxOwu2iXN
XkE5mCzoK73nVlUQn3vzhnRSgeUT5RyaCzL5RIgENSrDaZqjbg0fh6fkNCyXJDDQGNANv1lu4x+Y
rqqjNUyfnTl8tp14NGgBVnmamAcb3dvar2xn64wcoZVb9k8t3L4LP6iDUwos+HPwCgVlq0rmKyZb
PBkKCuuVLywPwBMGxU3dJl24TLX4JHIWiSy7te+d5UIsO78E2H056uBuip0Ye4M1GFgIhoTWXrLO
nFeGPTur2iSOzoGJB3k4ogVfnty2xSSJyeotAVuahYMP53yKvJuBNMhLzRns8raidaIJ/FoFmd0f
B90sh3Z08Ag08zfsVFCMiC531jQm2U7qecrPR8S0buflxe+Zw6ldUJwjFHB1GY1nPxO0xTvnMbxi
vqiRiDKFZLpkP/F0Ch2BgJR459m9EuY0htQysKYhRq3PaZNxWTTHAAZ0GOmm/phzVBikbZCsXNPr
ignLv92MmpCDcvbCyu+5D4TpHjpKWix9PKzGlZ54JOvMmnayXcSuMjoY4S3YhZXqrfqqswTmO6f1
DpVnAf/hpEPe5LfynVFGGqzH1J+MUKTTAQDFXRG18Y1pMRcMBIArT/b2ZRT1oYbBuEHOjmnM96sZ
ol2Pq3axHJauPvbSPg6O1RA8j8L2nuJFyotsbusw8xeT0WwxrdFGqYseR8ilP/QSzEPSPA+mTI8F
oQwhxUG9sSY8DAlolBVG9/FywpGB88xA/x3YMds6tOjxrTfTFYNnHY6tFyTvqkWdW+cgC22XNVqW
qPKxkG72oFS/3AmhvCf29RUtEUm1eLPRzm98BSonlym8BQchzpMvEPvZdW7d6xnFKtYYyLaOrg/m
Qv5ibdt+2I5tGp4x72XoEPe4CpypALFELUnkQgXuOvEM/AuZG8XrIHYU5dY8vHCMNpr2102DbQC2
ZQEwT5YAW2hM5XPX1MW2w4Zzp03f2OeU9+D8GI9gc50s8ByBO4rbJJ/Tq4Y8bEAfBUDkqs3XCHDk
aXLKZj/CQ9z6DcG6+HbpgRAJrdsorW+SqbohS9R+NKcIK6P1klTyNchhqbuVhHNIxQcnJQbri41B
hnrOL2UfuXulYuOurlww36XtXxQ4Ci6TLnsokUAhHRvi75ijzXtswc5Dn1XRgVCAZSOaAWoFXl6S
lsc70OXGHhVadjXxJCUoqNx0Ku3vIrGoe7lAyeh0K7dWwZSZga4NZ8SB/y1rve27ChX1yJnvt8bR
gJ2zm6KCxMfW2/UAgUki1t813coHAlVMV2IKz+GH4YRgFqh9vcqSujgYVpVvGsJOdh7m8zAnmLHi
CrcV7sIlBo3X47p1NzaJLYezFmhjzN270xXLUY2jfe2DawIpmDkGofScpCXzJ9DIRr8FpoLYvNYW
JAH3ujkTPRqNIS4EVNhvUzDG2FVYLdcbo8mPPo6qpRabIMVqDe/uG1igj94XateLyURfT9yJ9nN5
2xttWHXyZC16L2r6uwr44hG/6jWz34rdQbGr4vS2Eq7xFtfLyNFEO2yNxcQ4f5iPDMAeyR5nrGB4
IYuH0EoShn1DXx9s+PSqRBCp2yn/sHWUhJndviyLOpmIqogrSaoKM5alMK7VPmJRXKXb2qUFgqJ6
8Ky5IxAzIElupWH9rCg9vKMrJlzYCw2yzGcP3SIEUx8LD0NK2gnIFdNL6QcSQHyGPb6SNO39tAVl
g9ER/99AFoD7BqrVuZeNKvuNiq24XY04arewBvQ+n2fCW+gq4gtXJFBQceu439rBFOoVH0/G7dnW
kr43MB9sxyMHYByYtmXzsEGOjr2eXnqzwIkJtiwoGGW0yXwbCSe6b2qbmIA+QJ3u+dYBxMZa+aRK
4OsE1l4OULH3g7ckr5EX8VSE3gVHDxVb+iCSJWXlaNpx8KqSiIPYJCkrNBrSj44yoT8JVSZJEwqQ
wd0G2B7sw5mzmIdzz36EBW16yl3YEUs2YfBucJTNeOYAqfI8BMsTn89TeKmAq5K7dByy+147nLac
G+XOThFBr8aIVOIVDgLvGyDL/nWuLPfjR4ovptEewhtekxU6TPTgBE9uFzI/sA/Opt6nLo/73OCr
phkc6BahxItbX7TPDIrbTYppnBWm9i486TLDx4sOEpvwlSW/kgaB7OgQru3UOnQFdCcD7T97rmuX
5zt01WtbKAwoWtw72EQMkgJKdetSkFxyxcXfoiZt6Iib1dgp4+TNhGS45KPCPar3IHgTtkszHq00
gHQYvAxquHOb6dnB+qFX3Ljc8cD3DhOscOUrvXPKtroKICGHsuVCLxKGjcq1ziIbs7/j2Q3o0M+Y
kqV5XWxoA+hUNe4ctcqXofgkJQWznGODDsAjVRIjstJeRM/kDAYqE8lWqg668R7rgn5Ufb0gUrUZ
Uuduc5UiYDDy7LKzRbQxJ89cm/hvMWdUUfRMv1AYG1RpzdrL7AVOsa1fEjPt0HySZn9cdGeocCBQ
isI3YS3caB66Ra848iAfMS+YUxXsZwNbLmJEGwpFVuCHykv3voHXTqHF/DQxyJ0g2+Nbp2AM4uVm
YDxz7ieV266taFqeZ4+urQhZZTHZkFws17ItnsfRtM+AqUhtO21jCTKSbN9THV86gZbPc7OAmm9Y
61ESLW5YAS80LqdcGGDdPT4G9GAi3RWdiq5tRkPv9KZ0IUsaXSWDKhlU8PnxSYrYMzeRa+aPtHAJ
Eu92l83gNQrTOGLJYV/QDdljoZt929fj1i3GJ90VuGUq9cgCeVdDttnn7JJAirUdUdp4Utdu6zLj
TsU1OcB6w7mSPOrKQ5Lsw55wBy60VY7Y+Hu5JFd1452h9fPOIyq8HHPQ9zBXSSlwMuxmCRP4uN7E
lj2AUTmTqx2rVttgLix6fNQwck2gwJvVW26NqLEe94Qft89GGTBblU5zcPE6fhAOAL1gsrhAxqSF
FAqXeLjPkcBjizJ1ts8iDEA/UrDhmBSP1oRBEfM5DXZoOESclSMsrqGU6hbZ+ZX24Kx0Q53ADEEy
m1tFvp/aIC/wfqHHXznFuNwtU1LuEZ7hULNi3wJ1YgC0JICTdQJU5ueUU/F9MVsTH7Zp3csa4TV1
YZ0c3cXhCHO94UZnrM0GK6KRqyxxBPlGNLcP7fjQWoNTEq09ZlcjdcwF1JOzqLfDtbGKY9J94Vac
kbkasAJJGXzkIAH7p6xbYvqPxd8kcmh3IxAXyjrYXl7NYxAz+87tqKCIMNDWJR0ciOCWreKwbprl
lmSWDgrcZ0VCQNh6JFtl54p3XKwEb3RdXaF078OqyNObdFnknlvJvgkYBz05sQXgIhDumvS+kn7P
BVmzdNi+M8gZWNQ4t0orO6Fzcs5OZWrnqBmPnLhTSAacv+05pXcgGNj7V+15M9ZE5tecccNFxBZo
XSM8J6vBlnc9tleCRSr33cTYGK2Y6vHwyNLJXvcOev8YZkKYx2j+mSHZa4OgjFWdCRwJSezem1yf
t3FtcikpOA4jXLQ7F6kWeQCWJETAJteJQ5YB1eAcDPJTmKZkc7KGWFrcJ0Wd7fpO6q9NxFlXGTYL
/RGinbeajZR3XIgee2de4j2tlQddzqvidwcd7TeX+Kfr2SKFgnWiwHZ5VsynNvwED5M9NmjJJ5VX
YVra8zEWPo8cROF8O2PV+K9iFN9Kf/5Ug2dfuoF9wwXFtJ5pUljkOr2JhVn06z7FiLsenbiYroKF
1fWupuvtdxWHJ3hFrI17LuuG8tFmZDoWfnyA+acevcaAqsODaDAwiOXzBEbb85AMLMGpBPi+d72i
fbegxNnM3CPP1teNKOZDaUxemGViAEwxpshnYp1Et4ph0T1XV/I1K2vzebRswkU86HVKuGobVdFy
LcsqJz2xp7+MYAetdW4az6gu9WO2QFwFktQwDl9MWNmt1YTIxtRnoBZ/XUcGtBO5zPd4JutTSTDK
lqdFjqek7S4Ic67pR43BYv1i/uiS+3Cyy+YoUrovS+X5hQsC+SB0oLvzM8QOl9yft50zLFcMWjSU
q0y8ZkrJJ7uj0C5pkvYdXgXmsJBVpyRNtqaW4Nun/kMEjXVIfgTTe9aI4yM2kxNJK9MNV2ROSe20
30gzSd/tAE9XG6vl3vMsSB8z/Q7Z3ayPUTCsmRqv0Dfyz4wpycNMrlAfstzwp9AYdHdvTkV35WRV
414ZfgnfYga2zox67Dcuvda+SWAp6iUzbmY7htcvZGHuAzPON7XUaFTMmqlekHoP0WBbV3FdUYiY
HkOb3Bq5n7n1akiHu8pf8se4LZCQCCRUS1ddiko8eqX4tJF2PhQ1pIWqd6KtqPBRU9VWGFiS5Mkg
fv567pX3YE/ZcEcWSbVO09uRUevWctL+Oatkd+Oa9vQsolhvUoQoR7tK/LD3ov6ZY+VZZrl9OYtz
fTAW2ZWdOdaxzDtjl6u4uFHkJYWRO2QfAxlF22YEs9MWQ0KrYnA6ILDa0xsmKmxqC4wo8g/3kHtd
swMwu3wrVNPOK1Dg1nthC+qxrjbEKqdOPqaJq9alI5nLAl9ad/KHrYMYvsY5SyNKgiyxaNQHAF7M
faTetbbXX9RjVIWxNM1nN8gBkPv8VsWqSQrzlmFrchyWs4GJu5Kf6k3bqjayg+pz+6b2mm5TBIG5
FnHpHyFeI4otv4/MazD2ogON+mlHGQ3kdrYd3LNwccKIXJZ9I5kaS1998+P4A5XSp8+0NVRssaFQ
bCdMPFh/Zbqrm+ozk2ePrjyHUbX5qjgnImUzqPxiOKlWnUavepogFPrT4q0nSBUr/PEGe+N4wy0b
gitZD4lnHvKhvp87c49iKPSMId5D5s9Dd0xQILAV0qtxYpEFrJbpb2eslCX2i9Fc5LZDUNd8chqm
37Mp2QjxI/edP6VbB8BixMY9oZns+/QFOkO7FZ5KL30vye6J2pQPbknHWC0Jo/AC0Pn/WCqDupHV
/YYEKPUq4ti5pAU2tgtOvl0JRunxh57xL5lB/rHN4/0Xl8d/p8hikoaRBf7XKSn/u+tei19DUn7+
hb+xDeUXAJdW4IPEk5KMEwSoPz0gfvCFJRw/W2LOcawff/J3D4j3BXMGDaUn+cvoUpEH/t0D4nwx
sexhqjBRpaG9Nv+KBwTQ4G+6UGS2eCR4JaKRg3O2yw9zwi/yYeD6I4p8lt1RTOIUmycRm5seSTe7
eBjWZehXS37jJ1GMxo6zrgwH2Oke+/WULKsYzWpHSoHhteuFPR5RSsy3V3aBL2E/iT5KdtUMZcin
hdtgaXHO2do2oUVo5C8gD/Q5wzw/D51gSA4IjDapW3Y3TlJat0FnyitlzRJ5mChPkxUkBwr16bK3
nHvfIROVTxDQQk3iWFVZ+hLy2ZZcV6qPMd248LPZxIRe3ffrpR2XEIUoYnpNDP3S+iRLYHNbOzhN
N7bbw/ZugsuI5uNqEJ3aOUv8UppJcoSsivxVEGW8oJrYMj/6qCFNIGLs3vFr+rusRnyqO3dhthXN
Byo8fbsw5WMljzo/4NxBwsMQG47QqzcJn2rXaLdpX1NxBrymn8jPaPDMK41bbel7dwsCgCYgFVey
4UZOlzdQ5weh7LUuoq9TYx91k5/o4BEB9heFg3ozNthjeY14dyqfTfNkf+R5vesg1K0yUnz7HLSW
NdoPKogHnHPpsnEJbV6z86tWjZl+ZV8xbbTnPePjPKWtyeTTW4/d2IZJP2G+VI2/9kFnHKnTWwT7
5kVRVATOJM5uEqiv+lzfZG3N4miZOvCAqrD2yALe5lH8mNgSEmxLiyeca4V56/QvRWcVqHnkoN6t
iNVwnE78hN7myDVH571tGRTnfeNfAwogXHiS8/c20Kg2oCM1K9buy5Gqejy1cXYNdyb57rSA3rO5
tlfmef/KShSZUZJrkGtso4Qv7swmuMh6Tbgg1hLCXEVrX1sRq9g592+yyqPqk8udH1e3mUealhq9
m6VIxgNhBskxabSsSI2OrJtggAhBsMk7CR/T1hf5S4HH47Lz5EFYORFXA1CgO+ptF7VCkx4ngyV4
I/2tTd+1KScbbLlTzkededemcNw7rbrOPFGGI3eE7Wk2WJxFYpNUkxWIjgq44yH7OCU2bIqpadOB
N3te2XDfpbIHlIDRuQA+tESFscNIKnnDIrXuWrLtyNm2i27ggcRGfQ2B0DDCfmigVNSsmNWm85AY
gO+IExl6ZhV5gH0jyiKVmtC7cSXH4KZVO6iTcJJC73sggjqMraxj7ZU5Sf1VZClUVO5nXy/rrPBR
fHgGMRvWQKV15capBqpWkph3jJo4H7f+5AIoUWXb+vfIPt3qkKElrr7XWbLgF07TgDugA/Mc8kBM
8ebirXXY7AeoFecAbRb4EsOtdrEtCeAkKugcXobNNkZhIfzuo7KGGLA8G68BjcNMdVE2gftiWGr+
CmChvwh0Gt1ABvDndRohNkM5PsXVnilvDqp7EDiHJcByHtJVrlyGHjkflpeJVYu9uefXeMxSgzsE
XgDWHDrFLC0LcJhKf44RXec6iccRRTy7nuxGwtVKtwvYIR9vLQvrKzb5fPugXGMc0pOlN1ZEbRga
0gfKMivSundFz7jhIJtW5+8kjPbJNvCyJkNg50dINgZzeS0Dj4IF7Ngd4VUGyGXJC/Z1ttZICXmj
JNfAOYkmxr0NcJ+8Wi6ksKwXMB3xJRnP+nWkyUYvFU8NlDLEkKvYX9JDMcnl1XdF6OLvXRmye0i1
9xDr6dkv02ndlWySfHdstksW57d2anLsJUqCvyz1PT7jaotfx/8GDZURsa2d5cXErTYygT93/eVT
RLxRHZCpiNh3VbSDPkp+LvgIbTB15AhFHH7SrLpsnNQRn+iA/DqUagRCmfuiuZ7b3NyIeIr6nRqZ
V58xUe24scoyH4+c2k+DdiZvi/Fd36eFl9t3UQ67dpt7no9QvJPHjk1suppbbUx3bp4gkoE/STwJ
E7D4PvfM+EPI3AQZQqZQvPZbJ3loGZoNKB8X3V4sDMiWbTwkHSNyFa/MJJv36I3fpjhlZSS5lslq
UoQYWKo+x4p3adgiTb/Rek6uHQHDdbCn6dK3+9uZxf0BAHh660uG8OSMsPpfDO8kMDh96ya3vq2F
AclnmIPgoVvymXjCtshvhqCq3koy0/Y9K8FDNBQe63aI3a8ySsxb0VEAe5YOricNiGmlzdR/U5bf
f83p8pt1W7qJXLUA6ekKtO1/9/OlOdWgTr+jPh+JcgIBkT90ovEwIooZJIot8bB5qJ7z78nZchaS
nG5cZcMg76rKlF8LRga7BHSJh6aNPT3hAs3EqYD6TTBmgqUOpT8keKL8RLpafR88MT4zugCM3jhx
sJZu0VYQBTTz0ISp6jX8IPtS5Z0oyB+qnQe2HE1xKuvJZxBlVuSVK9TK6SYwYv/ZqxS7LEKwpl2K
P8y6kGbmfFS0VYiILP/BICvrVCY6QdiiI+8xb033Zel5grCw5pCE+qGe5SCMW2syaSNz9pWXJP4O
a9/y5D4aAxvElmseYzrsA7h28F6KefDaxTwqOCMq2I5+26IZW8SM9FYES/c4xaa4ishtY9iqOvpx
qfIFlAYJVf1qUUUJHwAY/7xqjaAMe2OZc2Courro9NRb28W2O/e2TYf8mQElF12llE3sE82SzUw0
8LCllshHDuDldXQQyJTaveEYPP/ALsvydnAtMV+7MoqtW8EmCE5UleqBfAaURqvO9kAN1TFvnb1b
rkAawWSFcOub2bhTbeCqU1IKQF9DOQ63pkV/eIFXwzVOIxnqBXpSUfshZNE7XAo1aZipmNmFNYlb
P0ETCafCLcM0h8BjBVgZyoxbnkVnEI6mHC4zz/R3o26CB/Rl8jalcsGRFHHuy6k5w64Xex+4bKdr
K7H2PM+Ka5QypJx6HUZRJ0aDR5uck+bQLacOKjSUZwbYx8Rm8IrHoqnhjqCrfJ8YBJWraWaP0tvG
VTeDJmG8eWdww4dQZKONltAJO8gkz77ZN0cSdcmT6BpCSRFTIJOppQKSpWKFvJmnA0oPVsqzz/Sk
rSrCRTF3p3Ah0LzztaKRtUP6TgdUhZUb1/AM7ctcxPajM+qpwbwimMVX0GQnLCqSfPQ6TYuD8CP7
cTYHpGLVPHtqE8x9fz9BxWWTN/vZBfpJ9cFjjsMyakd3Wg0jq+N9nhjM7Ok/XmuzCI4zCMKbxalu
Guw/uy7pTchbdb5qy8U9VW3tE2nrHhv0YXAU9IMi9xadaBkdR+Eurzww0nvlWflH3ePKbrKG3DF0
ENnB1G1UAjT2mg/FXHxVVW50UMSHseooeEDVU0xsg0NgCzrajnYcSS5K6wRwOAPUibL90o0xh3Qs
iwMa32m5zpyuDRs9V+91N4PeFZkNnBW9GkNBZBrb3j7nF5t5gazgl+bs5qdD9Vd2y++Guz93PGfr
1S8djz31pVFVejo4Vc4a23a79qLMRfrw118Gr2iA+V0ylXL/4HsflqJkgSLGgzfRfpMmqFISGZlo
/Iu387vb/fx2zt8vFjXboCPkP39/O2YgLO0Hbn9Y+rJ/Tc9PeKkXOgI1+/jeJ5Eln/mwxJDndGH5
/+LVrd+Naj9f3sMX7gT4qgP5x7eZjCrDMmHrg9NCfozPhYDlFyw8z8XBMHb5rd/YwEgrZ/6WzRU+
MaqJwQgeFqoL50eZYQJNPhcepaTuX6YbDOXVQdpk21wYhtLI5RZAlCj1kvya3QtHVeWRZFKniAZW
bnD659/bn98QnbCB1ZcPFlPtjxzRXy6PxXZiL69YMZNvBV2tQXpB0hLAESxFcgh4xivCoX/m0TLx
UJ/VP7gm//yitiENyF8+lSl5gn+4JtuIIPUhC7CAJGo52Z5NLa2/GaQBJN7c/CUmyPkr48VMI+AN
8pMc5zwS+OUdKlRkpI8V+jAuidi4rfUxZWJbGJP+F+/qz3eazWXp4pqEj4ht+vznv7wQ0lT8mU1S
HpK+sPQ1rpaIByfA1H7/z78z8x98fuTN0kVSJlpYJ//gGFZZ4qQs9vODdkx5jFHtkIxCtN2J6Yfd
rzN83d0uWBL6vDMP8RrfnO3c+KbLsJOSr/9R/SG7UujE+2hhU3WuD9sfteI//1X/9JmwqOLSChjs
8LG4fyQQwLOHhlX5Cb6P2PAONaKMm6maaJb+8uvY3PYgJc6TJPzNv3/2kniCBq0Qy+CIZoDEJwua
kSI+86cj/P/1uO//Dg/z3ywExeOk+OVb+VN88gNHXt9yd36WGgH64ePf/w3tCbbe81/723jwnHJs
Mesm+yTgceFhMP45HgzML6ZLUDPkC/6ccohr+u/jQeeL60oJoo+/4ksMI/85HrS+MMkzHJ8ryzKQ
DPp/ZTwIHonL5BfIg49jgjuXHyil5UpOjN8vI7SGGC0cs987kcNSI4MLLUZ/XyBBRZpPXyjR6w2w
KUNAbTPeSf05WdbX1Pefab8M6kGg8XTpH7Q/MLZ10WPWkqRwCVOgzGjK+6w2uqM3KETV/lyul4HF
99Kkt7IWIOtp5/clYtuVUvWVV2fWqkMIxKrXfa4CINeyn+8qx/gs6vyG/AqGHAqmLc4eZ7Vk4gPM
LSkVrUU3L5qXuGoItIJgtdfzjHLUPWvtKzW8JF2+F0t1avOzx0OPhYe7Rd0oIi/WieWKjdHMiIns
tDzVUEWOGgPwRS1qeSKT1psYELDOhp46P0WBekCE8DqyYM8IPcrB3MzLpWClskkJvEJ4jKwrRty1
QjeMsmNOd3jMnFMtzelgZS4Srmiu1qoJYJY1JmhduGMz+cSpa/bfzT6ghCVe1WSTcsvy3giDOt7E
TZft5g49Dujk8tJLqwCRZRe92Y0Se4lI8gJaWI0xqLFw3QUerBH2wkau5JuW80s7EatlFwuVM5PN
EAIm/4Zf460HeHIZycE4AADDL8iWco3917lcsrZH6FB9pqYedyzyvOvWQA44KjsFWwsJgyw1n9PV
I7AhLrFHBk170RSTded3y0ddI9hiR97gG+uzZ7uan9E9xAQxzghPSGFihmewA8n6TV058RpNFvLX
ge6zpAH0quAl0Hm2lgP/+6LzOd6ObOQ2Q2FcVB7pyPxf+R4bTHxM6GSBPD+wS04vfANpWqGm5IG4
2W6deRbkrSZTl2mj8jt4a37IAAVNRUbHNyZsLXXtPHr4eeC7C/eS3e9XrtfgczJK7HeiLK4W1Mvr
QscFlqPuIRLRQzxPOFmmgr1695QuTsZwYaD2LUFUTsL5lrNl3ae6uzPdeiJzgdJGpna3LUC+PhmK
KbUr/Tt6/geWmjclMqQV8FBcVzGOzW4owIQHFFA7fGHU1emPGrtYtMNJnyBkVuhTbxw5gdnGJLWO
2yy/DnBebSrsCociMestAP32WuluuKDsSPYqI9I6x1rWJkG3W3R92RtphHonb0HIlVV616WOv7Nq
qA7C7Z7Ic53uiS5QF1g2jD3mT1j2jnw0Se9kAjkUT3maJSFf1bAZ3ZnNW5aSMAZ9OfrWVpDdosxq
TgleuItlHplpMgB3GN1SiaxJ6v2s6rZco8BCE8YC/UoWznSrEKKt68nJNpDb6BQ6eQHdyr6Gxtet
/Yj5uwzG5HY0IVnNPFSvDXrUnlXu8q5nLAIapZZkdbf3DYYM7NDM2yjT07oXCFJnsIxbbQTghDvk
cYNU8TrT53RBWcPhtGK3hI0HBwi7ryHXwSj6r3MXyEdEbt6+8efoa254UUgeH0bjAdJ04iDDSskb
ODaemzwGSd2cyIgAExq7i4VtgdEAKQnLrgjy9Cvcu68GIpJtJWdQ9ArMfjfd1HqwPgeKkrtkRBQo
KEeJtxikx4SEgZ5PnJsXdPVbwhTic6DvvfZQK8CqkuNeo79EQU4mkyDFd4sPB/NjXl+J1j+SVUhc
Aox4RbxhgH49RM5QkbvSHKchsrhzE5LxiimL1vUQe0eHHuxmXKL6FJk6vY7BidGj9adeJgNpPbr5
SoYEZISqaNlizD1GFhIU+4REyaJD3T2kS/o4BPwa+Tgvd+yZbieXbbEFSnZd0Y8f4FTf8hwSB1iZ
zdY1XPXWVsWyN3PxoKbGQN5aTqsKadJ1leGKQZyTrBligAO1khOKp+yuUYBJXFz6qyJxeuxkHkNM
2rKVPfnRel5M9JyCbdxBuMTigFZ2gTX4xY7whPY0CYAXomDfEhW5sUYiwimcuJ+miVM7YBzIfiq4
RXv+Dk9ipr1nTgIMl7GCUdubbMDqZffdshl6Qu+KCHFoVUZPBv3lz98BmR3JEslIb6sD66s/cDfn
rsUMK1qCy+zsAGYU5DodznU1vgnVozlNy7F9sGr/u9ull8XYc/qae39kOwdg6Xqg+FsRnES4Y+rH
4501xv0WNyB7D5HeeZNZk+sn06eaReKmwX6wCZiOQpHaoXtATsIzgUG3CL4hQlq2TVB/VBMXFEC4
h6EhfCKd5nFd5sbVgoECnMBMhJRMHxE4W4deiCBsz9+0n83R1h6UtfILjh5NRkdpLW+9V70MnoXs
Wyx2jNbDY3jYsY5y8RpeTJG6SeKmvfQNBDHKtm4TU9rhHA0+9iKiPPye4TPudiYKqWfv0da1Dwoo
+nrpVINzQRd7e6peDcEpJItsHVkRq3f3bS7ZOznuR9FjM460ia7Qdj9+FHD/v9x9mOvPf/+3148i
Kcmp1m3yrn+rWyVbaHA0oHb+60X4w2f+WqrX8veK9z//5s+S1ze/2Jb1Kxbx7yWv532xgGs5uCWp
kyEfUgz/reQ1gy8BYgeCAB3X8n0ES/+n5DXdLxAuA9Dhvu/DZgNE9r/+52+dN0jJ3/771+kQP/H3
ktfB6HrG/WBaYqaBSv5MjPqla00yHyA6yMJtZ+g7ib5rX+iJsklRmwWiGD9T6lSeLEGw76sCKveU
d9shlvYeD4CNISItjc1AaZbiRx/dWxBSmhM4Kg80fgWZ3dl05UVKXtq+8uAwBzx7eIJ9tNww2yWf
UqJfplq/MZsk7ixlakAc05TIZwm54knXZXfZQKxu18R0JrBCesM/etPio6RixMisGVXNPk3RuGaK
HW7fO6D/8c4CvVnazYxwxse29SwtdIkozXBv8HGAvxlmsC8tJswtPoQaDl7rEOLGbftYFp5DaFAj
SaWw8ontgnB8UVJmw/XLJsdBdUdzD65DBBRJeFTL3WR47mPZGsM3Yh8XZs9k0h5qokgfDJ1gPbIM
8lmwJknQz6xwKraNE8FKOraTa8rm4em8pcg2qMYNlqhLySxpvjIZkSKZ7Mb3yiiKF2HnHSrbvOuu
wZ2JeE2w6xDOrG+eIgM6jrZt8UBIuPFM6mFGOWF7A8F9w3g7RAoDPP76jzMUywvVf7B3JsuxG2mW
fiLIAAfgDmxjnkgGZ/JuYCQvr2Oe56fvD5IyO6XuzuralNWiFpkmk4wMRgQAdz//Od+R4/KHp/au
TPjbO5j3buHVh6ITxcWEpMCAfUzzT9mVhJRCYkernjQvf6TnK0JbYbFPQMLciQyiObveadoExWLo
8ww8ktqV0V4QK2QDAY/GCQNv0zcDW9XG3GLLpaIKpsBDN0aMcaAVUJVNHcklI2ATMIOfB1quK+pz
JzXccEF1cYCXqTT2MmMmqZltscujO3dsKJ42rX4DeUselJFFL8jzPDZHlnZaAlJyQ9SUZx7bbsUk
c18wxl8bLdGQ0E/MLdw1fZBdhqnZIQEjDEgUsDTNH6Qn5xPpn+Ba2Hl8M8VcqHUxqM82yccd7Jfm
mBQiPGQ5LUbVsMawD5Yr7sJrkhANE35dPlMfEux05zkfkdVN58isgVlDq9tJqqNszIevpkmzSRgR
+YZbt+JreoFT0S2EpDZ3mH670WM2DoeaTXEpLBhl7kmWOyYjVHQz/mN6CCGq6sqOENcSljCFILpW
Njp64j5QN42VyQc/cSWW43akW46Ew1ujTO/JaeMiASgNQY3Yk2SeXY4Lmwn/1/QoKrM6JFxTtyYf
H6bHtqWtHrv2MfMJ6qyyQjoveew5t3Q82QerrlLMrBlGrUAN0S8ileWuHjIch9MYNJ9mmunlpvT8
J5VTqxi3kC0oXDRr1kJXTlfaasJ7Tj5yo+LAtPAAe/pajpUWG+poooeR/Ee5HiZOHIjP/XsZxeVt
FJFBnczcvU20HZE5sfuZ35RW1NF11oMvKnXw5oqjA3vC/omudvHcZWo4yGGcPv00ymiL4CRzEDJ2
Prm+o1+hxFXMGdmqvFU+ifDDotkQ0+nocUJBU1J3sVPl22nphqY+Jvtd5I2r/YCdnawTibF92SX5
XZjE9lOfAc8nTioek6yxL7VRCf5ItiPXkCEFe0FZMTmoiQftO7PTd/MQWwTHNQ0EQ9ResLdnXzGX
MN9qYIuXpmjaS5o0NqnkuTrgn4rOVpx6t3meMZJP62lpb7cD8yyDEi9nNeiza/UxmPQEypnnuhZj
N9qGnwxXUpilmNtuuX/VLSa57J7mAPPBEaOg4IStSXgq50FRDJmZNNTjufsa5mJemxldwQo2akVM
qsKG4Z3iasIA4cUFcwUSTISmjSLZRwS/mm0SQRi1QdEeBj+/NeMawABFdMamtMd4FfqtdRgJG93L
mMCMy427baih3tf834o6oPyx6W1smBj2QBL4dz1jqhvKj7wv4snRzaADtvmCcwG+AfB0Eg+OaslV
JXOV3PS9C58pD8jZZa46UwS2eKG0vAQ+PRppF2NJV01+zqcpxqDCgWKLeerTakgapBZzRRtQySuJ
z51kihxL7EXc+pifE4n2IELGcEn/0ymi77ihYVM2GGDD1IrWfWFQ+GhXp8ig5dHtXE6pVnQHOFNt
3EAa9xZOsMM06/yI2HIydU24gyCfuW3pv3lbWr9o77J0fS8CpGZ6EYxyWztiM+fpE+iJcZfhC98V
Ib1wVNceYdRYG1lHn3i2hvQkABOTrvc7lCTtULtjdvO4awOnf4BWH9+MROt2XlK2t7UQZwiNP7qx
PGBlJRnSzMmqGSlhzyh2vfUKcaFBZqYtEIswp83aDxNEDQwfBZbwM5WmHkNVmnZD6niCdHFl8Y8d
pWj7yo5PNVD0GA/uBOlsDikCIWTTTjT+FANggDr9yKY0O8lUdu92Wjb0zodTdANhqd/noUVRADpA
9VC1ab2fq8FjpAfeliT42J2zUCcZVl5qHJpptldzZ9jf1Lz10cItcZOtU4LOahgMp8g7HWxao2xY
ByLREIHCUZ+TV4YM+ZVjBLlTsh3uoiSknZshwUYNLGK+j0OO7A4N3d4db0smPKqm+MluzIppp9/i
vrKCYXwJAjxvXO7vsys3bHuY+nndLmmq+IMHYvVAvD8ikeJm9mKKGHlTJEFMmIX3MaPPd0Nz1tMq
HSEe1f4iqKFImUM7rW2/Hm4UEYLPRiRQqHjhlYYrT2DClqssMxQkhbJ+LlSfH7RMt2mjmhMRoe5a
xoF+IXtQ7rN5cH/BOU7fht4pdwKgPlSXNKdcOW11fRhyH0RXXzIn5c33JrKLk19ZA4Y94Kb+1nO9
+YTJ1nmJiFCfxsYYT5Xw9MauKvNYZm7LgqRcSkXygoSaiBb3PZ+V67fzF14n80DSq9nY7hzsmFIz
bMgsauoIlMxt8jzJBAShC60Bg826tAk+NfiPTMbF3phjH/DQTruh/radgf1cwaWYjHIrTKxpPIjR
oIZs40hjI8V0b9iVfSqKwTkm5eQeoiwoPlyeZ+uG8l6k2qyOtl5u7krKGFlh6HuP8YvdUxy1tEJU
wy4rm+AmH6x4FU2B2JWUW28IPy2dtOJW992Z2qtfltWEuFNYpkCOsa/+2aUNRjQXy7Rgq3XrM/Xb
5Xqozu2swz0K68psBlYVv7b6pzao22ec/OmaMuweAW+8NTV5SUQN8pTYYjZBDzKRVmvO2EsYnvZH
n9OmO6JV2uM7P9RfIpoEPnGp07rG4X/nhDq/kGGwX/m8QSc4siMtX5YR1P0wcbauNqm8jJzwRA5S
3Zc9a3nQlSb1gzRbCVelt1QjB/fMXL1LZubJpQ/pdVmB6Hev3KE+Wm8Z1hfOIdk9rc/u92yOGipC
QF5wFNYt5S3y1NWp++3TU0P2mIFhNITRo11X1dk1pYOSW+XRO3mT9obHZnqs5mTYNJX60ku/hMrj
dKNx/d8yyvLeHaclHBbnHIYtFnr2RRgJb8qpIvRdR3Z0LDIMhKhK5cTTg9ylnsd8l2ImPvj1Ykp0
1fQQ0ACKO6/uTkWkgk1OSdaJqMH0MthNfjdm4VshVXA1gzJ5H0yvOgDUijZ0Ou6J2SZbQOMVVSDS
op1ppEo3tKhOVjErXRlo9Fnb2gIAJDzkywj9JXFfTY4yfMxedld1PPDYPxZvIW1zS+9FcsJiwwVc
N87Fs9rFOQK/HCBppMN7LVJjnXWy24pyHr+CCZOGjFj3Ag9IN9Bh+BqKdXwkvncuVPUs2x5pywjY
ZWYS1YkNERPi44y3PfOXqHuWfoyEaK+sqCNVYmx5N6bbobRg3AG4APEuWnAT5fAVRUNHb0OZneIa
cHYf9/3Rdi3rpMYu3WLrNDdjlgSHAZXYN8mElCBIjyr9OaDG/tS08hzjgl/FFhbXyJDWX5MB1TNF
TsS2F6F/iaGAgECKfOsVnPryeeDjcwbnznA9Zifgpq5DR+1RKIvy0+SCue0Sqz/GwMBWkYgR/ix0
/ojRwKFVU4suQ+/HqKPpMQioQ26wZ30klj/zVkoEy3wOvziMiSPIXwu3o+GsaBypng1jHh6SfkZ4
JglgveeqgACk/G5XRWZ5cMcJ3nnkp6W/puGHQ0/rWdeagfE66JtN4yW4MHu6k3deiVdl7Q+FBO5V
9RFuIL4vMjXJ25SPdANng9wXRk4COehubCNcS6zEikKnlewkfb+R9wugLCMS/zLmlKGAQlmPPUBI
PxJrtqfmKZF0G2Uq+66G8TBo/8mDGb+WOGWuEUviKknziXCE0rvJqSuobEV7THiX77Tu9R8Mk+qt
rwL5YrjCv+AHDb4M9kyU1WKWWPe1SzxXamfrZz20ujktL7J1sndqUzr2Rq57xPJW7XEmA6T0p9HY
WqmIzIM/uxhxcssYLxXpWgY1GFf2gpIrwnNMvNnqF94uqGPvy0SPBY8K/JusUqB+ECxBwaULMnkp
2SJtS3/yb9thTt9osYn2U0ipiBT2+CHzEEIripl1TbuJyL6Tz/faMPoTheUjJr9mIIM4JD22fCXQ
1NV8nFEqHvzMrz/0hPVe1kP5VrK+LUFC+6gmJ1uCoyhvWGaJZ7clUP/WMrGTVcV967bSYMfS19/m
rPsng9iwYuDgNDcSuMJ26JCJCaML7z1tQAmrRvyKktw/4cYKENGnyL56mgLEIbWjFx4c7bo2my7c
lIbb3WCbBLKGvLwzpil769yEneus0mvO7U7uLS0gDtHmS5s08NS5mScAgfmAayUTzTVRbXnH5ho3
ma3BdNSx4FEDnJTG2aIi9kQyMT2WMsORb831Y1yyh12xhcsOtH06G59TzAV2DhGnNG+epYmhtLCV
glaR6Bcn9qJ9UAeU7vhzHx+HHAyR2wzzKWN7diLXObz1s90/+exC75cyml0JZO4lE2N08nsr/tR0
AwGgHOZbXAjY0BkS6UuNB+Ymb3Bghhb4fjdO3aNZ9iMUKrr3CuLI0v2AbBWWC7HF/MiwLeIcVvP4
6iSk9YENEztcqdahNF6DSz4bcwOBqvA47VZQJ2gDSsob1vHyHUts+dIrOOZz6XAw8IjnTZ4o7mwm
yM9SJerkEVCnKaB3NxAJslu3mthiMYci1aviqH9jgCY3rhmHd4EzQgQl5KqAMSTynYA1anpjmqu2
9NIzOBB2nRH1oiujc6qtqgLSrA0NmcbkfZDu4gkW4+RBtALLyBmc92GtBVCJXthrGXg8XZPBSBjT
LdqDlfEtWS2pLroKs2c7NatTkTRdvwUUJD8Nh/PFOMdsl/xEEjegJyDDtoWZBG4loyfeNdtbQ46P
UQDQMSLCunbFmK/dEa7sH36n/zL9d3mh/2ZVNxZ1fx4tNP/WykBn20fbRo3+qMO/6cL/+OE/1V06
bzi+mC5a7FIvs9TX/GFo8MzfxB92lEWyXOTdf6q7glCTKX63JPm4d7A7/G91V/2GIOwzpnCo81VK
2f8ZdVf5fzM04KZAYBbEnRCZbSxQf3MKmUHcJ/xv3CkwHGI3Qk1cD03MhTnhpWdeVNKpua3hz9DA
BZwXCJUqO6JCo4Bp1rI8IG9JcWFvjA+tK0qieEFWXRg2pY9JNBhPrhWERz2y55BZHp7rTJl6V5MA
3jdjAkjeJmLLmSv8yQxnJlRFAiXcoHuGdPbJlHKzHDhakKLTait36BdGOVyDgp/u5VhkABTmR93Z
E0bUQwprziO1QHlfF9X1OfRwEo+ea4rdRHgLe/eo2xYA5EQ1cC6G6jYqJuZWHUmVx4CEzBtedP0I
0zffSFPEn8wy9c2UVrg7JqOfP3VBeAJWlQL/gtNlAKix9q1kIQbgS69tggdFbCUCo2+QX8emSe9K
KMbb3ODTyQXNHWbLIDoLBbOYWlA0l7Jb7qKStJi0Ppca8WzJ+0Odh5OYQMyTyecgqXFHvE7ZVRWG
fkaTsgFYKnrKCL4bwtpo0ecb1A2mWkRd0V+jcRVzjDzFfAG4VCgub2Xcn8eifpnwtwYbxaM6YYAE
XzJFnwcRNyJehTQJ2Bvccuqmk0P8EeVO9s3mlel63U+Ie1XeM3RlDW8uNLyy5XMbg8a9bBZ8Dn2r
xzWhtXalDbtA0paDvmm9wT+NNLG+h03QtGxmU7aDoIk46VLNINe1UYRvDJMdDREf0dRueB1rsvOe
Hfrg+etEY4tZSukAyBVBDX8q9NkUpKHZ/WQyPoQ7Gw7KoYsMYC+dmlyiBnJiw8w0AtELOWNLuV/z
3Dq2uBIIci6B7JqnMA+LD41UHRO3IBRzbjWX4poO5PKrytzpvfHDwtq4EVHSlR/X5Q9wrhQFzBbY
qX0c5/WjpWz/6jiWEWzmcgCIlhTNFc48DZYeKoWA2uPVhBny8aVxDAraiCQZ310Zu8xsLat+c1SS
fdKuUey9ceK/F8Ifnpo8h9qqW3TpVQ2HeToMDAwNsEdhjtMGd8RA0HpvYJ9eacI1L0Bayge3LWZ4
bZRWsFutDopxOGnqEvl6ZVJ5tam0O1brwBTJp+bmWn40IHnk1GlaHcyoAZbo9NJjbxzJa4oOByzP
SUfzVVeT+UalIeBmE3A7lQsZX6DXQZHf25MHhsWuABc3CLYWqTsPIn2DWqIDgnypmN8HPW4tAs52
NthfoMMAqpqEpD5dNWbM5C1nfB97iOJVF8I6NZrhCUdDeQk9Gy6o64hTDr+E8QM+2bVWEcCnaWxe
50Zhg9ENjb7CY1pCYq440UQhWQknauxzpDJaYW269Bh4H6Yp5KAxzduiSst1Tx/riuZHcB3Qo1az
UMGLL2LcQq2NrUImvlwbVteI1dTWZbUedAYrf16CMs4cmdY6G8YMCi6TbbCNYYXM15Xh86zC8Gwm
VqK3VWuLlKmQGN4MbhRrV4HD7UBQVNCh7JhTvTZawwJjNXNrz5lbXcspyqZd3sXMhcEr0bRtlO2q
JTJLopAT4G1VJROb5hwzcJs1zVuzWCwiiKpJ1seM/mue032aYvf0k2Uq3rHHX81+9Wy2Ir6ZPcHQ
yAdn/uoEur7YBFjfrV7F8EXcbN4ydcEo5o/wkjlpZCZ5qmpWX03upQedtV9mFTHzIsRWnFhK3GSt
47T66QBeI71ad9W8bF6Gm6jrdAv1Agj3prE4Z6+NZjmhkEEtPFTwSqoDHNMQbZDeCWy9pt98T9Ay
IWeMS1AbwQnrb3aos7o6AbDN7zI+KcBrpYvJIYOo1+5FYzfhochasXMislKHbM79Zh0zFEcbTqXL
qA+/PPEDjHyc0Dg6/qLGxTuZbSE2VkOf9AqJhIeTn0K3NrjdmjmKxk06VNV7xBSKEDqdPPdtWYuX
SRULtrBKxMUMC/FMdLciYhN7J6hPGgeLahFjvFLbd2Xr5XcSu+NzxVaUjzuWXD7wrBmkTaWVgASI
+puJjeUMitHRL77VmdlmLJT1y6xMyzvzF4Y2Pi43RWTxJu+9HT2TYWAqmhvuWzc7BI5g31oPrnzi
2VRfwCnFtxAExI6GIhL4AfYcXO71TMs44NRwnc6ptTOqIrrEU6Bep5gaJroKmFTGvrlORcV2eyii
K01PbFRny7rGPJHWVhFWL502k+eSuc7Gmrr3Epv4U1v2zjVJJ7xJTDIOlZuZTxwujW8RFzDohBaw
VeyCw78ZYzoJIyd4ykytrqqInorCNK4BFMdNMuULHiekSYQ0i7XWTll0jHFyoCesd3O4Xaj3CPx8
bOF6UrFDQVoKwpArIbXLj8jLg90IGYdibZV0EKqL4RCSID9SFhoe+nSYv1L4GQBZq7iGTleEd4VM
mwsFe2pbDjL6EbX1e1bqmfkmSakgItytqML7CDrwBgRwkgdPAeXCGzMf3D7MmQMPnoSLKIA7D5zc
py60YV80jahvlMsANg17DmueJUZvi4UaXgUTX+eY6pKHC/gP5wiot33i/IQcZNThDWPGetsurqAM
bEG0SgpQLmbj2HuHB9C6QLB+clla7ulbsAmMDUNCPBiA97Ywh+Zjhqp84zXYNrEWNeGxL4LwVoMr
eTSdrrzijiRk1GpXXfDRyUfbDaH8A0my9kNjiz1ESO8WwJ5uz3kTmNEK/QQ+YKzSj3Lyg/eOZveH
lj6fXwzxbMWqzFZizXAB+45V4Qjj30CVX7u6y1NQhE7OAd3mK17BjQoOddOC9YBuNr2K2fUXbER5
TUr6eFdOo1AF7MayPyS0VrlpYx2+SKcJ693ge4VxO7qYFR0dz5vGHYJgb4eKsFEcddNw9APcM3hW
Y/kK3lkwj4/6B6VpEGiTzLobRAjjpXUbxMyOUomDzJVmOJy273TVF/c1uVIQxbqLTh3DzLMM6ZhY
Emgx3DJ7utSyAuNqwPa4ZwM7UEft9+FbSOgHutjQ4ylwktB+MuOxerVFXF79hrLWESrnrddJDaAO
oXzcuFXNN1rX0Zwx/1Q/C8cpMwb6Yro1+iA/+WVu7uuZuRjYyZY8M6HpL+CxTGy82pk+2rAtpzUR
K2NLPrb/jAUdujvfhkA40FR7iBmE017TWt0f75IoTU5dQoXDoAedEmNNHlD4X7k5cVoSOyiv3uLk
DavsGTLQQxpm9Pmmurn4WUjPiR04XIAAs/d55tL6SwF1u8ltlOtVEEj/FbAAK0hQknBZE/JBRVHC
s1+gr1QX3yqW3FshH3paim84vKSXRk/pG0EuOMGSptqvZJrDPSZkF4wjFv1bkmg9HLu0HX94SITT
qRjtnvCob/Xku3JhpURL9HRoSVR8Bamu90FuMhzPDerxoMWoEqm+9vxb2pTwxrFyfRtWI7+1Dupu
28fJjPN2Nr16IzO+axhidiT2gm4v3HcNukuRxm8z4t+D6WeBvaO53WdtC/sXCzTUg4J1QGlGN1/n
yG5B1iyLL8xNYubdjFbHhPFhCqfmE2mruVF5Xj6BJzxbpAzQb7JefoRFVFH76HihvaXLBnKgkPic
+1nAnkzUsDEHMJyrMGIItm5S1+9WZu4kENu6eKnGrYDKNVWB9y3thPtmaosMaVe1QAfMiPF4hUPg
yzGq9jAUdXSDibW4X2arrzXetp9N5fqHNE+sl94yp3k9TqM+YiBoMN8M1G6vGcHro+E7s3FM8so8
CBXRxlxTgbNyp7D9AYAMMNhYt90lCm3mRYkk5b1KrCa+cCRAlqsHcShHs0pWLXF9/LUh+9CpxzIe
dnlZbui7YmAV40a11qZCMsyh1QJLiAOkDwwwEJQCC35paswHeDbLB2x3NM2YTXzw3BwbyGBY4kFz
ZR5ISeafsDcop+KU3fIKdpbC57KNR7Oru2uWWvUrBurpmFg2acyKBX+NoZ0GEatx+S+9yRbDEMW5
QeW+FL7GGRthVCF9mBbLPC6twwMOIn2Hc3PBhSW42LkfIA91fvarbm1pc7tk+wFX/NUg5Y/Gl3YF
gEzXpSJiBK3HudJ8AsLoP4wCrITjzcKBd9HJ5BxXPRuSAl/qqYlcAJzQnJzF3SrLQ9My0OzdPDI4
mobxsihHmXuo24avhm28mfnTuXeH+tSyIn1AyqSAKo+CBpijEHgwckulEHlwYvQr4bbjbh5aOpES
alv7VR2rnjMbo2nc1uG5ETjSa+TunxmNhrt5HBGy2UYCM1VdSAFoKpPoCN+++R51Utzo+veQAxCp
+8pS5nPmLmeKFrIBTktWcWBaVn3ndBZkb9kGB2EycqQyqznm3cSEXOfZ+EImUJj7LJbFEYZs8KOt
vYhwsJzTJX4P9cpG5tSvClQ2G0A1EM79H5/i7yGa/8CnqAi38dH+O5fivviLP/GfP/GHfqWc30Dx
uAz4iNf8hdej7N+kix9QUdVrUtm8RLf+4U7Egmg5OP6sJdvDjYFN8k9ej+X85nkYiynMdCwCksR4
/uZG/HfuxL/m3BQzVPJDeBMdSPHKsv8exxFq6HM3HYYtcdJiNQ7hvAtY+NY4lRcHczz+B32f/6cX
cnk9XtB1aeWUC7zoX72QbPebRJLz3c4OWcjZ0b/6uQSfMBjjHxfs/9N3KewlqPovUaPlvbmeqYgv
OZhA3b8rc50Ed0qxADQHy+S4lbm0e4BYsJh/ifImCXR/081giVLREg9A9P8pU0Q2JJ3kmPkONykh
YutkTgOCSoKHOFklvq5fKUbgzAa2wL2VUlunzhQNbJrZDdaNxWyIs7RHp2GG9VJhnCq+jaBbcOyJ
9ZR5mGl2tooq69w6tXmNOJewLaUzjB2ccr5bGeLToZCtX3tN2v2iTCP8JlbNfp+q6U0RpPMVyB2+
f5zxek9VX7wGQ9Pfx4zaz5Xpmz2QM2xSK3Y4/CkA3YJX7K8zI5uQ8yhY21QBM/bwZq7oFlH7csY0
t4IfaVRr6C96XDVOLagnVX39K4uN+qQaeVSa68HqoRtRQ3PJJ/m0uCnLDSeY4DRrYz4Ta0KwG9PL
GEIhgQLdr3VUvhkZTWqeiSHDmXMKqtRlopyEaaAIV1VZVzgxjPoyhSSLMf2DdwcSgs2VE+7GkB51
iuD+t8zFkhMA17fIpz0qI7WxmSqMBlIR5Bp7ddsCi2dI7aM6U4hlW2O7denYZJc47RPcIFZNCkgY
D5gAwS7zwJfWGO494s8bZvBHUVn9OiltXr6uaUux9K88hnjmdjH/QJgF10RxYKflr/uUYHoRNuZG
Ory4kBn+fs+8HzrUvK6ouXVwNGuR3GS5TvCh6c8BZscK65MHRd3Yk/u9L5J64y2faAIleRM44SNI
Db02R/HT7YKLlagjzUXpOgVobYKoYOKvS85J9n0AjhPap/UzltnOTswKPbDd22b8yxQSd2tQvzFx
+UXZwq1tx78SP7rg3DnpMrGIOwXLgbF61LXcI1asvKk/h0Gyb23jEqY4OJgdct2NKB2Mg6pKX2K8
IeYmhjJ8V7XubWQUb3kPa3+w6VGyh/Rs+uM3HtZ4k4yQypOML68e0d18TU9M3w7+trOR/2aPajsg
72woHe9WUPl5awfjZxg0r6Mmt+AKZo+JTchHBsZTYOvLFCtzTXYa4KzRBGuhCvwDMAPw9J6xphXM
IgWBOJ83ACaF3SGUjSH6DFyKJJYDUoo3d90yUeJYDJLT5KXlIIwjQkm/qTkSrfli78NswhlVMD8y
0rRBXuRGTSoxP7VGQ+VXo54Gk3eaKxp9cr4Hxyw/gQYV2/9ZXP9/FlemNmyv7H87KLr5yJfQ619m
RP/8sT8zrw4jHfpUOP+7gAs8h2zyn5lX0qsMeVjcEDpZK5c07D8yr+5vxE9ZXi3HIiRgu0yP/lxi
hU0AgMJcfqNNRtWGlvefWGKx6v51ISLzihmAldxlwM+cyvtbdNqlzQjuTsKJs46ywxQuq1HEmLvF
XFcCWdUIAONT4sX53qF6e63DeXzOmtZ4xNv4Wmu/ujEqb6baMRvPgE37B4bo9xaVGKtktmAGDYTu
xFiYBChJtKzCOmDD6GX0eHDB14HPhMTrzvhbHwzOMxSNj+EnlVp00iAckxRKr7EXex6dJVkSrxo5
ITBUnQMKEp7RpnQlk+oJvuUYoAjMw1Te1LEzhpzQJ8JeFCuCeA0IqZWJOoDncdyDDzvnMe1wAtEa
953MuDIBNdgVR9co/oH35HPwhXmIHOc25lDDapUm5wFLyAbaB1ULzvRrSUNunC6vkDIGgopGkD3g
gK/QfNzDhAaK39cCuRJhRZ3RztdA0k1+UfTWj4C+4hY7DcSgljfUoEEMcOZNq45fmPsAA8YUvKtF
ZgEkErhThjYrH8wh/jm4jbMxgiBY2+GUYo1FJmIpNn9kUF/5VUHe7yextHv4jn5ECF+DHzQe+06l
930K5DMdYMhvaMAxgburxTKGFZ9C3tyCnG7Vy+8UgxnU8OsTHjZMYXLShFRrBcwDd23lMIt287on
SZhKcUjLUBtHLAzpuRxBmO6CWfCYdGjGDM6AxdlOhJ7hn3u8lq+tqIP62FSyCfcUEPQnHtoVOijo
Ybnp3YlopKtMSM+4alMHJ4RjfsnKHl9yuoT7lUehH0E0VXGc7mkN9LeTMfnXViUJnsjKwWeOPuj2
q2FAGEami6M3gpP1zdy2DlM5AgrRWluBc4drjobPltMnExg4aFFZtytKX/o710G0glTV0hvkxw1N
PqajUsUpn57Rxcc3DA9xrYLwoNgoVCeuMHS71NMAwdG8xK1hDPmvooyys6o7rbfthL8S0w241VVM
Jvy0GBBgwlg1z3iJ8tf0+ugl9CwRWqM6ju1Ea7YZi7aNfQvb19axbz3TecPheR1j4nowcARbsvoQ
tk6Ir8y8ScuZ0ZldPPR2/xmUzmOXy+1kOdNt5NsHN2OxH7rqEutgYyegRiCmZP0Cg/fB8eh5TU6H
r0wMLszFKTuiCdvXaLKNby5nhFJ07t68cnQ2Niwy96ZZlbtigOfDI2rnZ+Sseau/7Pke5Bt2KX7G
ssq3zBDxPR4KXCphtBlqcrlI6Q7bhFhukEF/LhaxR780CHcYzdWTVCJjeFtVA8benjqoQ+oittKT
+JTZfbhPEnrIsNroQ0X3xEpKkIr+hIZAcUuznma4cElbGB+Ow1paqf2YFyFBShiffan0AVBnTt8i
BQNOXCFa+HZBW3Ve3JggBH/4k34UKXpZ5IluPwRpyS0T7xKHXRFQkZYAQ6C+ZmdutrU1bS1vbC5C
xGwyAkyveRowV1OPPPpudOwy6KxoWMQAv2uZVE9xmu6cSch95df7jLDu3pHmT/a5zK4kiO4EGj82
qnU/O3BkGu/JwMf1PbRe8tnN+te/nP3+L+QVhuV/edxjf/ExQEhpCWDjHgaDvzkCYIr1Rh9Z/sGg
ZwQlKxa4gCCQb/RYundhIblLjLlzSzgGSXNDb0QEc7kI6CDtewnHThL2X4+t5K6TReBfY0axsAxH
qIdcl5Fnr2qqk/pV1GO5LOrc+oJEz/1s1QPmXlWmqlqlGZmdDUN7WAVjWWPysqCY7EMtjfpYWy4P
i7wMzv2EK3Hn/v40MX5/slS/P2WAw6XnMSPCeezaSYkD9yXOgbomdtKZjrEjIxs/tLFBDDat4I5g
LuQxNciFwLnoiq3GICu7SwofeuCMveuYDxHr6C+mEw4YV/OziJPwjPQeb6FxjetEwJMH0InKl/vo
W539MGcWRmIeZxeZB+6+qgTx2b51ma1EDYliVO08Fye7U+23RRrque51saVGLuVabaos3zeJBcI5
7gsI3nKm8KCh1DnCmxCDoF4CgAUzXitOHiPQysN5qpgzpPGA7Q5383akcWptQlbf+L7OX8LKn68y
wH5HkgLnQx2fYZc7V3CM80ilj87feSj8L/bObLlxJM3SrzIvgDTAAcdyy52UKFFLKCTdwKSQhH2H
Aw48fX9QZm05XTVdZj0XM9aXaZGKEEnQl/Of851unTfQ1WQ1VlgTZ24eBR1yt0Ot/I+ol2qblOld
my9UOZPsZIVsbp1xuGQ31BRyN+vb3gSX3xczZ3dfMI7Uhndb+oWx94js//JDFGbLgJEaGksfgxdF
v6Ck8W3VSaNeJ8nqNfiDuA2lMu+Swc03lWW9O3loHUwNT7WDchmt8PdfcrJBq0SKfU5wa281XHYX
Iqu3sFn9iAGNq9tmO8ZYWjoB5QySK4Sta5hkz7DT9ZZ37me+UF+dhf9aRcG0NdB/V6LmqhvQJZQp
fWi/ubEkPAJAspFpjTsXtCwZBvL4JbjZOu5PUPs3sUXxi7CuOrC0IXhaH0xtNVBQZrmA94MbcxgW
myVEWz2rjwK9kCJ0+xMKAZFnBf8Wca2FBwoTtwKOK/2uO9EXN6w7So4/IB6OJ+bz3V1RCRqHF8Ju
urB2i4W6C2XyF4dFuS4B8g4Otaq4Ddw1JAcfTz3cXvi5LyCvoj2zewvBPDin8MrX9sL7Leko3djg
Tnf2QgNuFIYYHLIQghdWMMB6umlYrZjgbntwwpwSdlXd9eeZgQBJ8okWjoU+DMrigdJYfc4tKzmK
QpTXgMAZl3ULt1h71l22sIwlUGM6H5KjsUTyo9Hsc3ocoB+7AbcoGtly57MLc+jIyqq/siFCcc7c
aucgum+KjpG2XQj+NIG0ntpZuscIy90ThXx60dIbuBvrSfz0JrUoiW1hPicy6Z8aTIMVNZZp+oWj
VCBvhBEeGobVGBGF7uo9Q2yQdpgnC4gA7NHtsltn3xt3/b2JA0ZlQ7e9PEoO/vdGP3xv+vP3AaCO
Qg4D+vtg4HwfEtzlvBAvJ4f/uW39l25btlxSzv88bn14a6c/h61//5k/pEzvNwnKzPQ8yQb39/cs
RE4HoIK53G5cblQLb+yPe5Zt/kaZCUrft9fO+QYS/eWe5f1GahtuGE1oZrD8yb9xzcL1/Q/7rucA
wgpsK5Ce7ZikZG0udH+vLWYWY0vYByXLveHfgmTDVouxgT6KmeqXyO3VCxGO/Fi6+YgjqcEjtjg6
t2bWDId2EMEx5WF7CBhOljAb0uCpUr79LMbSu+H04/xIZNidR7Z92ibt9L1KDPtGtZFGqG+jg0sS
zkTqwoC+9Ns4H5mehVoB6uxvkDzFI4xt8MCJUZRf9HaJc+u7+aMg0r1hIINNJ7atS9fY2UaRpsPA
53JSrP1oRUtN+gQJuTu1TAOfzDpOzzAed8nUcwg3KCvhJhhsoaX6mNZ6lCkP+RE/tFjbqW0dq9wn
ohNJfApctaIbynDLfdIl1cbRWU7YSGVbG9/cA/N8yuF02t8oqHKbgFSxTxBkRYsq7Bymr2fkVOOk
c9PhphkPN44YnMU9kD0MnKnPtLHN29Rzy5tGOB08R8zFXtcM93kZgzntuTM4OT7xTMmbkEwLRHI9
7MEOBy8WXVMYECnTgBfpbA3RZLd5brcHmdFfh4kIoIzq5zcKJUn3ElzZMXRSlPwsTRK4vrdkf+Sp
RWf/EWb1F9TAWm7Kvm2SNRmL8cXsdfREtGN8xhDfPQahCj8tjpsUePkzKRgEWabjE23cydE1VdHt
GG2ZLxTRsUM6IDxrDC+efk2nZnR2GZPeCzSa8JpIir4KAAhv23oEAe0wf042lQqCDWjhiXI2xuD+
2iA5W62wfZbXtDoWX9ak5SEcOEKuzMpiUkWd37VdUEocatk85BOfi9NAUqH28GvSaXk3x/izSLTb
5yyPCHpxsf3JNRfkth+on0RYkid8AyT2GuMef2N9lQ6j+DJ0IrlGpAI7o2oUNq9o0nccrD/i2H+V
0gvPdTuTPddeeCVyW27UWHK+Jr9sWQvLV2WLXVUS+FTpfVz51iaZu+lEnNy7LeqAMEYGl7ZEhBi9
aLgeOKG9tZ2aD5NwxkNERPW6nerF30niJdLhATUPwJcNwP1u8Sncjv040eThknyLYvkS263rb7N5
MJ499p2nqM6zY5mN4yud0+bbSIKLqiW6z6vO969Gu+k2SUCtryvvEm019/agi3Wg8uENvm/zJLUd
79tK2S/1UJPiUQPRn8kO6ZetKGQ8O4WdxGyDTX0TdcxvVo7tRFcMNWmh9dr6VuqkuyR+Xf8kvIG2
GRemOoiGgD0zxTrbpSGb72BOJDEh599HRkEiIGN1uEVyggoGCZzf14RPvxqENT7hjvFOqqommgmN
6hx6PRShPhW3ycwMvC6VtcW10J66wWvBPpOJQhGta/ec0asM5yjvrU/43tYnt7n+kwlHcxYWPNAN
TdvMiCVSznZgkg70veta6vNcc/yRtHHZ7C3QSjnnG5V5m2Cygg2ksAWVZKcAXG06ATaqHORZlJ7a
Vjl9HgrAOsdTrzclcgZp1EUxrbc4/Ch6mVHeb4jxUNnashS/YJFmxIDfGOJaJhdEMRlcbJ3YiPAj
tQku6lM7j/E1rIbqGSRmVKwpclN32hjKDxolXU11ayReHUIFclXWXfyiqZTHd2FnBgI8lU5DtsqF
8l4mikXHVWzYPoQoQUK9scbnxsSed0o4Y1KobFTT0RhNWe4xgdpE+4PEwHqsGWv0svaeifoX/jbI
/fZiciw/gwtbFm0s0SyMusy5n/WACJQYJrX3hYlpqhSB8eLGGlsZ9VlMqyarA7vNxK9AxkpETbGq
aTQ3Y5428Vbr3tbbSFj4BjpjTNs9mIwMmUnI6oEWMG5RI112Bjj6lgg/JhaUceW64MUGKfqHOjYN
9I252Kmi7ttlsBxN3ISK6cGMsjpFTMjUS0KeXVLtR98VtG5EQC49dP1lysDFaXYyzHB8kbiMkDk5
lOOnOnFXdo+W1ZM26zA5f7WGW/7E99DRNtRN+Vo4cozIgTb5fZJ54U81Bt05D5yvhjIgCueDe0dr
DoKzjPBw67xydxjwgpOSSr9O/sBh1FGD++oos1v6cLLpaLoRnWBg09x9hF/yPqTU1b9wKee4R4DI
QsT02nEXpAEvoPUoAs/yoHcY7gCewmxVpD+AdeslZB7BQErABascjbBmRDquRkwU3P3YVexg1D3h
vtjcMvSTZyMbOmzmDob8VV8oeSRzxfe+5YvwXEO4B1CArQBDj4C5QJ6GuUqM1Wo/h+GwJyJu/VCE
jc5ZIeHJZoaZJtvSLdNnzsj8zh7A0xN+KwfC4EzX0aqLg+5UYQb+6btp4RwTLwWrEHrFKJlxARZZ
wkv2dVbywcEZobjZMDt+QTlE+UdjDLgpdJPON6Ux8I3pQyv/Sb+PumINtd5Mq59+kqT0jznSKOlF
b06XIJxNeIC/moFepdUL85UZucsOAyxuAd2JUhovDaXCV2LyMR6UPZveoCVWvTJ44gJHVXUd5HeO
DU98M2rJDb+3i7Odl+iTWMXHTxbd/jYNHbwZAZWyT8PgTABAErt6NbKqPgbo8ahBdm0/yCT2ES/o
UnsvuSXOKyD0LZpGUBqIUqHPUSFQff6W0MzKbWEYcEzT5oD4mnKVbvaIAFSOFa16qEqz/PRiSsd+
ElPAS9pOo3efYvuNdt448U6CAIMOhdnvEsQWgIY+dEW3diI638O+gDKRMtwBv5eQ2fJHygKAdFvp
nL/zWekUr75fP41dzy4wEHHFgT7fZ21MAWBGoBNvcWPxBcFpV90ZXsZlRzSG+VSn1GCvKV/wCPHO
Lj2wRH6jQ5+0gbr2ItFO2wz7Wr8JY9nTeI33jV1RdMlaZHH4HLo6Z66sscYkOe8qxSL1k+q0e9eP
SUADR8LnnrZc8YBUz+cZSE2yMn2nu1dWXt+PPi1kq94kiuFyEecbHyXFMYkn9xobqt2sHXY4ngw5
ocGnytpZlaWYhQ5Zsk1ns+dEa0E5x6ee3rqWDCnN8EuBA5L6KYPW9mJluZ1547aadyTIswbUreYd
qp06wRwW+W9Zktu/mOfwa0VB2uO91SPvbzzFaH5e9MvnPHtwcxU8JTSo7uO5MVj8ei6BTNnP+SRD
vTFkPoPgSOWBnZbqPiJq+OCK1Jy8fZV2ASFJ7V9pp7fJigqvTzcJ1MRXXMtMS0na2V+kSItP2Af2
SYZG9D73YqLZtKMYT2j7Bte7eZzoBf0f/8sfENn/g/+Fu9xirPgXl8akePsVv+X/69K+fXx28T8M
6n7/4T9uj8FvpgkClXmKcBDU/1Zc5UnulVwn/+pp4Wb3l9ujvWS8MKZ4rucLwT3yr1M6LpbI8+4C
ZLCk9/1H/8b1UTDU+0e7CLNAC1uNJBYmbCw5fyLTCi8ng4JBb0+8B6SZ11G32wXkOmtjan7xRLJc
mXHwNDbS37sGSdLCCXuAFiloI7cRH2zj5YFNhxIR4NQKoOWeYU76mreZt6tmt0aJ7bPmV9MTvg26
BqFwnKIbI+z0vR/Exq5S5XcDSN9+BGU47XXcefeEXZNxG5u1g4ezKhw0MzfeDUaxmwJ1Jo2TX+G0
sTi4uz3R/+hIpNHhdAKMIamDW1MlzaEOIvXsRk3wkRkuI+44nsJ9iy1lZ5cwilA8c/0RYTR/VTJU
JwJr9Fu7ut/TORgfpBNQziRM1FTd0Egs8jPDJf/WptpnO+FaP1SxaW0abHqrsXE4DsEuvIyobjR6
U1qxKujW2RNAS+fVHCb1j2Guqs+kSdxzbxr2qfHV49yZASbnzr/YXuMAKZIoXAL1m7U8qajWzvu2
9bZhDJEEM3A67P2JVkziCNlzpybzxAW2P5WZ+NWGxXAOsyTBdElJYOL53UMOY+FoT523NsLZlKso
85L3mPqsnyKM/KsmAR0Q+eBtke7raKU7aXwNk0sgniPNc8XOdOYD53VKSqPCpgTAZTo3DPq6cgPk
pVpPbPzb0PS/sKaQfHNj7LL5MBSnJlvaElg3x2IEAEW3peJmKcI1D7zDG2WUD+SR8a7MkIFhm5jP
Q7SMV1xCRYGktxHkkbVcu7tDLZJmMyL97f1IeNzkKJ4eBsmcKRrt9Eoa4ZPPEXsjE6t4pLehXw0d
u1g/x/aL5g52UAK1e3C84jbJF0ZZ68fjyiV0tmoFqA8v7LYjBNuN4Ey1LWT8KXhLOLmVtbyxgB0d
adBa8aGbCMBmcT1Wc/AhCQf/0INFOfdoF0+TFjkg0dB9HEsssSutg4Ybr0EwocYDhLphllSZGs7G
rZyWLHar6Ld1utvAaY21paJ6h5lE3Mz2VOzS0dU3nLgVoDXBU5uYQf4jx+/VbDSNBEi0vGdBStzc
aEv1OlMae2X4fn3Pmdm7mpPa302j2a7AIX00sDBdToL7evK8p6zWjJwh/cBsAuTUTulmlBltohyM
fljUod8wLpr7tSSyiPN45HrbxGl001dmdLFnGhlJgNmAYa2ZyyxcTXPf2QtEJTRhWk+ptfYoK/nl
zxmWpEAazcGQrbNr0aa3us0us6p+dZY++SRHgbyOG2H2xkJAOxeDXR/8hkIcTP2PcWNsyGyKY10u
NVwihsbyd2v1fzKtsv8cX2XVE6bDOm1JayEe/smQF3p42aqO5YDLBJYs+m1nEyQJjd88jmV9zRF/
Kaam1a4rn3Odg99E4m1vnBmqKyG1UsFiGSj6KWK0biZ1VwENnQsMyMiuqdEpn0mMtbsOdJm9BX0F
MaDvWzNc+j+z++D7+5x9f7ftmNH/seR74R6BC9knUL9ggsYBVtRWOUb2+q9furfYQv7BIGjZWAMX
zD8JXpfN508r/mSgaftZZO4tGT0EOWHHIrMfDF+/mgts0aqIxUhiEdeMXz38/HzGO3/QlDY3bV0C
XYhka23lHGOnn+aQORMj5k2b5sMnJ8XoMS70dPSa8eBw8mvsudFrodpXHwd5FXPiRc4/iVxAtc6S
X02jyfjNVnHRym+PCKaw1vBHnwKgOCfRFIWz7rKhgWCY2cdyaG2XHKDZb3kfxTocs3TD8JCS1EAX
F+WNwStdMuXrBCt6N7qgBkVhqxtyZc0NUYB4F4+Yy6p+9J4row2PbmGHl2nJgfCfwI9mlTynFqgy
PYzgM4Le386FK/cjXe/7yh3ta2KD0zGKfbBjI7yaXdSL6IH6XBIz4xzhnOhiMLbM+JjyBta+HSUG
MTbZbc7UBP85a+S2BZv91AvJbNQO6ieO+MEGoILz5ZpBtEn6LLtSI4kBBqfpFZc2OplVJ+ST0Utx
G8y+8WB3eOjxVkfsLQS9Ppu00k+uUblP0qvKSxw27QXM03AyGSYebMuJr8PGhEs3OMei9Tf9EC8E
kbZfN35HiaqnLASycRzv9Ejx7TCWCkMN6LF97KDK4kXXG0TA9kEJuoUQHTjoVpZ4d4h/PFahAyg9
pLW3B+m77mcJ4LLv8NzTizueZ1v013Pbx3sz7vRVSasSE77M3nFwTq49OXFTbYFQ71qLpNkqog56
bbZDfe3BQLhFR6jvXETtZk+p1ITtgMmedGy4ky0Ve8EwZxc1xtUZyPXSII+ho4js+kRWJLgDGAHM
rCG3PIIIpRmZDjLKr2ko41LRjLjyjWg66w4DS4pFHvwmQK+Jpapb1qzIZfUKl3XMjqz4riD08eUv
KxzjY4sKRjjEI3NmZ0iW1qQc/tT3wki6i0WSlcLZqGXlbJc11G9j1hla1WcWgphMAQTkAEgSK69e
1uBWOPpUjhVrbi2a6bkE4wvoZmJFt6rmHjhDdTWblnrFFEQ59gKrzAyS4PBm2BjSZY/wlt3Cyi0g
m9myhzTUeRgHD4EoWfffWxBobiTywJh6tEOr8R4ns5K3iykmJEzIvoZmZoPeqaxM7jsiMCdjqOtd
t+yTqiVTheWAHbSsI/99JI7MVsEzjclXJPVVnRewvuq+aA5VSPdVGPtpsmm/t/QZIDhEdYMqOAy0
w84CEt1CJ+Ej8r5PDdNygIDm8jUvRwqc4BwuMqLkBPA8uYmXcweplVUYxBACixgyIqE+Hy6g0ldE
OOpNHhj6GMLDXvVlUexrjj54XYr0mColGN77RJWsIXDWJeE/HDd5lp0lnpGj3Vd0nkaF+IlFwbnp
O+nfl5NFk3JLHnmH1B58NnMtLhpN7xdhjOGSdFPyw1Bp/xAiJnWbyFRLfDA2cFC1ht4UyDVcNoMR
BysRmBvXsNUBVmN25kw3Jawbwl2a5YS8FDQYnuqwLm56NZDYrUevfdft8Gyif24C31iELWC9uyL0
LdLeQ/zoRbzwlFvDkQwd5Oc4xacWBehYQDpJ2JHkNy5yJknpudp5KNLKvVCqJdck0nk+iqR6JDJJ
4rUy2/xoG0nab4qExqFVPPgpG2+t1nmg0+7s1gxd3WEMDhwszXcdzOqXXZVLGm2mzocDaWTvMEVJ
gvmoXQtKjrdxQsHeU6PIt5g6ouTkuTV6U+sbpwBk7AFzPVw6DwFuKboCRt+40V0SGeaLpf3LTFz7
kaaJYq0rA/ofLP4T2dJO86b57l08iew1tV2C86Yp7ZXdFv17hJb0WitK7k3PybdBlWGQcMN3wk6U
eoHV3PYQMq9EHfDwG14Pwr8xkzujyZtVaedVR/8lp8DVCGHokvAyQroo19LFwF1R1kB37KcpDLTP
vsJ8zZoILLw202rnJz2lHBTpPFdd5pyGqVNnaSN/RBZq8khJID8MTsgTccYLKKnw8DmwbxnPuKs8
cE/EjL+KMXgHc0RTI7l2LkhhVR69Vvp820cO5SWVCvco/9OelYeDdZiZT6nGygE96slyavHsNNSK
DCqvf45Spj/Dzmw/M77vm4BSt8PQz69lYD7ZMBGpMU2le5ROdRbueJuiYHPo12qtNAS8DLv8kpWN
QWaagw5gdAaVa161SCFH3+3Zd8NMntD07APlBukWq9n0khg8p+ZMT7oG508rkBv+Em3i7CPXh+fu
Vcuxfi41B2WtSJPFzodScbgnvWPsXGsS10lbJFf1RLPolSqN6t41BvEYc3/R66TS/eeQMQjEctD5
12VD0p6gt50+lPXIYGIeO14U4JsdQd+akQejnCCtKS01QmDBGy9oXf7WIXnLkwF8lFe3J5GUBd+f
jtc+YLAalZ9eldbYr31eKCjl1KAFluvIbYaf8FC23rwdg7zb1yFAIRHa9pKPmI46CMQ+kfz72sy9
54KTYLIN5ykAJ1ZOO0mWeWdbynsl52/txQBniYx8psgcTHxr28l0uYbGab+qq+6Y5t0L07nz7Jlf
y9B7O1ih9dYPWGCY2LI91o9d5sG6EHHf3YuonQiUJcn8kTJTWtmx/1QQBlgbir19FpiuxqEd977Z
gC+Kbb03FRxAeNHmE7CNRq7CiaW4aYeWJWnoAeWJ+q72wgICCSNrYwM2pX9EnpgfcXMAAc5MX60t
oIxmFjM3rHjNlxw84znlyr4yvjHcDokDBWbW3TjktMo9yUXjgUCMfYEvMX452XsIPq8ca40pMZpj
95ZaRFDZEK4Ya5TnAnXPMbFsth2Er1WZp3s3UQSPteCOASZyU8iPiTxuChwcasDKmPISioxnbWpm
kv2IjMyB8KoXw4001bOfvVbzPaZ75H0UvaYU6RcuupssK0pqJmvzzpNh88LzxebFYOl2nKHh5XFZ
P2O6YR6Q5KgQa4N9do/PWb3MsKx+uOCKX0Izkz9dBknrntT1sUMmP7ETxNduDuLJj1MLmk1ewG/p
OFSkEcjyFHnRo7tHQcW+Y5Lr3k9mOL2SfZxXhh8VmF0dOrVT11l7JWW+Bx/Q1Mx+6ulnZD+XIpnK
ste0+sWHyJHFMSf/uXWQdxkg4zoWKqwpJYC0MeWes9OQBg4O/YIgvTjJwkybtrjz9IEzpJmtnIqs
LeAZM7xImJRHfM96F+WKlhlhxT/ahJPfILCcIfICBnba4BDleQxpISHnCVFd7fgdBHgQGBBD3afP
zTAtE1QdRUQMi/uIokqgkxV0rWHZcH03ZhhnZT/g0da4gjq1z8KaA1lG9kp5WNU2eC8eA4Tg7azq
6pSyZhDznXL8gknliTUk25ES8y7jG5iVJgs29meqRRTfLH6Vat0HBT8x9OQSp7C0n6YSxi8NmN6v
OirtQ5yxQoR2Adihp46TQuDiUApU7r4s25XlZ+DA04rVjOj2uI4ySU4fs7GwQgiezC3KAPc4wkya
mceo4ifi8KqlpWIlMm1v4QSg4vvOOvbgEmIxnU4ofKDc2+Cee/laBPnIe0sdyMrF0n2OMwHUZhy8
DTrBvE20BGMiEo+7OZ07EIikx1sQWsexrawPJrgAlEDM4kLCIeuOFJ/59mSsGyO0YLmFTMnLMs0+
RF5lL4A523wFeCK8h1kfnEsO2hfuKv2VQ8nJ0ZxclCXmuoSwDWdYQ8OGGO7aMEnqvLqikjbl/len
h5rRywEoUI4/v22uS7vsDl0yrmugYKYm7g/qJZgZiqbWnm+Y/aPnunbpjRSHG5PcbVKgfcTYHywT
3kWfZleVkPBeD5PP+6nK4AWXyJrBoX8vSqp90tFLn2gRdY5NlufXXtJRBcpX8BiO6SWy3VH9bon6
52G5/+wqTKjeZ1pMRZgZ/MmzOqalCAEi+3tget1WOtB7W4gHyaqREOnxZXP/tXMdUfFZAiloGS9V
mziujTu8NNO76811u80dSZMWffDMFha9Ek3HBqMemMpaW/HsGKDXF4XTdJWsVr5GIJwq1z8lsnLg
dXJDNNbfd/z/brra/1s1cYxYnH9Zm7GO38qP5H8jq32nZpaf/EOPdwmSmigglGAscvzSB/d7asZz
f6MeTpiUhNvy25f1Vzne/I10BI4t6fj20i/Hc/SHmQs5nnyNBVeNphjLNalU/DfkeGt54P4+vGmS
Ql8clwG/BfqU+JM2o+JlsF6k094d2+ZH0VTeMx200dkXYcyYLGj1S2+Y72FmtZ9+a5evo+qmtTsg
K2ydbqy23lAxNycF+AwbuDoNgEo2lp/kH6gI6uf/lcfs/7/OQvd30h8f3j8fEP3o+7f2LVueyX+Y
Df3tZ39/HqlxMUkl4Z9nysPzIxnQ/PE84jv0GMmY1lJb6P0tw2Vb2A65HvIg2tbSjMsv8hdvof8b
f4AZ0ffs5eHmp/6Nx5Es9J+eR8smHM2cCXQbIik4Qv7870pc4pCYiSQpvid/UOR73AwjxH4JfxeY
inxDQSVliopAqDUz2TQ56SPPTS5UIQe9b5TeeB1guSCFiWuBLotmHdc/MIRhEB7mteexzcZukx8B
kw7vcaL6I44DzCxpHxnJOphLqAODL+ejMaEZrX0voQwxt+xd2TczdiOk/rxx+kNaKn4LygPiVeoq
jbtxJJNVt59RO0wkIjMVroJiGTgHln9j9iph9CGsZZAD68dTVHTAnd06fZFsuz71r7AQImLHM+3K
FhTOOLWDj3SZ266W+NfOoix7X03KfGAwnNxmtQvJlSVsU9gaVCdWnflkWInYAKpCRZi9ElsipvFk
FYv2LfctflGY8Om+8Mk+raJhysY1Whu1YVL5d/hpoo3b1NVl8J363Szy5sbJsCPO7iuGwvNcceoh
RnKg7fx6GFCJ5HQXo0mspaMuHCDPHLPajXa8fgd8ej+7UXscfXBnuwodDAe1UcC/9vWIZpYxuOjB
SdINlg+hubGc5E5U6VWbkf2s/cLZhOCVgNNVjHGW7CgCQNCaA/uaqN5w+k3nqW3DV8Ze8pjOfn2Z
O0vBBhSG+5iTizm16dQdtGuYZx3HlCKavQ2G2u8zc0WEMEOG1d5h6GjXYJUafgzkExnBE1rCbTAP
3cqGp87SaRwrLAm/OrsPoRNKWph50sgfl6P3cyQ2dlUKcLVFFGOqdHlHtqFTJB8Ja+nW5Kk8QOZb
YswSsyzCV/mK6ci99Srf5FZvpu9tXb30RMRfgmD29nCDsvsCsM0FzpL7RHMxoO4kNq/LpPGu01xF
m8ZyY24r+jqsdHQ9mCDD28Y2DoE5Zns6AcUd9BL4SDopKhJxGU+0zDosB6G6gfSXnXPt4JrPM6G5
XBXW9TS31bSSVuo99agG5LGCkThAA5paJzhui7GzLhBuOKdHsh7esDGPpzDjzmAzvdwP2dy/jkU4
XoeAzQ6Ymu1HZDwjXsG6G29tI21fc7g77TpL565ZD9qQzU1gZrlehWNhtBvYC90KZ6uxzewRvSIc
/ZorQ6b35Wzwz5T0fFwGQlJPDoI5NgiDj6LJNM1kHeM5xrSgo69gIpFwp2Px5KWUihmJ6d+yXFhw
URKR3KQxVCd/dvLL2M/99UBg9aKtgfy0QA1+CObKOjlZ3y1xTKv6xcktujV7wvIrYaVix1m048Ds
LTMuyzOuOINzjBwtxFP+0TK9FfTcncNFGOZwpbZ9qMttn1s5G6GjD963ltwvsrK/CMw+MYTreBGd
ucdAIusWKdr/VqXprEuuRQq436swnFiLfG1+C9mLpA0veDzHIChfZQ02DDcOmJa1mH7U33o4CkD4
aLWFeLcWuTwcG5iUi4QuiUptkkVWTxaB3UssvlvTIruHUT7e+YsUP0k5LkIsAn0dLFrv5G4BCx+M
RcT3qiG+zpi6HciEDqceku/FcoPikkhPPjWGOz5RaVt9jjYpvNWsK3EIl6EB4QZxy6BePllhw83W
qsf0imtzRyGpxyh1GT5AMre/ygwPdGWN9ZOsGHEbtW6fkmVwQVadGUa+jDNsQhq7dBlxLIGmnbmM
PYZlANI4LbMQo2Msgpoe7rDcMiuxl7FJlZX2dVQk3FGXoYq/jFcsEiWIjil8ilYFz+DNvF3TCXVP
qi288J/hsV7GNckyuCmWEU4vCMcKt1M3hHzK98kjDErYuXgVKgleA587iFpGQkIbgKqWMVGWuv22
+J4d+YaHcLoMlKzv2ZLEYnPKloETfDoGzcsQCum+uNTLYIr+TdQs7YMn7U4UFiy07h4ttnqtv+da
k/LuI8zW0TLy8mMvemyWMVjZMdx0W3SXvqVLi+mKoJfHnWYwWjTXMElrnXEE82y7ES5vu76uPaNf
z8v4rVWkbLFo8o00RXmQ6RLWwc7s2M/t1J4kvNKzVQ2HAh/TykuiM8y+9sBSvbUmvNxFiv4e1AV4
uNYiuErbFk0vbZ/QB4Vimp8yu++I5/k9FWqpKn3Gq1z9sz7NjzG9rEuSden0gjlPoLp95VDMyqzo
CFj7o63hmJpyfGgXrrjC/LoVzSh3Jdz3e9toZbFVZJYO2qqnbYExCo1YE0qlSXFe4ASF6i7oJfV7
rezsEAaiXki5xUnXvD0lzzzEv4LmFV0757irbYJ8IQjBrpyurFHse3ueD+6g5305ivwZdNcHSCP+
2vAt1l53GIt8y7sC1b/CAOAAKZf0b5HbqNbaMez7jmnFyUkr88GZhs5nCp7q29gryX1DbmF4ImMK
ZcCuWpTIJoxrhGl86bB1TzQCtU98P5iJ+hRj2RSNsM2o6qPoi+Hgi5r8LU0LQJ9ltjLj8rIc0Fd5
Djk0GorwgQ+g4D0lnM61vPXffDEBC+ma+MaKdLrhf6STp9Okwsy5uuR2aV6TeCyeqUQYtkMc1eba
xDpY70aBpivcHmsuHsXgqzBsmmMokoTtljkNik5LwWXkj8nW8kvX2bs0/xxLCBz3pFujZBtrZziU
WiuTwS6REDqHy+qe80VSnnOw+PBHCjpsEcbtdXw0gZf7G9E06XgbaN2eqCTL7zDIJ58FK860ip3F
rKpxSHS2m/ywgXRtU467VFrSCtV5Q77TAv44/+3ZhyKMk52dYuMwqsT8D/bOZLdyJM3Sr1Kr3jFA
Gs2MJBqoxZ0nSVez5BtCPojzPPPp+6MyMhERXVmF3BSqgd5kBhDh7nLp0mj/+c/5DnmuBRdKwcuB
ciaxZXtbPoAqvDNw5eXQ3/kDm2NdjMWmo6Jz5ZqIJy1Xi/XSNbyum2H8OUTj+DmU4mcTqfqbgwFe
lz36lpJBcecZgT50c9ceZieK1nlhDxfHXqSR0uzPaNY1ZBkYik4TZtD2eT01Zmef7Mp9EvOQndl7
JeTJDHfjI0uxW8RHS6lQsFGpyndh00VnGkWGuxau+x6chvEIR7DdD8rSOJVzDRJx8n/CubV3PKMB
DUSzzY+hy54Y/fVNRHHh1STRt2/mvt0ZMbF8Hab6MXACQKs5r851LOaYbWfLZkD0XnCaDGep7oDA
Vo9O9d2Ke7p7jNK/ZhHwOnAt+Fs4olZFE6vbroiStZH6lKZWZCSo5eui9eDm+GRJpYK4p1FqqxJY
iChPg7MNfTPcxS2lityuBgPXZiFpc6p7pP5RHrJRW49+64WEPkxq/ohhHhSLu30yDdYLlEM8Y6Kx
Dwkro2OU+sXVGVLUwk7PAnOpaURvKqrbQzUkQAdsu92MAmwa1mYHz/8sX3jRgSPTaMebPNJiKwc3
OUVW5h4cv+04Wsr8080T90Y3Kn3ukzzbg2A2twRxxWFOpDp61SRZBfgmToHS2sjE93jVTOy2uA3Y
G9Cg46Ux23tlNjvuqeaFloB466b1q+EXGzIu4W0/Ge95P4RLQYJ6tvOUNLJb15uoYGgptdOsS5zx
p1KF7bb2c2yzo8Sp1i0oWt1lGOf4YLBqydp0eEAm1k8mVT6bKWh9/gagkWha9v8LvJSQsEP+pBv8
dU5bXH5/mNPw/8zxYEbhAQgy+AdbJRuUPweCNj2UQsXFhh5c47nyxPjkWpb3hsOrvBPhHJzdSVTv
fkRMU/Zc8Ffgf4N92E3l02ij7pnsv2n4ToDo1p5xxYEhQh7aSCAi8xOgOF0uIrkvoje8jzRlR2kO
UEi0+b7saS0H7nl23cj4ERDC2tjGWNwZbDsOBE1fuqqhSZjM0tavPOtNdJ1zbi3WyjHOXJY3MJ+R
wtWtZFu7o/y3VpsMIsixDh3nGzf1YE/0A8dKPHwUvbp2bfcouaGsJuzmmDfEtMGlMt33XX7xo2S+
kBx3uIG7mM5hYsCqTBBO9C4da0rKltK0n6KtWGwacqFGTxmXwm1vWMXrLLJUbMjNJhyxoe4vWKCn
YwjWHF0Tks99UTT9XZPOsbHDPezfTOi7vwgiRz9ZG/UESQxnizFbPBRzMnkrKuDwBGrb3BZTr8+y
7YyDopFr08RzUeEN6KIZkdAcf/XN+NbgKYbwrKId5rF0p4gp7PqA2UmXXzvQObrxB+X2myqrWzYM
CoYv/SN0SFlzdDcnOW/okMC4z/x6pTES4oRNScoDD7rHHmscjqKQ/XGG4ko70tR8kk3mKpgNw4iZ
Z5EnO+4Lw9qt2MavXfoDL0jRZLu/rtzp1/UbhdUgsr1cyuOSKkC+kWJnMsunK3MIwzt7ucnbX5d6
EiDWiV0SN32q7kFTLvf/wXDbi7fMBBR5eYtRIrolzyRYUgTEGpt4sHZl4TVPWMWKM6YtZg1M2/yA
6mUEsb+mkW4ZTAANDle8Gkwr/jK4DDUNc8AFqBILJ6/a2l1lbFnWN+CLl5HH/Rp/LKfOy0NbOePa
rbV1Gum02U6SVkJUXz643hI/CYBofYBfhWwAtWaFaN1e5VjH+8md4Nu7y7xFJ8ljWUu9SY3ywRBR
dCgNvmG2URYPWWfJdcFCBkgqDpNVwVX45NBKdu5DhjRZ+8SKaREs1yENMAEdSKC3QsLjr6JSak0s
07567uC8VPwMppW5jIzJMjwmX3MkePSExUKLUsCQKYGDrYevyVN/TaHeMpCWlp3sq2VI7ZZxtbN0
cKmYYMtllI2WoTZbxlu+yGXQZeStl+E3XcZgahhAGy+jsTIC9z2X1fvYxMl3vQzQ3TJKz8tQnS/j
tfs1ac/L0B0u47e3DOLT10yeLuN5tgzqRMLFuV2G93EZ49uvib5ehvt8GfPnZeCPOaQznxaWtifS
seq+lIFkEQm6RS5Qi3Ag2s7b/EGr+w8Mghb68H9woHI3FItq46hlc/CHA9WrwdDKcXL32OMe5zf7
rfow3qqH4ba5J/SS3xnp7X/+J8r/K8dr25Yp2VZK6fHkO3/5Ewf0AkCYkb8nru9/x5YQUfwj4+k2
GaNZrLkYlud6qtjDW0ESfrfU3G7h7SSfs0Xeb0VvkL/L42GKmaK5IG5n3+aVJIrSMfdA+ozXhp6i
J1xRnNw6LyAHJZIqwG2bTPVhrIqKJGadnDRQhyMvZh431IEV/vSHjlbkfc9titk5w7QrrWo3ARc6
u4Wav+HS8Y8NbJNjv1jEW7xwz4Sz6gu1BwmosT4gYtlZ87nnfvcYenr+kEMU05c5jMMGL0P9IgN7
eRwzkf5Nof6nCx65hJ//qKfz8zM9aWlYlguc5K8+z8aj2KKH0bGfWldilI6OLZmcrZrA5OEQ5Xvl
2epqygWqby1tWSrqFJtPx3pv3DDMMYw5wc+p74ZTlsoJo60FUwZR9o37XfFiu+Wli1hZdqY3s8ux
hwccKRFLfqNMeDRjm6Y5Z0oOZot2sPLbGNS6hj94atwgL7btxFdle6LnguzPZEjnDlNKBg4R0/Ty
PoIvx6sp/npNzV+vLPn1+gqXN5m3vNP+eyX9/4m9PIqc2R+exc1H+/F7COT2I6Os/fRBvcu//a+P
rPzf/3b+4K4f1X9S7P/26/+xPXJcEKRYY3hOFer8P9R6+zfmFRZEaOX839de6e9pDvUbnwiFhk9y
Ay7nEgH5+/pI/MbTKBCeLFBuWhO/+Bf0eliff/q809kiyRyxP/rL4YHuGVgd+YN95hM+Myjys1YM
szO846i/LSUojK3n+8DTLQPa6WrBem4Jblbnaez9YxEEPNIhdG2m33BjTqOzSdEFDinBsC0vWKzN
pRHA+ugUxdh4jAh1+jZUpaKdjhmwu1VKIup1XIwyDv7GbVOZS9VCXd1ZnUheAwhdZOSLcJ8tVhsu
qckZWKJ3pLwP/8piyaHkpz7hxJWofF704S7WHScimb7xvxw9zWLucRebT7IYfvoJLkrx5QIaFkNQ
8eUNchDWL3MXkFQmg9z+Cr58RBjaxVO7mItaAJrTuaJk7zzVrriUiEQ73y18GuPkTxnP4EtcjVuJ
oDnurUSgyvuiROpfjE0pwxK5R8xOVdyXm7HJKVtN+niL9dQ+WIs9KnHC6alLkF7PTdD49hqk52Ko
6lA2iJpl6iavZccSYKE6G4N/VrFTfpdEv3HMlgZ8TMNax1/2rcXIVcR58spVqXwNgIAezMXw5eAm
c1jChAR/F2PYjJkVmZBA3o/O7vyTzUtd7HFQcUPEaa6Og9GzG2HRYTwZRuaMN7N0yNlw1nifePnn
QwqyYbG7GPVZm0H5YZTwR1nu997ayCjOjEz4YP4c87tEZVgyHtp1uyVpTQko7t4tsUBrM6egtsLl
v2RfNFFtG3XigQRD9lkBhGs2Ap3rJYmAL0Bcq8rgmdPShVHZC9LUs2a4Xqe00deMFW5wl2nHPnpZ
FV4VTBikytoP+XEXg+Dbhki+pvdluvqAY9igk7KX/JbiWvMlfnTxSKBcQfDf5FOlcFrSeYMVZyig
yDkkmTGI1sdQGtMuCy3/cyo1X1MD9IAUuRV6JDL4qIRo35V4cHTjf7DKT1xiDgb/M1oCS3ikIPdQ
OYiHq7KW6aKlaxU/9X0hRIqz1SutaNfB+F0LEuIPkUyDT0gU1Ez6RcnSKSIkqwqLwZSivhaXwzBj
SPPctOsOsWuYP7EdTx8z1sdnmz9WbQrDsj9NLKU80oEqqk0/Z82w9BRRm2BHTemvyj5te6IUuWtv
uLDRvuumoig2Y68kqZqs93fCcFxJV/hMLymeDoS+KR71EvPowpDi+lo92pGTDCu7NDK2PKrJxTa2
KpoeBZLRr2GqIHG3kUWFXcYLCv9PzkbFMH11sqaFPGalnveQjuMPYWI1n6xC/QATlR5MkjkPI0uL
y9gBiJ2tSl75pmDItdxyfBmNOPjAiBEdM10nx3KiY7sWsNpXqW69OyfxBHGmJuPvOoeUjOGc4ec0
QgY444DClKGmOuJdq72u3A68Rtn1GKQbRAktoy+9X7B9rWQztgYBTicKv0fMy98DGsx2uvKn2xkn
LU2YjXFqJ5VdY5CW1FHRMTWspDXJb0Y92RhAHTujk302i0vKD2kzZEXwjd8kO8ShaV6bmOv9IL1v
jJ+UR+WlpsMYi5rb1QpOiZte2slW31wZgJzLFwuu01Biu259pPXS4ewhJEwRpZUwha17/ENHcvzF
CVpDmW6QSPipsRbyL3HsjIdJR+42rLHYb8fS9S+qsVLUH8OE/1ghApULN8H8IKrkPWu7g23fNB7z
Z3qPHoLBaUTM7aWb75ThTiCIVFc+adV756xMqUySMvpRiFCScZ+pcOo7c28vgY4+tqOtaiKXlVOR
HERkqE2qwE2rqhqQUPD9FMuZntNYuAGfZJx0MMp3+iJSzJWhrPeKNBebkDS6NTj3bjJTW3dewyQW
Kr/fmEXdPCjO+WsV9JTs1oU7rvsuqbBEhPKqO5k8WQ14aMvBkQWkJem3HSV15zkb4wMk6OjQ5Yqa
NhkYJyy/RG4HkReIlMT4NuWQxTeByhD2LHugmM1gTxYnWfSQYXs6EqW/Z/3k0TAQ88wS/vbEO+9t
ysPqBKunAiZ5P5ssnfsmoF668szsREfklN8Rihxx5hbhZxwnwQOWPf9JlJBmeDqw+AaU46G41hLF
lwXwkGX6FecaK1pzpgc3mrKDhIzqrDzqUHc563hsdv3g3Gej7VzSemagtOfh0teGBCATOuQOYss/
BSD00OQD2k2YNXcwVO1ja/QBJByrbXcOWsuDcsCfRZFPJnFmifGLPUAU3grw/h8GnIhl8pqZac2k
UOvYHsdLGIHGovoUUANJ7MvsZv07wO54R0CIKDhvMcaBrFjOeDcssQP6Ceh0mZP7s8vb2dVU4tIg
JX7ZfZETTub4BdFARsR0kSaqzm1+sJCCrD3nrPOGyjjN7tz9yrC77wqr6QGC8RpaOZLGNBu/+ykg
y/AhIk/SFrtsAxmATIIawJt3DMb2Oqi1few6CbS4KZ3u7AyWde4ztjCeYXb70o6phJUFJ53BrzlG
TFCXovJHALCh3rcz9s1GuxXfzbZ69oe8Xme8TtZBPlEmNhbNwwDYbAeGyHlqYq+/hv2ACTqbeF/j
1j27hr4lC5ofm96QXAZQhukC1Q6Chgi+//8b+u+eGK7F/9xPcwo/8IL+EzcNv/J3N43zmwdpGB7r
X91dLvdzLDEw1P5i7hLqN+FCrCQGCEnZ0YsB5+9uGus3j/Ef35cDUl9xPf9XbucOXrA/T6NAlV0b
rw8XdJjNkMP+LCqYIInAvU3c0i2JsSTFskIfuUfebNt0quP5UL5+RXkw001Ta2zgZZNwRwqmOrA2
TSPkUqRT9Y8DR4q9clSrdthisxt37JZ6lrB9AOqNVdUqsB1Tz0Z5EufsIeyK/MwXlG0ySd3V4NHS
eDPhHRgvmhTIuQyKPLpTXRfgeSStGLGRih06Nx2n4f1P0O9B5i3Vy3zkwQ4oZ7n0jZWZQ0JyOHGI
OUBjWVGqxQcfCIXLOZyrnlS4Hz/0naoOcFScZGON+ZvKi9Fbd75FCyOYynVC2nZp7LG7J6fRwGuF
4af+asgsfz9AreHUHDRNfUOe2Tvmrh6AsV05xS6aB1lsGsKrt1ELrxgGMk6aTeCUs3lCS7XBwHCe
Mz2TN3UO8dIDcZAzGxuoWTJifNYD9BOSL8Y3mjM9D/fLFF0Kn1aXiv3fpSFBaq7qonCi8ygoCdy4
6dSyYrUdGKNJXYMxKUDOvwVD0b2njApIkl1b/BKzYX+G0jEMgDplefEhcN6MA68MblQk4Jm+4Eqv
FG+Hg2WI4WrMBlUGdp39sLOQ0SUB+ZFup2ow3ppKcsr4lW6KvQT2ezWEYicqZJDSPdWwcQfk3qdP
hZ32KIKt2dZrTEJlQTOQa33qkmQYZh8rfZ+d1vZ3HdAL7P8LSCWK6oglX4l1ZxU7ywTS+SCVLdDV
O6ukR1PUTXUtJ6PkvGPHTFKqeghj17yt4GsZq3iOs4F3v4JcpbLyw2zaEVxlDC1kqiaxRnmivqBu
xVZL6gm8scR6HbF3WM0TBQWtrIpdoaxpFwbJ+OpM/nRjBrl3YE3bvIxlEb1KL+ZVa88u2rPpuoQs
2vnRKsbxmgekP2RLBxZF7URZsG9v0wRslCyJWUEO8XYdvxeGNfJZvkUdW9O0Livr3FzaH8V2mGsB
5zmabwxW1gv1xT8BCCoOIgu9XW7rfK/MMHupydisITJxhcKmZWqQYo1H4Xt/RiTik4+nbFrV9Ks9
eD2o7WgpYhg6091EbtScK6bxjc/y/RkLesl+qBtPdkspQOjM/bqi9GFa6YkgoZVJvv84toMrieX5
3hY9PXE5+2k+6/a+FEyJmxB59dMldXqP119sYmbxxzkY5heDZcohdUgU7oa4wkPOoj5/IckgXqGQ
MnUVLZ0aIRRwx1JH3OPdQSb83rHJ3od4bauvk8iq90pkzX0O0utj8HwieJVwvEcRsSvOQ/DQ6xie
EDEGzpRkNcZ2vB3sCfMG897HMAO1wazdyGchKrZ6fZrAn+mz72MQO3d4VfW3GNF9G2bKB8SsGxwD
rkPFZhlZR1Tq9KfT+GyUyWaJctUaarqLHSYHyuXi8hMIgPWyfBCe7NmZPzHZD+XGHcz0eWb7dz9l
49ITaPSrMWyzeo3XaODvSWfQhqCx9W7bCP77To45+aA09W9t2+lOE2fEg4+x6lfGSI17sB+n18TL
YQg0HM0HWy8QHC5y9mdSF9SCNZ5dhasmEfqp454m1h17mvWcqgDZL8g/NNDXX4J1U7kqQC5eTZhX
AgMP+YLacscLm7WWysI5mndj2XobgJJs0SJ/3AqXxQmeNez/aLw7lHq6qqQv6xN+i6rc1ClLiU1u
gZhLKU+tcEuE3SJEUmFeJDwkpQbZt3Zb0TxAqqj2RKdAx/QwKR5jXB1bre0Ka6WnzyTB/IcglfKd
rXZyys3Z/2YMzaNZZiMs7467ewna7R79hULxYkgiLrsswGCmBd0RQVJgJTEmAU9rsi+aivSbtII/
j7rhhXeJGr1bT0Dj5XwwOr4RqZzvB811mVmhJTJpRulT2Afqm4iNYdv3gXPGDGnes/AeThHaODhc
nGNR0mWEzzvYa0kyendZPk2HvhiRWOLaoGy66wl70qkTGVusYho2c1RFCvYbvQE8CuJZI7zcg5VA
f257faKZMPsYm8r7oBOx23N152sebLv+yUXZoRMyEk+9xUw1y9zZguF1L0Fdlz8CPxg+vDJGhw1s
1RJbN/CbreZ+qA8a27+Be2pBT1v5p98wJuAlcdwDBYJUw7FnmTZCocFgQisu8UDquYCQtOonruAr
Z1DFrgWFewwRdIEuSYNiY9PNyl00Jrxv3dLDnxdyvKwqS2VoekM/4LhMkT3CjHxH2E4g0nuVdXdW
0rHoKlw673l7OjjgIhmzNoym+xro3ZJmaOr7vHAyb92wSSMKGjtyTUN8dKGvruLl1evktmlGcFNh
VpxCwm1wzfBr/HToZWxWBksbc00CLjp7ahq8nRC9+aydNHrhnQ2ev45KSGiOV/RsgQx1TlMX/rFW
3rMXwhVmx0ZXpgsvPwd73RnnNIJLcoz6Jn+y82qRE9smPgNQMuU5zCf7tShNPW7odDxGjdaEVpoc
T/uyemiJBD2MpitO0guTHYokso0bpKuZ6fM65w3fEI9Ddwl8tq/Kq4pPOF3zqznUep/SDH1sZpcq
MipaHjy/ksAObBYjRGP0ayvqEObUYHMdAvimfKxpJX6NMIxuU79KXguSADdc2Cq5B4tCUr5qvPTi
TZ377kHawu+p30wJ+3nSybgRhuTjHEh4AnUpn6C6JUcop3guPezLWCadxnnGodbl2zL1SNzTsvie
B+bwIjg6y1Us6vIM8MvbhkwqdD3MYjyIMQ1POiq64zQRVWfdqve+b+wiwPbVyojjiEXj0H+bBHBv
6oSkXlPFmby708IypwXPPdSQW25tykiJcVlm/8tXDb01cMJqLkZbs1zSwnaz9JS4B1K+yapjQ3e2
WvdJwu/bD17/aDl9+VrLtN73soao4vQuJ1bcK3M/Gg3iSZEG6WPEx+S1Gs2RSbGfDxF6ZMb4bUUP
Yvb68dQZyovXRUcpyJbiSPnmNe30vYSMFK0mTnWoganHqR5nftNRE136IWUhXHRMWp0oH15cjqPf
KeB+XZm+R5Ue+CZ6PXqQ4PW595ei2Dnskmv81R7rLUWyxWQYV023bGoGznWhAD1FX82zFB4wS8qh
A522NNOWS0ltudTVtktxbbxU2MZFUO8CM6SlL+rtp0Eefb7lOxJ8qzJr1E2TmawtzUFuh6zGyIRM
AMsxzI6ZBQmGiofg2rhtSdeTdetkkXWruSqj2pjDvb807iZL9y52YWp4yVXB/hm+6nmBajib3qez
F8xSfGthkLoE1SJmkKyn4zej8/ymnrksrmrGmRf11Qc8f3UDiyk39BkIU0s7b63djb0UCVecdbzB
JvVQOnjLNgtT3t5ZVZ5C/DFcz4ByTS0xHk3vdqAN+xo4La3F8DQmgrjTOJ+wB1Vvjbb0s4sATADS
ofVY5r1+aXSh7jns8FVlbAPeeYDNnT2ByFljW6M72Utz3PP0KZeJouWar1NsWKO5RHSN8NPTPb0o
4RA4+E+4bx5zUELwhb46m/G1N+ahzKhythu7CQ9kp+2cU3OyjE0HA9JcBVQU0xWIwYoW+yCwaYNp
nGiLu1cJyhel8WEYsnnMA3+GWcGdfVPSZniHQty9F46eyg2Rxvymcx0sreSf101scMWZZG/euY1O
3xsWs+02pOkxu2vy0LQp2axStVGhBN7n0aZCGXc/0k1g5kBeDmOJE5EnwqOMuRfeq+90DDq94+On
T6gNRdXEEAPuNoX6sinzCeCBnq3XpsGPsm+16Z69CU8GprAgei4MN5ugutcTUcy4kJ9oS0GxL/GA
TDvfbEHq45gHy4errwnvWnsBKKZpAbfQBR7ISy/14Ka70wPPzLBSBCMBS4Uzdw1O/3MbAofusvw8
QiN95VhSDxo0A/Fo3zvn/dQ+jlPS4LJJ51e4J47BqiEayWQWMWtr1gD4oSs969V/r/rB5vhHUaIF
cz78+/9L+Td2hP9pX9T5o85ZbCYff1pd/u1X/b66dH9TSoC7Zf8obJdr7z9Wl/I3luQK2Q8akHKV
x/bw99Wl5f4mISSZ5ldG0oEx/g9xxLKIJ7GK84jJSP6BQpB/YXX5V/eDVq7riEUT4d0JBWH593/w
W+DoM0qn9Siwa6g5yqc7jbMBC+uub7Gy+e19XySfBH3qv32g/qlDADf/X0UZTbE2Q5VrakZVsWx0
//gng1+2uXin3Vb7Xv3LZ726QkhEaRxUbwVHAdyAFygoJQSXiNbfsaGR6JjCwryNrKb8BLUEki2Z
ulGvMCe6b4U7kaIVEuwuy8ZFkgh4v0GmnVxWHhUPSWf24c5WvliHtV0QzumdkxG0ehcwW85I5xyh
UAIAien6jpSQ3mjb/hEzHVOe7u4ombHWrUHjhFPlD9jU2NQE5lYbwuS5xRq8eJIe7NHSzENjb99a
bI+uaUDXhoPOvmTQ4+HWduMFG8Kf509jsx9tnRE7KLYYnSjAA/+R4Bzh1QXUZu2PrIS5RUT84gHJ
fZ0VVf/D1oZ8bp1mbNZNZwV3EbiFCwgWkgURIB9Bej/DEorDVrQqhqEWBy/Y+L0H1gwjrISw3ARp
scfa3d1PRUXMqGhJURMWxplX07YC48mGDrVw7QejaT/9UeAXywsPUFgQt97PthwQqKZBGyxrPPMZ
Mb3hH8kU6Y1f2uFDg8pLf7DEEUg7bhDXK9i8CxjBDc9Uaw5n3G35RXCDWduG0rckdeSdGc1RuBXJ
pK6gHpw1vFvzEn2BMog+X8dgCFDBOWFQYCqnPWmiQihtpZ/vC9mNlz52211o+PSO17G3i6N2Pudj
Xz5Xuet066pscOM6tipe2D6zGG0N1yB0Q9/mvnN7r7gGwi5ivNUJVWegl1qA0nmVrWVTeuDtik4e
tGlG6BKhOb/gTDSTGkknaLH7TFY7rsrUne7474ZqJYbc+qUMR5lbTFP5tletd8WShYva7CF5rbsa
0ImyjPbYNb3UKzcvwAwGbIzZiZqCRnmIgSUtJ6V6oaQZGsYcTwBYoDn7kK9b+tN03cQsy51yOvpZ
Q4AI52x5A+aj/QZ0gQ9SUplvgVmEv/zWKX/wnYkemiRf1nqKVHU1pVO+jWQXvkkq2eHEdlGwEzGY
3xWBSYxnouNPmUUIycpPPOL9EA6+DaVsThpgAght1AZAB30MuTskmELNxyh2MRunR1HM9kOOPES2
wxItCCPuIhnbiX78UWUOCYU4GMr73re8b41bhK/MMKm7lW5d3KAUJJSqe4F+6VsLGndHNGdLs+NI
7XPbPA+BxzZZ5LX+qCIWeavS4cVtWTV4ap3GtbmuKJf5ZTSR9Ri2ZfbSq9i/1yx03vKOIXcVMsgZ
gAdt84ktIkgqaUGj2LK/yh4LXcltA1wSnEwVwNzxYeEhoLHJs3cROxWaHevUsCirYRcUhFrP4DKF
u7fCvqtxDRJH71vXPExITf0+TML6AT2GKnAvMNPzzFBtrbgIc4okTgaRJEsH424qJ9rDrcRNXmI8
UpB4zYJiaZ075LDMGvWMbt/swIiG5mAZMS5YTJrOscu55KN+Zlj3S1r1rkuK4CpaR3UgJJSTLE1w
w32EkvbCj1SxytfZ4qwuNSE9XT8GzC0bWUr2iLbK7glGxdu5ZOhD2RirN7vB9sVhZk7vA7nXbxzm
/ETdMsc2iXMgV2uwyYa3rvogZk5HXSmhamTjvOIhb7nfjXylRtmeukAjkPMVLmv+PudY6H2kLmBa
c387tESnUhPSFVmclFyU37NBPpAmF+9s+Hs6CjtFgZVpGbncDJNJI4UnuqtBwcazO42K4nW/d+BS
Dbl8G7K5/EnHfJ1uoARypEemR9ss0yXdaGUazhA53XoKjsQHiEQ4tk0XEo7q8Ao1bAi32KntU9Hr
INw3qd16mP87JOSps3i6aryjgFaq2KAdoB799UR9fbPNRe7vmrwpkTYaMCDSJpC0GShyK9BvFiQ1
Hxxa9qoiGQMoIEaWADEzwc/5xYTbb1IN/4mlFFju2u0udVNm/BJ3Pnk4XrC+uz5QfnJBDr5oWOO1
89LFdUbOvE/o5TM5iE3uxgcdTrxBE6q8X6kL59AL3Gi4lW3i5tss4aSe8wQG1oRmX61sJZ2fRa71
45gIgJfIYtkKcmbCCrBz6s+p68N7NnzYJyiRgo2DD+LWzXAE8xft1xj1s9eciewUJC6Nc7HDayfQ
6dLmls/nTORkXZyuOTs8elubr/xjbuNboHH+qnPMZa2BYQYzgEpvpd81mPkHv1i4WxCz1qIkHX3w
2cmwYehc/8MMJtSeTuObvBR6SiksIH//atowcTaZm0Zwo8YRXE5p8Xcb/XB6W3ofnjh+yyvqGTx4
c5zeC97PF005BKpdKtL3rAO5RF/u7ND7ZGp0/T4m7Lymz6jy4KCwol0ToK1J/Kv2ynKhv/VHX1xN
p1G/mKrAzvjR/Kx4kH54IEYYekwdIWuleyEXu4lbtPDaa4iyP+eop1hXVQ3VT55nwG3hhybuIygw
j0VhdcfOFEl6qQgWvyucIZ9zAt4ImEUFxdtKE5dvXEw0Olq14yjkcSZUVK2LgF3IZJX6g7dLdK8p
0x45tsrMItjZ0eW4KdoSVw5qSeLcAb/B6S4ppxuPlAsr9jx2LVl7dWozAnfnIcBEBPWHbYzw/Nui
L177rAYgh399A2GnoH0e7v+Oi0E1r7uWZMwZE5d+1DO1d+tqAna/znw0sDIcjXKDxLy3Mn+qt11p
kCrPhPujEq19zkPtqtUIZqFml4IfoDIMfemk9V6RlX2G7iK/uwkAl4Nj8jHberDNkfvw9WDZZl7+
dLWBTbzqnB4IQwQ/ziTXx6qF1g0kvCTwyQ6NXczTaXcIysNgLy0XPW7wrekSnly53WgU566X8nVo
Kz5RgPlzLkK0AKylyWuvTk1ywhQI8LrkBW991onvF5zTafAW1TlJegNx+05HERhmc8r6bRhNAZpD
yNbrkozZdEIcNb77pISA0iEVU+pdu+a6VEn7za569hApycJvgaELvbabKf4YB5tTwBMZMo41G9Zj
DiBLHoK+5G5CsmB4HpIBkCFUP7s5oqXbbNACn3E3ieMpuJls034w83R2dykbPEbHOSV53KH0HVst
nJ+ZL+j7kz6dovS+1FXpre3W0jvVy/B1GEl3K2PmxobzywJb2yBnm1MNU39kJQp2CkG+tYwfkxWU
7yYdZq2CBiUNhGcQmaugdbOdjCjRaHyULLxY/GFlIO662KU4QCta92yAhSwasLyP+SHw1Egle+zK
+7g0DJSbHAJjU6dbx/Mlr9weUqivQLg4nTvvXLZ1rPetVz6J9ucQNfG27iObJ6xwvKvT1fUlDmGi
/R/2zmQ5bqTNsq/SD9BIczjmbcwT50niBkaRkmMGHKMDT18n+Kd1V5Z1tVXta5OWypTIUBDhw/3u
PZevWASPiz2nuAAJTz1Zs13eoKTy/vGheDUoTejYjkNPeNhl81vsht1zR8pYUDrjGXKWvupwJ8/N
8CfiNPjpJmMFli68ptZqJxZ0qHG7+eOE3djCgkqSZ7eZa7ZY5sU3U+dgu5FXpo+SPIUksCcgt/Yw
T39SKzCbZtHl07SwqKyaKsYuZZUQ/OhWUwmHyr438jC4jmEalZv5RJERd3yc+GjMMzstODDGDJ47
OwnbWKWL25LTfLnJEQHF0WNssVW2nz41ubYea8pRtkvg4G0uA1wvApvSdgKouq6jzEFq0ujL4O59
65QXMfZOM6fEUIPEj2CMjkzbnHjmJMhGSRmoakfSYrWtKVpVi5+gwzP76zaWO/PWBm79YvdluWtS
kfvbIW/E2SwmGRkWkI0nytEVbwi2tFeUDBl+52Tu8MEFMaeiyvqXWVMoPGCTrF/F4BTPE0n6L1mq
+oAQZpojvu/qR8XNuGYu0GYfmVsrqogtyi6nOSf35lhVEUE6EzZW15HjYVRFc8u7HGLQG6fYZXEg
t2zYhmv90IZTBouJIkiP4piFA/Zgcc3p3FbcY4LV9hl7HknnuXXFc1ChKk5W8ZsBGZEyOA0Yxls7
iCmQLLHSHTxf2Se/nbzbmtkHUd6e2iHsoqE4MfXhgYv55B/7zGvvO0c11yyXiwjkelzzRtMwHJau
OE6h8pq1VWdffoAbld7Y1D5zS/Ye/KxiagMzecIQWOJxvDVJ/nKth9j0XL62RC33VedCcKytfiPx
PK0mAiIdH4C71MKBD2a8WRP3E9wbOH60xJUwcwV9vh1gCq8YmWOwHDDJmnESu/zKsKhwWj4w/Szv
y7mtN73NqREZcW5jvs3sFpea3uitNXMXQWHlcGEy/w5fdrer6uJA/RDGWs6Xqsun+8pvxauoymt9
BlMxsm3dG8jVYd2n0n8kgUFPTpOB8avMXZBYBBWkN/iH2jXRMQ5idN6pkQosnRUJGsN0eoZthtzd
piHo7La4up7q6LRA4SPxE0eQ3Vi8f4ddsNehIGFFQOxejSOVJyMcrNoaw1OAsfGHBIf5FbKBriGi
cDkran6LOwgNe4KCjS1fMbfuF98JgrVxGsOJl6T0M8EvQUNTHDariZqj56uP4FyAqV7hk2wOQFbH
lybQ+Xs8iAWPhZhBvQ9B1b07OdcgDgDpKHdVDANy32b5FLKSSrPpU1cxoEEh/LLsvr3MdsLJckwi
NrDM2ILTQAO4ZFeMnCbzLIweSNSE2c4O9YBVfEKCB+GP3W9I7Zo2NpuTwia/7plNSPEHNlMiJMAp
nAlLqON3J4ijLDs9L+1n7zMS35gB2NzGGIuHYoQ77BH54ZqwqzMH1Iys8bGvcXw5FOFUNmwUnF+/
Gy+V8cal4HrehBSFHaMxMtGh1FMHzgstlj3YKfzfoXIKMk9jcu6mbrrFCrvgqxYJB9PBzkCBlW5P
yScB/wdkgfrQD47z6PaC6YUKBUtiHPrTBv1Yzeum6Qidp2UwexgrwP2vM3KQkpmaFJehbZoD5lxO
T32YoM/Wluk/QYGH/f5/9NH/Usmj715Vy//cPnb+DVXnP4ij33/kb3E0IL1Bu19k4yPBn2ijP/5N
YXLhhTl4tqjbkI7r/DsOky3/CgS3l8jFZh1QNErM5G/nWPiXRFBFHLWJCuEho8DjvyGOSp/ukX/k
mHCn+Z7N1BwlFq0PI9o/RMpoYFae5zaNhXGPUFlzJhtq6CRrZtzDpcrQr2AyyrOPKZc0vdMfyV7k
xToso4ZIoNW/uRMnyVUFm/KH37Ax8KBX9ZF2XGroozAPA0zgfbUDphveiaT3wyOYlym9tJ6uP0kw
D+eOYu/2NAgfeYFo+TBiU4ip+XFBeRIjYyUE+Jg2GaRwbnAbyCjqixIFrwRxCD5tEzoZxJgelj64
k9GY6jyhrr3gNcjyLV16+CMWQbt7p9uBNgXhv+llkoxJZPjcJdZ0RzcB6IzxKvH5lVCn0Q79AVUy
geWAcz46STtfbrtqqoBCWAIq9+hW7niSnCAFrvC4xYw8J/JJVFyidnkepQX9HczLVrmykWgnTwQV
qfHExHAh6PPbesnCyJr+ERLdHcDw6Y6pVNBdpO/2NNpj0CjWTU2QDpiGbXBQcYwQ6zQrG1IPTPyZ
cqdwidO5vdRzJjw6Q8D9r33nesN2p2zm6CVBXsS5TCGb9LRQg8/s2ZEmnKv0VExN/plD9Wzw0g9F
vZm7nG/gQtf9IThz3uVWjGOqCtxnrhLjYY4xs3OVj+7lNDLoTaOsNduuE/WLdBzceXi26I+GBpWf
mtYIxQ2sNa+iyYMHVDr/k2UNf/cAqpCil8Hw1oQqhAs8ZX6xZcQq3/SQDm8cDFwA+4VL3VmIr3FY
u0GgzxiEaPZISg2rLoQaAb6UvNHRNX0y0xWouLh9L5ze9yI6XNdTSsPqg3ddY7vv5Xa8rrzsLCzC
Orlqx1j/p1uoKgmnKNZrRbrlt/u9iMeLxwkJjYbFnYLr6OiOVjZv9PfyD03C5vexJ+jv7aH0hZOv
pyWic9v/3kKm7+1k/t5a5u9tZvjecobr7qO/NyIuch1RvcXkaFPXrUp/b1uioZje/97M2JGqeJ1+
b3Jlk9OGIa97X/y9DQqnih/K694ov7dJJDc+g9P39smMg61USXZVXfj51/C91SJiYbaKvaHdoCCi
iaxgEoTkl52+fIqiNNx03D4AS49FKbnqcDzMXhuGs0UA9IxC1imgA8+PmrOQyAZDgC9spqvnIDqR
vVZyEnu3gkoSpO5yUVFXcGVm49dGxnqd5lOALzSqevvBbtP6tZ2gSI+MLm1vnIZ15IB9xm9RVk8q
odW56OZxn8VoFkeCXj5ok8y7EUOYsoOHlZj4BjRfrERspc0vh7bDixxhsK+ZMJTDCXxEPr8SqKMv
S8/zKOjHnI2f78ZBEIpZ0XaG/liC4PkVWzp5nIbK/5UXE24oDua0ZE/gf5e7NC/seW3zkRl2kdcA
x+fUarj2Ud7ghEcfaPlyh3NpxulnWdlrPwODo7qNSvLdYLgrQI9N5BBAuZpZ5ldxl6DGU5UD35t8
3EdtmnPVhRkhKPIjaBYrRHGHi/MAqNfz+Nuu/rfXRLMYmoGWitI0950c+73dUJT5P5v7f2lzjwAZ
/v8295uPr2T++F//ryquf/3Rv83h8q8Q4zW7O/soS/k/J6DYf69jzutgVP5f1qIEF3o9DgA/vPZJ
BREv5O89XkJuJLvJzuwzrAnhgv539nham/lS/9jkKWPxMUrA/SfeIUiy/3OTT204zku+dLtr+Y+7
ES3Kr921yR3PrXhNvN5+C7Wi/rzFpHBJEf3sE2U1/RHcD0R0V6Z3LQI4UtQ0u19emkfPS9VHUI9r
GBUw4RjJvCoF84aEaB2+4s5mfNFIuTGWI5j2FI+aq/5L4BEE6ZNhvIN18IoEYyxurRPUmqZ8VktV
fQ1e4Ny1gEoPknWRKcySHFtVDvdlbgocu4EHPKsr+rJZ68Ra0LznHkvO3LG49WiyobBxkqFFzQ/R
EGNczlK/qNmo9WNl/HJ5HCPinkc/WcqnhtDIuMnSdnwq7ZrSzcWdGMZEqGNsTq5MxqNUxahXzhg3
X5YVDpg0dMXYzylZKC6DqaLoNMak/JkUurJ9mOe8+XLxaqZ7FZl8fLVsFX3Vy2J+LVekxUG2kaaw
J2DDUNlk+bs0gnuEWweA850XBtV0Wixv/NPHQV9z8y31e4FO+1z72CSdNg4fpMs9YMoyjF6OQw7J
Shqxp5Ha/4U3AdaG42NSWGEP1mpVJL4g1Qf0iqFaW+/sTGHlZAdBGWRdeXa7Ov1J96f6glzRfhrR
BbdlkM4BJci6pxxsUu4aA/Z0Dphw7TG0UDyBo6bc8664TIo9eCdFp8eIeXSzHLyRUKuye3VxyA7k
7wsPxyMmFotlW1QCyzYbDu0LILcXJlyrJp655wlHpetmIJ9JHQ2tuQ57k+fmUu4hyzC+bjJ1gfXy
OZQ8LSAtcopsypo5aaqyp7DDHEaHGYJRwd8bGd1fZ9Zi4+NyTf0hrj6rDuvaH1WU4RuUEx5yW4D6
fk8a9HBGcuOaDe6XY9dkWtVoHUBNAuXgwr8X2dInm76M0rPfl4/XrA8z4ja5ENbyHoLAi362bZHe
KDQ6fwuSK9nrPgi53VEYDdjeKn5wBBqI/EqPJhwfzqJaB66koHHAuJN/18QhViVF1py6yrH2Qbgw
RpuJtF1oZk5B61SPlB2IbVrbrt67WS9XXHpBX7rjz9YNoGU3qBhr0pselMGRTMeOyHHoHERcLh90
ig/JG4bjJF2nJgmYVyd+xuido9N0FMSpEduGhcK6uhRpdbRlCKOGkoPkRwf/Cl6ArXqs9Ew2zEXP
RNpAek4wzHFHOsmO7LeEumpN9l0H1z1goNb6P7FRU1XC4S6w4n1cDu6b61DJcOu5XdLu6KBOhh1R
V9sjJ9rJeZ37yMG7aTazgNnADxo4WoVRf+VIVZlbV8O1grmIiLW2dSZoVY/4XY9JOGFHnQMs+G89
T1eIKanIzS4G6oKAP6EOrKs5wubdkOI8UF3aP4us8I64VJR+yrt6Drc4AKPs9zTOzWWEi8EHm32e
Ft3FLl5bXqhc43LPfxcTVFIuSHHbrK56I05/L6CA1hYLOkgXWpzVqZomY1guxZ82yvS69J1JbcmX
592RJxN5tCFxTiSndR9Qc6vbqvK8L98ylTzABIjS0+B67S8nKlracxNGkGgyHPtxPqQsEka+wFyz
X8ihII2J3HZ3BHFR40SjFUwXOPCBhxC/XuzIk5vYo9GP2Aol5ysWSKyMsF90veavWG6IYZC/yxOH
iWphcizkWdVOP0fivTcjc/O3OshmzuXeNDPKkhi5WwdzBEqD2bIOKYt4ejQdfLufbsZIR/fY+bgv
hhnxhszyzYNnqBlzyQg8EhnGIzfh0cB3Uan6GDNxwVJeGPto6zk99z2uM89q9TN9Ss4bfIppZ7cI
y3jxfITQCaG0ZIsst8YSFMWoscBOIU22VamlYOCR7tuLeYguTd1ba1oRCOfkdUkO3q2aO6uvhw/m
Z+Ydd4j72iVXIizE+51ox/iR3TIN99oOuufazswvjSj1hcNjep7actqNXvUUsSxRsKKDiHzBWD9l
DENw62MwOWmqCMWeS7w6UDrkbEqmuHu6wvHHem4Pr9PjlJnswmJc2lVX+D8V8FyNhbDqzrk/h38i
fBSrKq1d6k8iccj6vnwHg4KDo+a6PjEcHpxtMRYhSYOiPpTlWMNbxF/jUfuHA6ju7Ww3Q91hcVVo
U/hZL0OcOclaVspuLnPp4Lnr2qV+0cVUBHgqyqtlZWzcY+MO4zmnBL3f1AS3PeKYffru4VuEaTU7
N5nOo7uqhVKA+T78ZGtuL1TzdT9x4KKMTkR8T4SM1LnE681rIfj76DmmfQS3x697Av53vJb+nRIa
8ZrbHUrxQAXgoww4X6dgB2j19YNdF2S//VAWeL3BpU1xmfa3/PSqn2IhFWW8nvqstvf2tXRpGamb
L2wiy33CGOaWk4shw1GVTAYRKXRkXXmEtYsUYQ/tNscrzuctMM7GJi3xIJrrDakcovnBHqyleaJX
yzpJt27fpV3xgCl3uDau17oMN1QjjBPT167/5evRxb/RjA+GYh3nCBwh/1FPSqm7GXoeH8bMrX7V
U9d/xiSlECpMjRrQ0a7NzAcFONuNagyeIndm0OZ4RXBqQixWFAvX/HNOCEmv+WosZsIKghHBOqUj
CEwRZVtx7z24GQ0U3tSxMvPDtQm0d1W/7Zmc02SFN5eKEsU4uPEMSdRl6v94dcRdIh/5tXCS4Y83
9eORiqnmMvltcPK4Mz3kdT0u+Btmauq9YsxeChpw9okuu3MKrG8v/JgSoTbgC3FfoznbpqODXFvH
ZoNEPnbrIB95hWPC/7x2pkSHNis7JqKzs3zoqMrcrTbO/JHOVvzZdwZeW9eNtD6p0CXpIs1VprZp
cTzzg+c6L/nj1VqXFDOukEGqO02r+SMH02RDjEaSFkhDhVloKDA38DXVXkZZ/R6R5eDz5lTTjtt2
aiN3kALrCbb8rOoeBir6SPWB38o7u3EcfzjD0G3HuB1aDnhWfFY16YdVYzOyCHhJW+K/y7zOYNy+
9aHSnwTy9bxyavglaeKNeFERxx6TejZXA0P1XEfU1q3atmYcEqYjEMQm7Y4VtbHOliRdfc+qP2/a
NoiWA4cdWM1CxOqFMvLrujOxTHYyomqkjMB/tzGHps0MmaNcO2bW72GasdWEVrTctaX23E1Dx8tH
39feNkiyriZLnOd3Tipbl8RHaedrzBH4+Inrm5u+tblIdujuL2rpo2cwFnm45iaAu3BOxIG0JEk8
Exj3h4i8MXnKzRDdaxfrEIwVJ8QCZ7F9XJ0xGD/YmYnGzd4pKWos0GnZhwfs7LBl4ZJwJ1a8ZweR
Uqbq9b3bkRFvgwdQCBYERpiqTz67DpBDNbwmS58+ObMM7ynr5dyW4BZ4KPDxjTtQR17HkcQSMyf7
0Sf/Nir/CYxzepeNC5Em6iXnO8/R+SeSj/OoGxbqg+/UlGCAC/C3+NKtL1a8bMf+7O+oac9+M7Jp
NhyFvBfknNreEejwH8Uw+ZT4YIQAxQ5F3teSgM00Y4ZJ/Dr4mZNhvy9Fa/2q6Xp7EnPSpmfZ9eXV
ohz8oQAibS5AieuYrKRXfkEw6F+XycyHYinGc8AQDBBGkIhsLYIxq3Y+6vy8SStWoYPWpX8gPWG9
+Gouxm3RNd1e9F5/Lml1wcWfChxeXuNs7XloB6BlRXESeTkla5cw5tsSotXWSdbM/N5AByiiKaRd
u24ufQ1RcWOptN1OlSJeqjpxtMvhhxE9szkw8ZTNzwMvROr3uBbXy5RPp2GCopG2DSuPq9wHmJ34
ZWdJ2D+dicgKFi+mjsmrzO0QmhyjRZ5CFKku+lMH7qHznfZoyDNtddgXO9cCPRpSnbiPsWv+jrF0
3WFaZf2bqQ5btYbbIV2h+7qkupGhsetupBn9WxXV9T1JuuSos6bb2bNVHeyO4iWtguFzyvvmIbDm
OESZ42jEfLJ+Zmiidj5jrQNJDvXOcaZj5ps8phVLczfwQuclYKaGgkSGpI4pvQTg3EQtwQ41dBds
E+zU1NJupnT65PbQH216Pska0V26Haup/8o1itM2m4rwWGRJ+J5ppo6bSvv9aeIBWVvW3J5bDB8c
FvPsFFEq+rGE+mtpLM5WNCBet1NuY01SUQsKzx67lVxgAyi1A7/FrTbF0XCDEb7aAkpy1roibkhb
jNwR4PMf+lLM4VoTyTj7Ou8vAlDOkeyszjah14o7b/HgOluZf3Hq+JnH/sF31Xk0A7HGycXQkyNi
UxOPqQPfU2dP0YofJ0aHXJHd0kuW3CQWRLV1Ng/FK+4hLEfKj2hUKxHBo0q/+KI3H2mTm3uAq0Rn
hN9nN/PiBwdfklCpY0pP9sLAX2Y3NMtPXwp6C7r2LkcO3cddfxhsBzQ8bTUV9zRngGPSwuKDwPkD
esP4q1m6mxJ8/7krsvKaGcLkD4FI/cKfIyBcGNiJg6l39NeGNxz0QL5hp7lqt8NTmfC9nVB7WH7l
sNPkgjSPKOU+5VLK29oPpmfIs+MGgbvHrlFY/U/Gmd6pt+W4rUrakPvZ6X6FFd7QIgrM2Yvi6SlW
XsE9pxe7if6KQ0uEf0dZgP8WVjrKoQgrNW7GdlzEltPIfcHTqLclKEGCiYNdbrWlPerM8qHCOysD
Ci0nWydrgpz0U/aW07zjIbDLTWIN45+gwL9K/6KBSGLLquJm0gND7dlNvlppUX2aF6U5ZEtavRvV
Ik8MjsSYCoSjUfclKMPXOB1rjt95ec8AU77LxPLvZFbYX4RLalwublEimvNzOA7cbnZk67hIkJFJ
X3NtJg9PI33YTwwbq+pglA63jWKQDsFWLz/GpPGoDtTj0dAWy33BONU9FiHpH64CyYfyLHtLRQDy
pzsaH+Oc27OH9VVvPdndDNJnGskDmgFKXxH0HxIIJxx3uzxIL31vszo5O6Soqy2UyHwjJnQW7nUF
DtS49p51MPcMIhZH3ihSOB2D1jZrt7Kj+2LfM5Kydg6UH6D2V2PNK5lUKfYNu6aDQae4HhnVhVDv
DnJgxhvRRwPG9A4/N/S7SPxphKEzgYDVmzBlwLhldmLMLHDrf6RV2p5QcCoU20zjwAG7UpysIHPK
5+maGEfPHqmcJRrcnevEEMmDCgsRZbKm9Ywqse8dOh9KXUZbzfUNzo1wAlakVNDkC2fxhktn+06K
d6l308TYOlfUunE1s54B74QXy1+6NUdIYt1gV9/5yKXtLUu+7571UGZ3duy4n0U2hG8oMziO2I84
STfevsqL5taLGv3ptooQW8qE42L0YO/sKCm+Mqux4oOmRhUyRNJi8rYXnDirnDCcx4kPwYAJuqQj
wG8myoSxLk83WY7SzrVwUOgRBVY7GqeaHqNMV4HcbOAcefi7MF3QdHcd8gDk4uPeZQn2z1iUcMw6
bmLZjkl2WOzHYBSbNvf6YO22zfDDAdTLUZmcK3sO8dBnGl8w38YolncV1xf+awkre53QO+Sv2Kdz
/6SZ2H8QQgLlOiSKqAT2GE44bFFzgF1mxbzInKaouar7dvPml3b4Y6Fvy+DpT6z7OiycGR8Mtqj1
hDNtF86kRHewStsjJ3FQuEvDpDOeh47rHfXret1kfYN7DIjqu6vnZl/5g09yswpdLl1QZnY9vlIa
40Pv00f/sDaZhEfngxmuWOVl+CPrQPXsbX9gpKV95770hHMoStwAPMFO8VhZFNUDwMPPRrBVj2sZ
KZKvOL+ri51d3S6dLvmQlJSxNtuRlJbex7KEy7Oa+rhsjjQ5xRCtSzvb52MAtgbmhfnJxJU0Hh6n
7nWYsZABDDB4labgageVeQ9iMoAc0a5G7H8fQ5HYz2SN8TS5fehzTsiVcyZYj72HMW72IZlgoluk
xrJ3s7JJyJYjCZpTFAzLW1YNXLp4PIkC5nCpPXvlCoOdEKPzvqykf0IQCdIdNLGKiIYovoggyBss
TAxKi/zquMDr3/p36aD6V6AS2ZueBJj2YY5x1U/wfXyi0gHOQqz9NtY8HpVTP4O5XFEPqZmVjip6
BsbIbd5Ilp/Zt7Nf8TwxWB1gCMgL6wT4YPxTDQ9oTvz5GBrdVnsVRqNznspxWDZpZoLPlnnZCzBZ
uPV5Sk0qIAUkPXLZwUxQ1Ed75C5g5dt8aPEuYgRy1IehjBGsR4tWypA0vAVEiqU9YP1kwc4UEK2S
9X/Z5ICkxMarYDOtiwrg+orCYi02Yzo2txkp3gmRNjc//TijlTbQw08+Sa28tEIMe9Wobrg0QuJ4
n6zAiTaW06mvGHd7Ahh/yDjsxRWmcLYl1hVTmaJ8yZzRPS1RvYBkGgjRrSe2SXdl+dG0d33yAZbs
cCGOpPQvhDoZ6nKLtNSaea7GX1fURbaVMN4e8APlzZ7oQ4ULL4+6jaZ8YqAG0o1vJgMjct322bLV
ImPSPDG6YkEVUe/COeM1rLDP7wCgieEyT16l19fC3GVd0CtUrNNWICZ1gc86sCRReNstFCAzdc9L
rmBY7IE2ZpgUQgdwwb4OgX+vxKQQi+aaF6ws08U3HUGHeFeU9p8xt8LHNgxslMcMz79r1b3ZCNpR
QfknRQNEq2jaatuxbKqV32vrQXHVCF9lCpxM0fbBBQZqIpuLPVo7rvVu+sdl0vkOig74WgZO+rEw
IfwcDq6aVGmQPuakZA6EjJNxB/4heG3wOZ2XeVSvWZlwksbvmt0XuvjRWE68rVPKqo4Zm8g2HmiU
VroHTzaYuPpgoGN91WkzP2egGC04HVjBV6Rm+vkMAJ96cxMW5S13SBNCv79q2fkYfXKYa3+JLCxf
FmFa8tqEmTDOWQnFUQyb1j1RSk2rDMUUDoBbFtXC/W1betqhWjg7g6BwRtJxYXZ5w30nZnk1b9YO
lK9gWg4OD+5jr6fmMSZjiz8ht9NNIpV8anXHmt3jPnrOCcSZc6KHZregr6jdMgVjsi6tDiXKbjp/
2cUuiZdDyONLJKkeHXRLCNbZLWJDPu+WxR6XS0Ogzz90xnMYzySgdnFlSPtIZ88TUB6i58aeP4CN
bB0LZg/lyZiZ9VJMnwxkMI6DCvvBmcx47G1Z4j/RYI1oUee42dLWV88tANVnzqLkJkSUBNZaMIoC
n51r/eYHov4DcIKzqNOiA6zDTpS/ZQf1Z43jpNhUvkHsx7VAGFgCSoayTEs04H6//B/z1e//ynzW
pTWRWeV/br66+QDeBVm3b//hwPr7z/09nBV/RQRpBOYEWFv/GM7Kv/A+EU21vZB0KN6h/xNPlfIv
gREVO6YjnYgMJpnWv6eztvcXji2P6awjpe9A2P1vTWeFd82B/nuUtO+GrhtQtOCEpM7c4D9MZyWX
GtNLy2znvpHjwWdGAlqz83sWQPePup5Yse8GkbMx0VVMDr89v/a3/dcKrHQbBhnPd8Xa/aOc3Si6
xeiAK9iuOvnpaIbD+L0dBC6XfFr7bUQuvk3JoAWK5sFr0/TNcr1UIXO4U/2gZVV07H9pT4THrXCe
tJUfy41bTNRVZEkThaseNYYUzIgF/orXxkz9Lz8/h2dyjeCE1H3VK/sPpAN3CwlUkqDKh4j+Veza
Mk8seTsAhmIakUyux6fR1vnd1DbTRXx7wL2rHdxmLnFiuOOFm9YDiHUbfzvI2bxF/khw4gcr9Wzv
0YvYYHQgCchMMaqRSROcIosBcn5xRziE6+rb0y6JJtHMMnZuttYqw84eWqW/a78t8bNsOSJNY5Zm
dx0TfSYMTF183TkXSzgzC1gXjsWBRuUpP7Wm4d6IfZ7d5zpyb1Yz0IFuZa4mf9nbOb5N4V4rL0gD
UPrHseWaEECUqi92GyYP5pot6AgZeG1/5f+YvB42HL+9LZvxtWZl8MNV5BbpG1+N+O6o2nvIrWF9
9IqGyMPyHX+Aqes+5tDv1c11OBsTDhzcaIVETHACN45ldlPtczKJIUsvN27PaO6kApI0azEBKjjQ
RZC9teEyDfuhUfF4Q+JrjmCVX+Me4SS9exp97GmdhnFXXUKBvLQao4J8ak0NyoHIJ0GSjtxudBRM
lZsziRASIJjyhnHr4Zc7SBP2/cZ2allv1SL5d2YjpFc6YHDxbs7zsaA3uO5m+E0RtYlJ0PgQKFVj
sOYlVsE8lpRMc83LlElNUkm17VfdxbY58dQRoBbfyZuxxeK28eyaCppWDEdVXAfDGqQTMA+LSAwX
XCTtLBPOryayAVAn9oDqnyCQEVoDXT8jbKv65Ez0RTIXbvNLzwjwoU2DewY3/kvXMe+HqKqtI06x
5BROEylmLrENkkBmP+L1796XaPZB2OTwhCRbLDPgUD7F7Ygnry640z+nrWLsbEPE1OtBNPNTWjnL
V5mUy83oiZbKI/qe7bt2UETBDJjoaUvLUTMeIHGWN1BDqbkx6Ex6I7KxpLJ10XdRFgi9aaFnNZtY
RHm9tjzHfdZz0uCRkqXP6QUcZw/uqPIuXM0Tb9OomZMNSUxlnweHNWHVqdK9aRtE4w3K3cwsNCvT
9z6qpdkGM2MV31YYLuyGa8ymxnyxckMRv1pLEe+XYCS5berqi2LzAfIwbUwqds0bo+Ryrdkyg72t
2/Ino20+Nw0YljuivADl3LI+V6IYnzvl0+5czOgnaREZeE2uc0/A04BtjpzsMIzwwqvUpqohE6Ms
D1zH3Be7zLtzN0/q3ctlEm2Xvi/iB/AZwZVgTLBmHwG726HyJb9MY6Hlo+CRJ12EPfB4FPo5xb13
xJ7tpiuX3nlrRYSZrTwO/OKLKp725LRLRBOWCZdXoujVpx7rMdqNhWMos2HHIf+VU+YcFBO3pVFN
t4murWPsymu/qKqL6amZ0pjrHAkId5Pg3e4IrpaaFIWMm9PoN8WwN7Njc7UDAJttcoez+HrhmCvW
ntDd25jNwR2W73odwQl4t1UcVC8hN0kcaYYPyioi97iJrdrzNgHbYPhZUgBH08ni7L124vFM3pbU
Er/6obC3IQWchMnydhcNCQfWjpAZS3jpkHhh3oADNNUH3+08PqMRDQK4VlV/wkcXMe4wAx5TwHVU
s7s6foRTSsB45lK0QgkMkNM8m8oimjmzBzHENKkMQuJNDwPPtc7uIrMPH8rMeFAp4Osb14mXdahY
ctaZ7ZRbFCjhrxYk73taddQzOZCq2IzK2HDTnJTmHttjQLGKvAoZmZD09BJhsl1Yr+wUnwfvfLpd
Gtd/oDjMktwoqhLzIdS0ZuPPV5O89JLmMdUSFCJrA1FMUgf+1cPACeKYhsT1eStSf1uxmsHOC1Jz
zvtUHHiYF4ssMtgGY+omXY+cD+hLs9I23vXaiw5VkaVfvon0G17J+sEa+5SKUZ0un5w5AXczQpLc
w9Bq6g3foi/X45AtR7ty8/xA6xQZ7TSFbohzYKGbJgyvbwL0fS43eZndd//G3nks126kXfZVOnoO
BZBAJoBBT443PIbeTBDk5SW893j6XjhS/2Wi+++qeSk0kkSR9xDI/Mzea8fTSIFQmeYn9e3sBM2y
4mnEq3XK9aJH4BMPaCasmKPVbZGUgX/x0/MAhwgaXtC99FByiSNEOLnRNWATUao7GMCdtu5OsTuN
T0wynWrVRxisEClimiNWtXV+27017hjFGmevD2gOQcvjlyZsqC8XWe9PORps2yHdZwi8i4XTYdxZ
bVS419FRmDS03g5O+C/ddzWLZiKhHcubjsZGUQNrCHvLTWXjzYIbk0Nu5d1EOCHje0a+X9Es0Aln
qY64qXYQH6Hg8cXkvJKGYf5g0/XY9SP1wWeN6gd6RLzXB7BmnDGz+QSN0GhF7TLpW4JvxyqNlt1A
z6aVmX0wSlsX225WHKWz9gg4KTYqw0eQBLs7wNs3y5RYWIqlXRLAN9ge4bvl5FWEOqFtsm4yp2BW
PKlZ+6TyYNoNqd4CbWD5vwiKHqBGMiumIj9nIIBCsNk2gd8ftZu4Sld9s85ukisjCu1zN+uwcJ/5
31avgvegHp+0m1xL3KRb9qziCmc9V3qTdil77lorziJMSeYkuj00VfXF7hhpgpElQjt0SMWMWTOG
Vt25J1iRmGHISU8JrucPSfBofjajsvtBKIn4zLdnIZpqAkRpwU2gJsUUA39wCjDfNwlbbsXDly/Q
tfVWFnYvOZb0cKtyI/8upalX9xClEMQJAkncg3UTyoWuwcfo+y6DXWvW0plMjUvKm1li593kdhrl
HE7Rmwwvy8zusbyJ88JYw0N4k+zlN/meiZCvq4s4P0jm0axm3X68R16LExt++wkLa7hDXoAcMBgq
SO83jeBNLmhbAdLBeXLBKgvq0jWcqgAMOhDoLNJCQiN786JbVgCwoCHvHANyi2u3SNYIAn3ucmqQ
72pWMcqMUFpU4GJlI3+EZoXiUdMyxI8Y9x1Ek0S7ZZ/jTSDJQes+wfKzvtuuNIuFb1XZpQXV+tIO
uIijm9TShFkOFDa3k2VS+mQy6ZbxoqjVznUj/a2bdD5j1ltfKW89pj63m8NYFIThxoX1iwsyWXFl
0ZlC/DBfG6/+FMybSAXoEvpXX8TFD8ql8tW49bcMgel1pYeqe6mFY/ZS+q3/1N/6YkcRIK1TLz72
fzbOkALFG5ukcuneOuvGAlVvze22Qd89UJN/GsOkli09eTQ355owOfmbW8/OIpn+Xb/18vGtr0+T
rI3O4a3fd2+9v3abA4jbTICJQGpz5s2zArjXzA3CeYRQ26U5HNt5sFDfZgzhPG4g64fJg7C4ygOU
lw/VWPsPPPvTbuow0C5i1KDtKpva9go01VqSF14c9aQ2N2IedoRMPazb/KOYXY9B5URyX0dYv1+B
dAdsyARAuEVaVFSEk6kbp8Is26vVD0xDomKBtC9krh8MB51Aw7UJdHXZ1d1H3PZhuSEzJfaYrNiV
uzADsubKwW0ees2btj5LtLeCocSeWXQVL2HCxvku1FwN+m9qheFaVwESUVwH2juOmVY7MLGHBNOa
qf3cmx1adBQWBlyvqgOfkTg2c14u2rNvzc1Zbtdxzu3tDo/hSJTBJmcQya9QTu/AIfsPwU+hVhEa
OWPp8HkXKwte4NYyq+GjhCTKft+IrUsYgA+hwOWEjSYyHthFBweyn4bfqVeOGzXayb4yMFTuOje3
TjQNjndgcyu+opyI1cSgnVlRZDDfDCaXofMUo8RiIguxQmSWJZa46dYEkONpc/mNNaBqzDha8zIb
JXPeuPvi9VV3dZwA3QgMndsd342/89iaFqsuSDa9DsR2gXk6vQidYoi4Pz00DrUbeGpDR6yTfhpq
EV0V7Q3ZmZKEYBdt6YdsuMCWU9PSvzKGtWb6BWYJGiVXjc8kKRoWun2TlUQIge27Kyu574LWeE+H
DKtEIKtdXHDMTwID6QJ4P2dN3CDQyqBKpdLxkbSwDcyWSP8QRKEIrT8srfQuvo1MTBlVgMDQQdvl
j8VMmYwS8P9Vk9eHMhf4EmvXU5hV/UytmZYyGG97H/tph/yOKKkA86hTOC4q1yZ0v0Po4I+Mf5+D
WU28YNCJYT5D3pcWk73BW4tOLdadw8jyF90LiMqCmfTV7pg2F2w2K3b9MoELHbb1QzUn/JhVa89q
hbD+FTXMuTeEDzXkQzfZLCAMmu+imboLMChWi6nQWfxJkn64pFFxflpNr69IJzd+8P6iuEbxQWUf
qjtAPOqejSXYvsDrT0iQjr7t4g9PJGg11D+AvS31q2Z3cI2Vb2MvzwApBXRJotS3dUQETN8p8xVV
+DePG/SHOcC4VeF30oXpnlScdJWE8P/TiAoZTNXZIi/rkMqaH6jLi6vDNbwJm8r/oKZIWbqEo3q0
4k9dSII0eI4o9DPiPEd28TD15D4mi/vRKxp9WzmY4Dk4VyQymluDbNFvdsnGztMra28W8W7KHBgM
qo2jVQEleRMBaHysDGNE4uToXyg/syOmzf4T0yYmUi/GQ+42o04WUpwrf80h2f+aMEj10L6MEuCL
dA5NTNTwomTqmCw7sMOfMlbOuJ5UKe9GwnJ2+UBNH+Pa3UbEI+6QVNPud0V87R1zPMPuldVCkpZ6
18PrchljN9PvMaqRQ8RUkMg9UudplErdjYJMGVVnFj1xgku3iPWVoJL/nWhDta3wxcyXyVvpQuQC
xifbU604RBsV5dGywHbmbdPc9XfwjLZl4sTbrAkGOJ8Fw49YFc0z5W7JgGKsi+Vw6zmAJqxKmNw/
jhm4WPqRB2L9n94NdOAPWQ73jMTjiNxvNO8MzfXWWIaS45LJzVbmyb4XfrENEkNd2tgy+AMNjrYU
Ms8odrSUdX2LM9i3G4m4l/60ta3yra90xOwjKmNd2vIhcS1iY9F43idoXBYDYG4wvCj8ysTU39ha
Fiu2gdUZH7GxZuovNujsyOqtezCKKOCpaOQ1KGflEUHAB/YxGIBGcpwH+4xzvl8iX7aOoxTGRgp3
wutNMG6G2IkeucMCWfvauuMy3pBUGS6BRqV3HFTRmlfGeWV9Mxu5qrJcAi9l+2z4TwCq0FiFejc8
KTXUm550WJ4Pt5UXFNcOhJdIjac+AYDMiQv0mpzZzdj45WGa/EIcByMqiJeVOVyNoH7XkG09SVWS
oz6UU/08dS7Vnh+bUFUjfYsGRue3OgHEVPz+q8xv1jYaDf+AZiAhFTjoV52UsthaU2x/DVnyCUkm
XA65wbygmdLfiKW8LedD/oDlki1T6GlnwoHhYHnotiMuVsQSGdKNoMi3cpDdMkoGBHaJfS6klxrw
5zowrS57lJm6L8MjSLJsb+uV81tvzKvmUXaTeDlRkHnjVVnE2Q8YrpYG8k5CSTrmR1q+DYao2ath
YjY15pN6USKV7zJm3l8H3CQ+gct22YDVpd/A6E9hCwNHjl9TmJjPAK30n75qNfoBV16RiW4jJafm
XGhY1E9Bh3eU/xeo0Cn5VUpD1GuWccOO0nuEDRyl17iWYgf0plxXLMLHez32ALyMMAgdMl1JWKwD
Kil0PIJy2GZrF0eEEIDv6dt73SSKayGxsRKi+h/b17+yVjB0Qwh2ov/tZuG3H+DrHv9hr/C3L/xz
teDi05a48uYtgiADZM7f+9Pc7bh/OAbHpsLgZf/1b/4iX2L80vF1ueTbMwed3d3/tVogMWQ2kBls
lZT80xP275i7zX/yfWEtx3dmEh+vHAuDmeX8o++r9diYSVh0u4rbx9+JMibV3jGZjONECINvQoSS
Q6NQc++lqcg4NkbHX6uennzju575XOLe2dNSKrCxkISHRRoSLYeWqRnKLcFG5rNb2yYhwb1+STVN
NldTZspc2sRDA52zrAgDbY6gDpG+UxZ3upYPe0Bw6AylH/hrhIz+Uy1tJKWdhkO5bQ3tifEsCaCt
3b4V5EItMugPayRhMcI4CEjAoVadqZ9HhGNMvgoWHTF8ml8M8wqySdColEv+sP6dHtVADSuAQncS
kgWwMos1ft0mDqdVku6QQaSXUoRix0U7YOmYzN0YjuFOWKWLlQCW8jJNRnXfB1hugG442x4Ux6lw
EhetHKAa0yVn2axSmJpQ+5ciUEvRWaJ4Ie66bx88HJ6Y3+v8wQCVMV+phDGtc+GY+p0QXugfepYr
9yVptagJkK4TmItDu996TtfR3yF6YYyRlYO/qg0PEauvmfhcuOChtfgGAqNFAoTDuJ8MSKGXyndU
ds+WS2NzruMA28WRVnn7oHCMCfAWN/XB63rWSDnWWrKtWg6xjUkZ/dZBNJb3DqwPsTEmOAZYxwT8
C0HCIj32hPJj46H/2NqNHnzreeHby7RI3W1WtcaL9Hq3Wvk6esY8qn9oO46t1pdXQUF0B0YYCIyp
azsNutIbe30A87p37QeGLhQQDGmaIXVPZtWv0hGzthHG+kbpzHnzxIuGRSn1fltbWf1tpp29yyEO
hduwQ+y9SnLm3tQWzpMkmh0gkg02DeZS4zwmhkbJA7dsaREpsgrrJnmEq4b/AovNAsV6sEXTkh+w
5acrrXYpv0LnwI1JNjNc0iePUfOmK3N5UGqWX0XadtbuXhiYLeO8ruehEowEQ9UXRujeBmIVVKzG
bC3GyNWIzS0P7HRRpvzzLTOz5E5CG1jx/6pWY5qkdxUGOswVkRU+8bS2x1w3DbTCIh97VLJhtB99
uJ3Eh7QrcF5qkRQ+W42ujy+u43XvEMM1DxwmHmmmYcNI/9IPAFonnF3ozQPC5FL7ZQjD9L4c823e
k2RIMAFQz6gLvyWawjWqiOIxbX1yNYM24nOPxq1Cn/Juo9TYJ9rUntAZ/M7bFkYkU/907Qxes4tn
HjlGAi1GvtCrxz4fEZ4bQWx/FGNjwCRgRLFHi6BtBkYoq1CgY4Yg2yLOxr+ulyiWJtdGIjKgsEzx
r2wSag1UYH6yS1yNZpokYtmnw0lJvaUIqxnI135yZXZZHuoiIg1sDNyLb5Yegb+d1yz/cy3+i9ei
bhMi+99ei+GUV5/pP7CgdeOvL/vrUjT/sEybhgknHX7c/3MjcleSeO2Y4BogoQse578t2y2+An40
f5ncfmRY/e1GNP5wmcFIF3qKwdf+e7gTg+/x96t2R1ospVxTCZzXhuQH/8cLcYAoQG9Fn5l1FnSx
OCu2vSxTyETG2axqd0+OwDtN7QCIvv0t6MHnTD/z/4OGxuP9f/k5SIG2pW3jfsSp+48/h+n6iHIh
j+0grya7BnmSxXuQkxHb3gXB0SLXSl1xQ52xwGEjkoCFhO+d4L41wPzNp7a0Uf2QWPAyhWdTz45m
NBRsaWksPNKIemUfC4PRcN+xE5DN/diOW8MjIOrGMdDbZ0ID70bZM77L1hh3rmhXL33sHYRZsLVW
xF6kr1bqXxAYs3CT8VMbmtUaotcnevJ8pdutWkkF0ItBeFWsB77RCnjdaC3y8K2GGwVxYRN74y7y
zSsDXFZqs+uYD7Y2zeaNJRswVRqLjc0EldHuHZkr9EiBvxzFKdfyjSrNZee8avH0wODjkeSBQ+2T
TmHah4z0bJIQF7pdPg6DfMdygKh2iM847Sk6fGiqrEjxp8gQb1J6Zr99UIP8jap15+gfWq0/29ys
fmOfKlk9KM/YCkY3xqCteuSBC2HzYyhXLMcW+syYfOVJ9x2WptrhlSUrJ1Y/9HJEk0vBAHmCWou0
ocRKMx0boz/hE69Xtk+13hPkYzJggFezr/QHYCpLto1qhc/8kVv9aug0qf0i4tNCUp5k4xryaqN6
hmjmc+o4JZYwSMX1Y5kNP13q7Idaf5+Qu46Fzp67L96wHm9GmiJR4qFNKRRSj8m17T7fNN9yoxMu
tbAMO10NTbce9e7sa96bVyCgV+YDtiRka3b7zHoeuvB3nqIl0zt4kWR1MFVd5cMEorGR5roSJKt4
ycodmo/IRNJOpOQCA96bzaNZBuo5JJgCmW/2nZekfo1Bii4YEaLQtXUaNb/0GbDj6R7910jFma1t
VAW4jl6j1Hiy0le7qqYLeLD4tZvSYx1b994AXNgZe3eBUAvSi1ArtsxHO3NXqsww9MZvqvV+g7DB
inAp5HONN3ZhlNos09YRYdiMd/ppTzv9ahlZP2+QV4Ccr5Nn33UkdkJqxONpsrQCkVecgMUtQSJA
N7TG/M5iu0cx6q9aFVwbZqhrsOA70yJyAqEBBQUW5Z0TXDvfuGPSxkZ3j4ObslYVQI/caxi2rNG8
4bWYmt0Uqy/GpHhIsmQRa0Z1Kl1jXiGhLg6VuR6HZlU74ZdMnE0ZXy1Dp1Y07sGvr4wcpy/XNtE9
u262mjXsJ6ZJvWqht2SxuOXRsNEzinRvgu9edAbEHA8vDSaEQyDYG4vpOeyEXEERfQ+RAS+JvFir
SS4J2tjgqb/Yot4KMSyzybGPOF7Wfhn8Up11Nbxofp3ExdWZSZWNvCAj3w+x+4GRFXab/M5jYx+V
0/04D1Bx+KSbOMl2cia0JKUWbXIblplRRQ8gzWtW2tRPTCNBMl0rheKu1vnkMf/5urYHf3NKw6xH
82/2KE67jTUi4tGUvMoK1k0SwXZi5Rk62bYLgNCGMjAWnDRfuSTvalQvuCl4V2oi7CJKCuZKq3HI
keVXz4hALl7WvLdjWsy6jwCwm4Nba3y0+95HVXUa7OYIYhTGYfWka+5lMsv3JpEfgoKYKdIdFuP3
coxf49FOt03Bn4Ol+agx7+0YxhEm/jBa2oPr8PGkRokgC0FyC2uhjYlYKa1ckMtWRWhC+32vOzsh
zO1UFT9mnG7Zhnw6JHexPPL2WRGIE+4UdqslCD6jdH7Tyb4MM0AUGNQa/samNN1iGVhJvSa+F5S6
ke2cyf2kVqdYBvO/cJlWJiqA8BtpzyJH+F+P9Zo37NyMxivmzK/Rxqxi4bNd6mn9GZGn2/EezizH
9871rpnmPGm9c6d3zXkSeoeI3x63dRWfRO7vJ9/6XfqaXOhUbLjJ67uJj5VQklPc9ZsqVkzU834C
n8iuFUexg5Ldl5R7HiuSGGMSlFaDSKLW0q5sVhjfE9O3NiLtZOmAVkMfz0tebOspedAhAfEx+/c1
GonS5nmoHD7JeF0p+9S65j6frEMPVzmpDiqYvYhOuIMLucCzeFDyvTXjZ8DxuGmqLTkKmCTxmOYc
QnrO2j7wtky/V0X+EdTZOXXt164y9th8V01iHVFh7fqu2AC3XhkuvnPHUXs9hCcR4zWJ7cfSI5W4
segZz3ixX8cUAFOf7FyedCcx3tqkuYieiTa+acT127Dx4pWsvR0gVazNXfWkvIZk0va2v44Pqnol
mR43bgubi5RjV+z6pL0z7Lthwn5gQY3AT3avTeYJHvimK0iFcCNeeU3aVzkEv4vxiNF4jQHjEgw/
aTeddak2UTQtKt2EKJKXa7ONVmhAjtRvTJPDH+br34FvXUzVnE1V7WbRhT72hMoHxPxW7pszM9fa
n0YaS2ru60TjXsvqLMuBlzB/4xV5AYd8sJOPzokxh2dwfqMV0+W7Vm8vJNUuzVxyvHjBSXJosQa8
rwiisfvh3JLMNBZ04DL9SH0tWY2a9eXaJeJFwVR7PNl+CPMzMjHAGCgQcCsY7Wc7tW9B5K4TOe1i
I/o1VdkX87FjoJ0cksqzQeB1A6elgoL5NADbhAYJdWQfPor0YHIoMLJEmFSg8A8QYVhNy6Y33fbm
aYocRsrJRXfD353Trc3Ex8LpcX/mzZawMKz45SKI9VPu4yhM3PLOt+J7pJGwv9RDm3ag8VGOpc17
cMqSO1E/R1a8MkttU9TRuYjqncG0FphM+IJDAMfVJNbQxpZ9dLWnVdbaWyT/uzytvy066CCMd0PJ
B4ji30pZZiqyQVzy9nzQWkAIVspWL9VQfbll660bhFQMA4IXWWr1EvTytByi9JkNiHXfT66xVDPK
DiUshU0OnYbt67LXKhLvkmXcAJrNLHktAiAF0fhLeO1r3SVbjUHNwraqlyoudnSQLxER3JIgVSW6
LcaOpZqeOogkTHCxqhPbLdOHssD45dXb0cCj3DGO909dL91lD4TPdXnUgUu7/U+CLKwN75vSPfQp
BIkGg299YBsDnAz86MMwBZu83gQKI7iXg94V1bCCCMz9AYhVbx9ariKs0u2CccnkPvu2ePV7/SFs
dc4DZxv6T3EYY7+SO/Bn1wkuCmS1u0FP7zvjmpo8QOxqp/BDAwowlHTieYuvPPrq+2anenGHANBf
aOVwwCZjLPtS/bjZS8C7OeaMbQzCHaocyQCNRFGyULoLDVrwxHlSvb9xrOYTM+dC1912RWBUuHCo
H1rNfsWAmIMQesEfvibpYA9X0WVnEZL/xEWLvgSJIt7gRyN96uTaz5HjLts6Ll1COHBk6mn67DMf
XmaoVDHbsCywuZErvZ4OtpfFjKZU+kuTCOEylDl7z0MuwTHtNm+yj/OXkqXdYgplu+ySZvzJmsa5
upHunKrY7L479v9rZE/6VkqWdIRGet3Sa52lcCTkDyn1XypLgnvHTNVRL33g7hz26Y4tefyS266z
TozUfZg6c3boN8FHSjW8S6CNIDTUpLFuSAM+RKT+tMsAvPM6MQkUHpJwb9ijv7MrS//Nt3R+YU2c
vhDm6rtUQnfy9MggtKIiPYwkkosTjNVBz6L0CC+heqTfoz6mMAMvjD/snomL+eTwEy81t+RuiQJI
N0ZdHPPO8vct8ZIbu/K54yZtWHmj4ex9pGJw8LrE3bZ5UZ6IKfHX3DWsqaQ77TW3qE8is71DUrX1
wQXGTlKeRus1VC6fe66KU4O8G5f2eMoRF1LPwH14zJ3GftErffxV5Blur0Z5Gx+l7sUapvx9MEHr
QZrFXFuavD8O8ssvJ1LtGxmSEmByF0REnTbySbpR8MCgcbyvsbKdjb6SD51FxmqFz/k4Wi8dK1Ck
ydXWnZqBoaNhPWuWNXawRUbxLh0NNgKLpJU1DQnsGbs99+Fk341cmB+BDO0dMCUHGdaA2qqasmsL
7uYqjaa+JMBq9ymIf3pI9GmuP0uacqfdsEDztz51/QIVEYxLvPkQtIWBXDxKt27AXg5DGKdKzEB1
EfieWMDXM5bkUctXs/VZJXI8fUQyEecCTeHOIkT5qE2wF9SU+SSGhNccqUDQLiO4C8uuScaLECM3
aZGO3SNZGMsR6Uc9pltMV4QXldMvmURMPvsazH/hdU+epp4dMH54pt9VmOwsme6DHKLP1CYc++EO
VM2xJAwEb+O8vpNLTXf8laW5bMO5f3X7jX3rvhuZTbWG9a2Q65gIGK0qXjOCXXZ+vMHliiaVEEEc
x3IgpgWxy9nxLX2bedXrIPIndA77kDTExGpXTKKXQWTyE7fbLj4LvXoxjMZdk237xkYbGIgPyr1K
1VNndc+eZlyKEToosO5FGMR38CT3PvE7MJq6fWGQaiQ1kezSrIuhoovLyMR9VjAuAUis3TI4lWFf
M5GlKK9DkFPC2qCS3mS1JlbFum5fSUBdoDggAXJ2qjkbgp9/iqx+/rv50PVPH8P/AOx9hUvS1P/r
f5rzEuTvhi6OpaRCLy/pNWEuGrr7T0MXRRJB1EgFqCF5pc0Pj9PQDpehLzABG8l40FVWnofcn+45
n4KHPlTyyYhAkFakU/eLWmXdmxMT+IsIaL5q5rcGtZt7lvObFMzvFEHD3qac3zPj9sbN714++fFj
DxqE0plXs53fUayDxWmc31vmm/WLd3uZB9+sD20SI433eNfH+a135ve/cgllSNOpPKVu7W77tp+j
vwmj2EcQJgnNrbyrMCVL4flsMeZTBjd9v/c9Th6dYFby/XrzyUaPdl8aNfW5HwTNox7l9aOe1+kR
90t1KNB9XPyJbsydTzrhSc68+fRT8zko5xNR83Pjt5hPyWpsQib6kHWLMgByMx+mbIzJ9oOSsk5v
h21L/t5ujJ3gIyuoM3DzuQ9WFJPySRDpS2cGNAx9P2dzBD3BjWMf3FuAMX55Lh6UlN2HWURc8rdL
IG9jDBbzzQAzrfv25tsin+8NrMPjD24pUnjmW4V5Tv5izDeNdrt0+G3meySVGJ/nO8mZb6d6vqc8
OwlmDe1dPt9hwXybGVxrgK0RTzhTPX0zJDw6YIuh2AmjfoHFpL85Y4sEaAwT8TpKm6FW2goCe9wB
a+BowgUvfAZQMc/mulVdvphSCjgRumJhDhnZZDM2nZDVtShEcC46njwzKYHVYIFQWoAT1sIX82ml
ss13OcgUmhvwSpsa1mO1wu05f0ezos+3U4dw9sHTYK85bBGCJeut5JpnkUKYK8QxjTgktqrHMI5i
3qJSwO2ZoUZXVvxl6sV9Zyauh1NNyHITeCZ1Cd3CEgBfzMArxfURNUSz6hLaVlcSi063ues1672a
U6vId6OTmKgrJx7fMZkNueiCiYR8Ioz5KWmCdK31UbWatCw99zqkIIeG/TdNzKvm6PJktq67rgvr
uQspPTukeszrEUd0TeAsw9JPHpxeaXdOOMRrLnoizvU4fLJ1FDwKczRwFPUUGtGTU4YBDmY33mU2
ZXab6gffNNCydsEQbNTQUfQ0BHV3pHOH2B12jhH+ECgL9K6cAqriuF0LY7wDlgbqP+U/73kwSNjp
3mRr5IcMX/QGgx3YgCoXW5K8qpXRkWdZT9bWCcD/JVmPWF8v5YZhKmMVHUx3q99TF+JuVcDrqD6e
i3x4yQVY2Z6IpotwkmBrtW1HiEcb53d4TdD8xn6+bcaxWPeagUU/UsXGgTKFUKqrN53gXSN3zwIZ
kNOBEdFDCFT90WedDTg5Dt/CKUNHS255KotqS1Z6s01ds9p6JP/xWIVkD6eQgSujJtSmwNSFUbmE
28d8kZQEi9vRTSktCp12/irLEUmYScU0IllYBI6XI7Bt+A2PdK3e3A/UbvfE18m9D0yKaxe0+DMa
/uyYN+QJiwKUWMG1e8o9+9so6vQpFqgjnIEDRUsxaHTJT2SqJ+AexnIwMIEIzbfORY76BxWSoLEJ
vmtgJAtiqrjayzpdURUYeJHDr3EUb31CJkp0auANqEaES4Jvr5NBwCpJeD+qnh5GI2dd5bQkJCcw
uTHe2GJN0+Gf60p0K9TGpBGB4lt2GVLuPLeqx84Q+jPuH1yqtvFrYBe2lmX0bFfJzqg4uDTT6emM
iwrLlRHc+bZ5HO2eZa7J+zVUXBLkEIYrBtLnzpNiTl/Ky13YdPk+YF+4I1dveoucucn0TayloDn5
OkSl05Jd6vSB2yBdma4VwIJMtKWFEONio075BF5g7n1N6cegd6N90lj1xcvt5orxLbtKTxvwlZtU
T6K00ctTUXVzbVXOVRZr9uS+v1Vecw0mtMbeI57XVt6tOuPEtZ6duWSblWXblk/8P2usf2WNJdBK
sU/5f5tGr20WfX79/Qrrry/5c39lqz/wtVjmrOtwaJBnV+hfxH4TYj9OYyY9FpZQok3/a4Vlij/Q
gNiILByJ7kP8nabD/UNawtD5Qsn6Suni37GLApL6h2oKL6GNNkSYwhWW5O9/1nTMqDgFvSnbco7V
u8qIW4K0mTr7juld4a7Wx77Ux1WCQBtWFVpumWb0iIMTHeHoc9OwuHtxslF+uxWR0aVlaxubTcRK
9NFw1OIsIKeeJOYKRR/6/ZBIo2H6VK0FWCYkxhmZvhrSo0aYMCh56P42O+pF5bKHGutqbqpfRG59
Y+4mX1Omh7guyq1gDjMn5gHoLIvWZsnjhOuQov85kaHmAPgOkoM5WRmJzUzzMzYWvzihsfs5Sn2N
oQh2fL/+UrijthGWhh6/gHL0wnCSyaJGgJwFaB0PnBd/EFkPzH3iu3r4VqgXwxkCo5uYI8rcZ6tV
93sty82VrQysf1l6X4Qx/pExaA6RMab7vnKGS6s5zjYPJEL7up4XgjHmp2uA63+nxfNp66PwGInk
BvqeCfqiJhLPBDCh1xuQXUcmx11A8o3wunyrpfZVEF393Li6/7tMwuotVL11z86Eo0uf9wUO+66B
uec6VV74yDhW7F0xMnLpyitdmvFInIrcM4tuj03qhXdd4GQvvTfoiAEJiB5qhlU8GssKOP7nfOpQ
8DjsCsrQMFAD93b3aLlReubKI4qWaQ1auHZZt6p8Uwhfl5o1Fr/U5P2M0ehMK9sdXgNR7OJAHlpU
IHRJhnHPkA/2C/X8NbJ7981SQ3FHfJR1NNG67tt2Sr6teJ4Xc2lzVUeBPI9wbc84GJ0aipgrfxWy
LaHz+Kh1h2AEQ4rFN9Ut79yDINzZczBZYzgGxiiNSfho//YqTtc3M+I768RiPNaQCA6JrOvV5GWU
tyJqizVBKT5qHUTyzJ2pJ69gIdgHBlO9dbVpfBbEnoORQYPuWzkuiHoaz8lIHebrnY70texWPjLQ
JaTbftUa/ILgXgr3lPaYueh5i3qnU6yt2oxgnURTPy1UqHND3sy6FKW7ARwxLOkuh31Da3RWJJuD
Wi5XLoCbTRjazqYeK/vJjbVuUyQpMslAoz6sifViZYSSwyMnYh1VimphGrmhMk1bDmOLlXNE46La
XF9bU9gufDxip1TlI2KueWIY6US/T6x50OimZgbGxZmKk+d4dIeRs5SNWsz8u+3EaLJIy0UVEejY
jUBTRP4lA7bCeIyPvgT+U7T/m70zW44cObP0q+gBGjXYl7axNptArIyFZHDPGxiZJAE4dnfsTz8f
SqXpLJlGo74Ys7kYky6UqiSLjAi4/8s539Gze6bK6ZaGlHm5woaLDWCLWN1lgpuWtCu6/5YRhd6z
sil7JCPNcHXL+s12i4+SmZYzqxNbzp8Mgl32bJm/rzVpbyXpeBw+y3cspM/k0RgIt0Dtq+wrdeFE
vy/bdYPl6iEOCNcgtKdcRSlCLlJzP4mzvZBbNW4oN8rQ6Fzyvty6e0mqgUqPYA6U965+6yGLCqup
NI66wLCISNve0DR4X62fRVu3cq2z7CweJt0zNhFc3QdEDLyqIz4EewrGUKHPxLlezVs+x+XGNwiU
x/hQjy9xQctneYKRVabUlr1+dTNivF9oG2rXV2I6ZJUDCsNQyj2oOZ53URfNd6x1nC3FCnGfFmr2
iThkwsV4t6cMXLMD45ak06TdZUGD6jRiYVlPnb0zOzgGK1QDH7UwEtZeWTVhRsasUQBiAwRYRS/g
Weawr7L61AZDf6M3Y3kDJsnf46IuP6CqtOjmTT0kAU+/8pCzfU2TZWzNKBN9LsmwT25aedSgOG43
WTl2/SoiEOKCIpmIqiT1ra3oBUlpMHc+x6B4soam2dRTutOIRYDTo/a5XXlrLgzntS+1+24JOsJe
EUUiTCAch6zG6DFn3xWvENxnjB6+QDfXttuqEkQcyTzAjrsI7y2ZKOwqHc9/OzkhqbbprqUDuFNe
vsn0Ll+K5BCHVb8SgXfqBF0nqa4whS37KGbikezAfyjnfjw6FXc3alm7fYCAlqKdGj4z38r2QxUb
6wiHe1Km9xTApEUJ7PEztVeYKhbxLTurnUWa6s5yOMEdNJDhCIgJltLcf0Fhuk9674nuoMVbyTcA
p1dPr7Xg2GDRWwhn37usJelPolBvcXDkkdy1tLyI8aLpB6Zm56q7sCH57mHu9/uoj5Fxcern6aNl
eRcS4DaVBv8LuUCxUa2mrxxSfDGyqeQkNV3c4Ae3DyxVmjDiN39x6DPelCWGddr42YFbYl+2Uf0Q
55rcTawFiMvu+4EONCnrVzzO8bFxp/bWKybGoZrXfhWBDewEzjTX4JTyphYlPa8brL1ZBVflAlSF
3bNxkWF1JrGgDF27QcwXo4jPlUxMrtm8xCRXtvAfmrTChSw4VAkjwSUJ8nCw1MnC3VuMOITNpIUE
tcy/crHDFwEWDp0DaboZ1FNjbg8SisQ4+jWp2XgG+FtfwOMCZ4s7ilcxhzz3YMVDc6r9L2+0SBn0
pghXFXjDgaL/6AB/Yjc8pK2LR2No32euoS8x6z5+DD0HWJcgN59oDbneIEc8QoGCU4NcSFsHU1aY
4ZCnzf3U6+16qh15Zv8BHbddkGhQXPVnjh6xbupo3KmmVKvBnIadbpbGel6MPB14OYaSifugEfOD
sXCaC+JwkNmvrUQ91hjmR9X4t77mdPUKVtgzDnzieitKlFivv/J6HB/rAg+gBv1o29k5t7dlFcG9
b1fPo9czZCAfrCyTS5vKLd5cpndW92q08knOBabGMrPuUYJW2zIopy3XXnAuSVdN0X3k3qtw4JtX
lBWxk/0Uib2DmoqACAY3I+ChHbr1gKEzRpxSxAVPFnb7GOdXTvxkJRzCA/Rmj+vjDsv3NdOTn1xo
zGb6T+XYO9wAzgUiYoMs1Q5CV9R8dtFRcu9ShUUJKAjXWwt3ns61snUWRIW9tia7uUROss2dKE6w
sntqHSR2d8GONa+8usGHpClRrwWzgEeOX/80zQrGU9tr9oYSHmC9QdVpJxcixdMj5CdtnfaDtcfJ
oN9TxU0Plcjnrc0G6s7wMb4W4hM9A/fNaHeoXMgYbfLu7ILSvdESvP/KcbBPKVOt9RrgUGSmC7rC
GPeW1ushXOd3Mbk16NY8Pw3+xBXNhBK9TcWsSrEirObEOakhMu4ov5sb3+vNfQ0s+qaJxLHQxuat
gyr2TDyGvzaZwFirbNKYDTFQu8rGr2+DiBHEIKp3Py/5eQOkVehKI0Q67gFlC7S6pn1tXPkOhQAR
iglSayqanYsc9CbSDe3FSQv/tSwGbZOCaHgqbbkuXKSjvB0pMxNeui/4XMWGihJh8zTF7AlL3cH1
Lsk8bzLEaE2D8qV395AwXF7UIj7B1Mct5nNJwTNYW23ZvdRJ25zg3Mm3Kq2MdeagzUao02gcPAuB
fMjgt0aN5LODUAUoYhTi19e2roevfmZ8sav7Lnoqp6S5x0rtr5sEnoAla+tCTgIZmEY+XCszL19k
LEE+gvpYYCrT1SRCc9WnbY5aySDzMHXL76Cuox3zZAKmGyro2hP2yTQQeSOHLYt3EF1kNvSzAG04
+CZS2yl9iGOqPOQlTfpMPAlXRl6rtdlF8cXIdX0XW4V+YS/Fc93HFutkpQ7RXBh7BMPxj9KeQU0j
d1xDeiw+7aYLLppfO8+TYeASaQekzVan3vD5xteMoOyHahjNmwFJF1eekfa89KYb1nQCG54YESq1
XK5lcq+EvZ2lk1CwKVh9CF32mhqHi0cGSegOTXmxFbDJAvfSZo6iLxTkJCbOrG63ZT5Ruo1WtM1m
138zRmkd47Kwrqyn1WZsjeYYK+FSf7rOfmod5wcta7OZCQb9qlv4PgEN4CGZ/OrWjdP00hvo5UDZ
U5DbZXNTWYHOrWEH27FsfCM007tMG5BxxFTmPhbvm1Qz0G/A5b6YCG4KREmLCVhBImiLG38GpLCq
zeCA2tE6OYPMvvlFm00U1N4RiLQNK7cFp4xX7duJ5p9tgfTcR2MS1uQuoSLCd8W/BXEJEdNUjGV0
jJL40mcZlaMRnE2CsNauj4MIol/6gutzWg9z/lb5hBiDAfDONZKswpnFttSLKaxMNRyXJh/+a/kF
zWxHzEDAFC2YNpFMgnU9NeI5YX5kQVxDCZbwzCECYIKHF4qVUycN6EIVtgTTLJ9iCviIXq5/jpFd
sDrWH8gqjrZ2tPWHaGdkTXYTFf29GNCxxQOHy0RJrutb5OPTZZkJbluE3Ct0k7fCVh98PEdAqwVx
4vgk184koey1sJ6HwLV3cjZYnmb64uDDC2HkEeJzSSop6Ma3OdEvMefnJsdsstQG6bZqyB3ua83c
0OdFezxJ+TqzU3nf13mKfEw1+14F80ZzRLHnphA3Rg8bsUF0eNuh6kSN4+FCc9jm43ZBsi9JyUvH
Dj8pFFgA1Jkg7AdFq4KHHZgv5LaiwfRDu8mXRLEqj4HQMfyl8N0n1SnzffIA4n44FRyF8IK0kaWe
I8o3opt5eKzEiH7KiB3tKko8PCB60ox6qPfivpCGdh1Z5rXFQdpMcn3yjCFl8caTHJCVF9EK4wc3
oMSehY9xTiQ/uMgan823gaUDAvprZ83Rs2l0CKp6+pZVm0LGXBXlOB0IPTB28NjbHWgF9yrLMbuZ
sGAfHJKPr9Zo27uuN+VPVwqgKxAb07eqCtqfI3uilaprHsaew5OXJjhGjVEdWn5IduTDtOpZAYRp
pdo138BmpaUPz32XFg+w9OxL5pn41IyymleuLm8t3tN7E+HHzsX1/hybw1edC3NDJ7SsTXrjdjL4
X2ACg9C2rJ65gQNaUpWsDbltjU1hg8yk+iDHdtJOpCUQjAFYYutRWKwCo9FWOQ5tbMrgxijTocxe
GEp7D14+ahuQXpABEDae9ULfmHImpiZ2OLH6ON2DUskIB4DoHLTVI8Fq77IezvOUaqgx0s8ss8XB
a+S56KUV6hPLZ7YwL4rmB0suWB6DZVww/ajgXN+kIknu/6/MPXdf1eW9+FL//b/9HP/9J/5imaJC
/I8//1H99c/xV7V+b9//9IfN77PI++5LTtcvXEN8Kd/oj7/5r/7Dv3z9KxNN469+tX8qzL+8x9jV
ys9fx5r/+XV/KPOd3yBGBguQzDNN1rLm3yabgfWbZREtGZgWsH9P/1WczzjUdGigAte0mYnaDD3/
llPm/GYEYPV8d7HA8S29/8po01zGp78sij32T/7CwPMxkzNi9cxFvf/zHVZ7zF7Z+LfZV8zzJhxn
U2pNYFHeYy8NwOLI4pJwbJ0g8zprMrSfqjpDfp512q5Bg/zOceCdhU+W+Yj2RzhE+EBeuSsttlZ2
6TOKKYJ1LgMoCV0K8X/KEqCxdn/fS5CuAxb+9VB3+YNKcISC2JIoe23UbORwKvc8KcgEvpOCJhNL
8Rndd+QbudysG3ycZFeL6An4jb+VPdt6r3BOCNLcdxKtoRyzvFCVyR7FD6A9QyQH6g2IP89JB+mR
hDFmHDDxElphCn87sz9HRtQBYyIKQxDU5K07JgbrKhjum8SGywR2hRyhoS5O2II2kzKvaeEcK1nD
8e0QnFbmNwymkXo2WpR/mT/vzEQ+pLy2txW5WUCNtXoHo/YJs/PK1YZTh6V8HbS1dRITv3JqZRco
MrtGiwgsRw8DAxRFo14Vu3Rsf9bmNF+iZ9BQ6Uo1ebAF8XljG0l+QfPzDORnnTfdhtnw1BQgQwy/
/OYEnNeBS3gz6vkRj3I5iccG4VJSF+Zaekhw+5qVJ8vStTaLvTZ195rp9Ejd1PjUpbPD8AU6FALX
NZPaDXn1vDReE6NciZMHgJvXxOo/ImfZzRENju8IYL4gW5WoCAlT2KESBDpRhxPqxJ3f0qHnuFcO
qPinR6uorsxWwUoZFiKNhdD6oOfRzHZJ4QhuCT2/Hd1zUDhPli7a3Szc8m6QzOeIXT7Tq9wmiCSz
zH2Jc4aKSyhD2432TgzyROl60Lhf9Dl+GeJBHkeaMSpx3ip1ATv4nZUP8A5xIHuBtXe8Og+nYiIA
E7P52HPfcaI39KdQCWad4qm50J2eMmdYkq8gnfo+N/u02AKQuT6btJCkDBQENLnLv1scGl2DDlTr
T2YKBtafgAWPQLDILU9AaRcwbXcN1kuoXe82WZrH2Qi+c4EZL5tXwCIRlTV3VuuzqRNrWHRXOSfG
Wy91viYFxmF3jF0CtyTeO1pCXaBuU6lL7XZOLDquYWb2GRjJrrTgYddUycdWZmkbKoAD8G+t+saK
1HQUtvTfwfkQMNOV8VHDUntAW9ERtxDlL8KKSUjBU5GeEjPRD4mI5X5Cw/WoAOGu+agqpO/69DaR
6RVCe6vuEpdhv+eV+Y9siryH2cYGmOtZBs28dI/kewTHOkjdreEOAAwMoF4kAo3cV3bxSDrJ+OjX
xIgKvS6eCpgy24b7GrEbqRHvbdR7BBQk/cUeAuccOHZ9ynp/uEfRbF2IIe9uWl0ab4bIu40XV+N2
rAJEFrBFDhSVzu0MXP3LskeEu4q0+c+6INcDmiKv+gw35gw6azg5Ud4Ssu4bKKr6Xr/z/VG/wn1p
LgYqq1ORVckT7XWAj8CRJz4q3snSBv1UIFUlXkumrHmK2tsZJEddAn5BtK7YzkWe6OX+l9XZP5L3
6H/2VPmkH7CKstD3sYtxAor3P5/aGaj8ymLoefDjOL/Utqz6g1C9ujRWSZkc6eO6NoZhNVFwrQ1g
3euhh7zoQJYGL949ARHVtpDYG54CsSzJlVGtnTjFBbooMxI7ZU7GPBXsdhU7dwQ0i2Ors8mImPSl
TTDf1a4BkSjy8/MUA4rnk/TkRGOF9zdwYAf3sNYM5azAZz9ijQTr1Q1ArrrYF+th6qLHehhMbRc4
E/tg5c1NuWZIiOjSJFC3Dl2vnnblnESsS7CHjTu9WEJq+8iu3jTms+maaMyK2bdRPlle4r8pM75R
eTtvNdO/dp62I3cZEAzGn5q1W9i0REGneu7u0qI8aVaMhLwwWn4q61qP7SmpJchIz2c0RGHbj86N
lqdjOJfQluAdYabVujn0BgHkIMErM9v9MZLVyUt5/FPQJdtexVugXGYoOjltwJZDiBjc+GfSO8NN
2Q82TYfQVig3iC2aBKG1AZEQHkX8tZ7deF13oOM6gM27AARD2M0en6oZs/lpqB2Ug51Qp9TRgnPn
6MlTQv9+isHoXTJsfNfKcPW7JLNQAwZp3x55r8dTWbvpedDb4Gy49PJgSBL16cW48FYWnMavIq9K
1l/RuJXLkwKrzj36y9NDhAU0++WJypXf3STRaF0yrRzv6yZtTrZecj8nqr/UA1dl6Ur13rCUi1dd
YKtttjzBwfIs68tTHXlZ+dgvTzoO/PiA9WDYNss5kC4nAtlZ7rEGrRmC7Vk+B43/gI8j/4FDpz/M
y7kyLyeMvZw1znLqtMv5My8nUbqcSXi89UPGPuNUxi5H1tjK4gXvWXcQWREc6naIj3mL+aRvXf9d
5OZ0JIivRv6WeXeM7TkYA/72kQLEJT3AT3ajgLzTQyi8429rt10DwshAFLxJU+DU2NOmxcERsa5E
FhNQoWRAjtWWmX9ugDr0xLD1iJBZhpbA00IjtiQsP1IR+kvJOC3UnYZ51+wFCjJJgNoVhXoQiZty
VnH9QsysxMDlZHUbitLK2n0Vk8d0MnM9HleVSunYu9bvO5TyJa5l2aTYyfQYYN3KT5KJFE1qfwR0
Mz33anTIYMeY7zLsJeSr2pEwat0yVzPPpCo796OGCTIPLLWRwjauitkAYKw5KvQdiC3gRJo0/CGM
BIRX1h7RBxSsZlj7QQ7eFHJvojGoz6mAerEIPD2Ozdc5z1OLDrA0OFsIgyfTRhqNcZJWa16ztuF1
KZt7uCFzOAuB7UFNdciSCR6jr2+F1z61/cnFC7SJI/3s+UF9ttNEX5mtxhYttQgFkEy3MEMWKyOa
FugfQeQFuPUVVtZhRb/6o86CYTuJ4adRWiDE6Yj8YDLvIr0ZLlXLM+oq+ZF6H/ilgpuJNRvnzWSu
e9Y65Pk09gq4KwbtComecRXIrNfQebBmDRGrHs8N40Lqm44t/rF1RzK5q6gI09S6iXzWZFnHnZcy
boFTCVRsrn8CINaW9wgB+1RbK5kMd1znT7NRp9+OPSQHkh1I4Mqr+SgypvrjULXPho+gQBjN9I1o
hc9gF8P3wizXkm6VB6kX/3/lyr/U53nIqHU0J6ZpG0g8HGPpgP73Opb1+6d8/ws931+W5k/+Zf/e
f+XpX/4H/8f6vXgvf/9H67T7tSX8h/+KP3QvFt2hZ/I5sp3fM6z/V3fo6b+RkOAwU+QwhnLi48/+
G8xE/w0Hs8FZgF7GXMZl/9kd6r+BS6QjMfh1lm/5X0uxtpDQ/Nod2g4sdtvUaRJcm8OLUOw/dYeM
0AeBgN7eRMNTN1Xn4NHYxtvECgGw8RSyXEwxvKqr9UTAC8j0WTyphvDU4iXCXwl4KPRJISJG7UdA
GlSW8PyoVYf4xZe7vvYR+CEQ9z9+p/RiGqVVfOlg5aXthoAvlxr+wSIaYDCnW4sg2yV72f+WrPL2
EYJt8xJ/Jrg7ASxPREuU0M0Ibovc7wJ/UCbx/2lA9dyDI+j+At249FCPpkELc3bwhQuOyx07RmZi
62ikLwq5FVBFQ/IOSYFmnMVQqBw+9KB8Uq1+XywayhTe08qxEC6Sohna5c82v3V99Aldn7WQJdgI
xYznWCDDgRo8887ARx3n88Gy5FafzL1mo85hJRm6BVs66BOMr25VRw5eAya9Y2JIWPBdbrAErmHP
aVb15XR2GZaN/aYDxOBt2vQopKF+rUQ0bG2VbSd7CiUkbuFKlJXqbKXtXeta1K3Wz8xz78aKn5W9
wxK6aMKnmJ4qbd6aBCTFwGJWwrexIbqQM9ye7xon6V1c4EiHOsaS108vDftRMZ5/eWz+QQ1r/F6j
/orgX547HTYyVABvgQz83Wcr63U1phXS/3EunmSrcc3bmOJ7ppWLOcBEg5F7LjS2cpfXt04x7hzD
Rojjd+sJZdGK8FcUC1FwWJwGmaZv0w4rpADz1EXWnUU01zg6D9YCYxOCQa6VHpvyqLPsJ3PvaExb
Q/M3JUaLmnQVUrX3vgegwwguLW8hS/dvG9eHk70RrbKNOoeUlGIbY3NFDRnSR66bYaG6qJMfeGtz
rBaVwb6e9Tv87dvesu8mPTihlzojKVkF2N2KpH0UdRTykcQ+Rf/+w3VYrtO9NC6+wQrlg1YhsvI8
+sWAT2UGrKru05Nfnr0GaxhzD6fwP4BZ7fMcPvKw1Fw468Osm0/ziOzYj97Zom4rEpILviHSZaSw
mjHdcFwwH44vonw0pTxLVhzKGB7L8QcbmvHIgKGi3jA8UtqIAtKS/FUT1iapmYQKPiIDQWyGG+wb
S34SK9Tg2Z1uY8p4XFbsxAJ2osdmWPRh849//jEx/24+9fvpTKNjwaIwddR/C27p1/kUSq1MDmW0
QVz0FWvdS8TLF0njRyOTcO7ljeHJK4DZy0zCfazkQeBzTFN7ZWSK8X7j0boHYi1UfZBzcItpm7Or
vSo/oONoEVUl/XftlP+HTzfT3r87OYG1eny+OcD5FVAi/p0BQ7FnqntDRJvGk3ixTKoDJmCzU4Uj
UhcmBFAj8sTf0dwChnfRCXNINbgtTW8LyXDXJDmJbBqqeNkMrKxprY9EUW0qM4WiJMyV6TL+SfsH
DtadlY93qegeas14mi2IBNL8RF/0UNiLDMYncDiRLeoeMhalC3Zh9H2Oxt78xnSKvqlttRMdQrso
b5Ba1cM16fu7we+O8HcxwrglwLUIAo0b/Gg81nBW1j+6Rn4LNXledU79DRuchbNVPw6t9h0QZwrj
1P12NeZ7SFEK6G2yV/nWMb7ZfewIAAiDkp8gbg4StMLsB2GbOM/Eqe5QHQcrT34MicZIEq5qMWwY
Msakt+nwadPMeSmxEgxpsrcjrBNOe9a19A7wNFF7urkGXLXXDFiDSde9CNk+NbrJOW6/zlnzRLzE
bQfbf913bThrwAVEEzaxvmeV+uAk5D+T21a24mek1w852sTOtNYkUYVSOHCE/Lu41A+Umnco0QA1
+g8FeYarrnDXnR5sIC6z9EJ9lOhb3vqTbuSboR+4ZdIX4Oh7BMrsrdkeTWe9OrXRvGEos20DCMRe
io7pVcwPESCvLPXXSXcMahKKyuhF8hLuJpy5IQipLdpJwKLzJhlYVlNUf+PQpO1x7zrkpI0Ub03B
6DRQghgIuoZwtuxmJVyvhfrg3Ve0I+zJmjUpH8hH6v6OiCYwXjbUcPM79YtDpAUvNqoFCMuffoyP
tiPiq8KOT74RX9FXd22T7U1EVgBnH4rBvRJpebTRZaANdFHSOVOIWomvb9dB1ZFiO4AXVyU306sw
ByiN477okgAUJrD2qEXklJSvsXJO7E6f8xaQqOO+OnPzOBZdi161OzSR9z2b1jECZbrBa4bS3YiP
0+h69EIEvALhyjeOPZ8ydu6NW90WDeWFJ6GiYmjfmIO8VsQiZ2wQV1nXvpKGyeCxdImsD6Y7abdP
/ezf9Kg0Uctidc0Omek8ux4xZ60xghgTj4ZyUeN0Rx3DXjHOAbZwbPi5tdcAE4+6flfQwmdO9AzG
euXDy2QMcoUhfI6zN2D5uBm6MIiSi+rTewtd1sSn3Rb190woI8NJrHnBA3kEL2aDT7idQfw210j7
6DMiy2ed/ElsTOa4Nbrgp7DNNfzgPowd5xoFX4XHlRFsbA3myqU2LtA1yu4KcepOagXorZq1+LWf
2AsL/6kYVYiFO6zmNoQZB7R0BN3wlaVMWwZ/k6lXL3gcSM5IR6YE+TfAurVhvnXxgxejrPGXCOd7
bVFfKaQCHehETTsL/QrdHVrwfNIJOye4Al7HtE9BUklv69jFBl8wvnmX++EW3mrg1GHhWa9t56/c
iec6M1+R4xbjEHo5ygTkJpyVL01kAhAFJBanHwMSwKL7HgX5y3XwMVpWvg169aHV7p54jz10dby0
iBG7gOVbVgWMwqHVOMGwNidsKUGFfwxc1krrSU5DCfucgjjYwEW2PzWJ05uwjnVloRklMP3oyPIx
idn7zsJY9KNv1TS9VNn8OI8CiSXxiT3zPjIxLfsQtxn5U7kPXcUtu3U/lD+rbt75s7dvNbVyicQL
dZ9yKk7GBwQqjMp0BCY6PF4xvLeITztDHlz0K2FHxMvseh9F398EQ/KFAesxIEchbIS5h2sJG0ZR
mjAfyjaRp7NG1KK16NvH3Jop7QoII/aJLvE703PCHXZx697YCzK8kme4Zpy+9hluKhS/dudbDSkT
SCS30p7Y2AwOIB4GM+vWIV5X2UGL7pKM6X9L5sjMvY4yrXaCu8zEOkQF9pjqxaucY5BnVQLWR6Ej
SYwbXpsUcQFaVSjegFA9Mli9siNQQUMUT1bXw+/VwbIdZKn3RxXJPvDXbeHf/fE/HquC//55hfj/
5EYR40DwTz0St5+pSt5/7Rz/+JK/9oq+9xu9Hu0diVU+hohlKfgH+NL4zdb5j4NlAPOCvbhB/9Yr
4pHwfg/O8tjlELrFQvOPTaLhgcs0mQzSLWK9sJzgv7JJRKj/9xWP7/iGb0FTomfUXYNW9tdKLWU2
hGqOEWydI30Iq8LJS3KnNf0MhyXZSE8F2642IhbdDpY5My+ik4G7fRtxOR4zIZAIAwuI8K+lEFWi
RUFlghTCYRsNntyZJfpA3FOJB0sQexZlC5KYkojZG3Ism1dM9vm6M4EUpxbVfJEJuYcQ0W561S35
33F5m9qeDcwrbvtg7bB5kmFBjgo5QZMNbce0JZhbDGv2MR3TCPR7bSvyAS3tjL0va1ZgcFnbF8Go
fUX0bDjIByP4SAPJWE8fMGk62CurLmDJV2RzdULr474o3SfNhwhyorizmny7lUwphtYmnmwQMCWI
hzZ/G2Y9PTMweozkTLZKXPS0rWjOXHcGTWY2yTWSrfvAE56f9VSYu7HXwP55uMPJEkiwTGuEA/X6
odVkvo2rct4EvHQbA3AzWY/gofQyGZBWEJmNg/Xsw7A+gp1Pw1hln2ZcL0hvcksIaRYsgiDyYvmc
fmD2dU8JU8RFUcudBzqJ8ChaRsu6yaoUua7SLTg6qqsBT1ds+I5aG3MX8KKR7oPaAap8PQ5QqYrE
85+MmAbJndR4he6SB8Q2pCYmBQiItxmiVa6XwlTvlZcMzWHoq+7oxrEJtakaoltC4RfyeQOoE0m7
8OojwKaccgmaO0I1z0azPNdxcKf62LRCt/Vsf1vCFb5RoxJhhAcA7TqcH0wbXZGmW9cmYxbVnCAE
XZmXtNfEDw0SCiC2odwRUFEtv1KfX5s48J/qVjkbp/XHU6aK/rY1vJy3kkuIfI3RB6hOndE/+AYZ
8RBbLfOlcwb3uaoN8h5qBGP3ASqBW/b9BLBBV6r2nePhJA/soQ6HjoT5Vjfjj8ZJxb1CpbghOjJu
yLpEL3hiWR33WygyrDxwZRLj7brpNfE6H45dhmuZzNctO4eC5Nysr/ZN7VVn9lAtIWYPpkSFyPpy
6xEmXw2YJqps6i8o5pqDwRjjjbVud+dUsg8dm8mFT1pGO8LmmyZEht0432eQuclT13jJNFmFWAua
c5A7VrHLHeLItt00kikvZcrCqdRaCnGJfGUDbUbOoUboAg5/ffiCF/pG3q484UYsz9w24yGuB6Yc
AqHTvkOfeqrARy2jcJRBZFlGAEqUJldlH5XHLgWsujUH7JOh1FPvvkxz9WxkEgbRSOTDWQWGfB2x
/EDwkjUDIQ/n+dGpo248IEFU3aFkmM9Itrf86Qer1tR6UD7zbOWU1Sf+bayY0J9ctz4hIp3wQhtN
lxovGjc3Gj3hOcZKxL3fEOuJ4+an5TJ8AERGzD1SMVI12cllwWroPL9Al8e3J02jn54SEjHWTtcW
L4Y5Mv5JqrTBQJRlIpxbpyPtoOOYpuPHqrXxnC5/SdNx2HUBQbEhh/1z1zCXNqxWXdg3lk85LjEf
ACmyzpWfj/qn5wlvp+ClnaVZZeTba9G2bwXVOHF01i1GqumjJL3tLZcjU3rZOlBufLwHdQ04RbR0
bakJsgfmmTMxXMOy9Rn3bXU/2270JTQ17TNChj8lOHtA6jrfmBQSIwYmMtvjDiu/ox4RIi7aM0/5
Mb1c5Y/XSTWkU3noCdyt1/BXD7FAjNAS/TlQ1xPYso/MMYsWv0CRn0syMcxD0Vkde0ozHTo6+Hh+
hLZkFojT7HbBGbp2sla+vZhjiDtkRa2C7Dw6lcb1EuPrZklMDQU6YilAqt1E7i4ho0iF4dvf5qrI
T9JH3ajZYFJXmk23Z3HxrIpB1TcozWeqscAddtM4FpTucnhy8GefWlZjyWqGMvyjk/w6ocx4JFZq
GGvSv7oGzaem+fO28aDcYCVADLvP4nKAypMW00/dbgRKtGwKPpJGw65Wi5RhT+0lM7CURi+DHUnR
lrlBIjlNoZ06YPEzeOxX5XkKwkAuvORIZ5ikuJK6OOAGq8oU940uj0ORDNWBxh3+a23awxmHCF2W
4/IUYNs6kiqXEm6N1Ii0a1wQgvHmCoh8e/XGrt2qnDYJRs3VJlHKou6Ougd9zIjWjbUl7KwVklYD
3oWnVqQSue8yRtm+zlhuvcjO6RDCubWgAG/BSLATcaGSqEQn/0ZfvEGAraavGEHTk2O0w0OLpSMj
DHJqH1xEUczjUgadmmlfDdXYLzCBC+gqpX2jHI0+UMgYgfx0noPcHkOogPRWTnaaQUmYLQ/sShk5
QX45BBQuHHua+BEV+9WUKTPx2LyVcBLxikxbJQet3Nm5bf1P9s5kR3Iky7L/UnsGhBSOi+qFKnUy
tXk22xDmE+dZhNPX12FmVLa7h7cHEmg0uoHeRAKR4a6mpkryyX33nvuNwWnWxK38cr6TMbtUByPL
+rcL/5ybnOMOqazlUzZl3O+QeFRDPUigOiAhrboxCCtHnCKs4KUpgvJo0glTb3JbtHhJDBPDcASV
bcKkyLwGD5i2ddBcPR90SkFbecNmnM5hHzEEqS0XNx0YIrzxUrvDGt6pmCECNpzCK4DflVWJXLFg
RYqjRW7j2OkfeoKiH6j2DpUkugfsp+OYG40oE5viG4veAgokIHyVXXsRJYboj25DSwsF97r/2mNG
gGsWjzHSu4/YdqxntZrINUv0rW+0Kbt/kXDDdhcTqBXC+XjlTaJZtuRNiHzHjtl8oUCWPaFXDfUF
9W+SHOjYfvaFKI5Nu3ifNdYjjC8T2zAWe4aD6cXhyNvUeLJRYkX8Rvagu3RENkBULJAXxNxnV4NZ
P/lj65CG71OCeSBtnTMO+QxW6pDpMCFIL2xrBaFH3etS1fWpa9fqtUG7+nrKcZeAJiiRueqchSAN
MLiQaGea9xWkUNgZy8IlHymDKgmZJYjCbavfUp13nM0Eho197Fjj65yUIB9zDsnxzvBtrDEEY540
OfOv+BEll/TApm5X63qhGmOp+OpNcdmGi+qalruyJnDX9rQkY9og1BNZ2do6p6Nn6mww97LGOCDB
WZtVH9wa5bzsljk5MJAec5FzGuyyrNqDVmywfy34nvNJUZDpjzXEBnpCRE+nFuf/vH8Z0wB2VKym
Lc997ifkHK2LmETyUcVFA+sjHh/BGlJvSUl9KE17egtatyhYIor2U9yVfsqeNpHYaGs6XIddlNfL
GyU+Xwe6E7Hpi/jY03DE4XhtO93Ys09mQdNtSrykpOI9T5PlMM+JNe8MzMmvxBon8UIhoFFulgk3
Euti/7SkfdbtZFcU7TFWDdLQGGiIr9Db808NKiWVQNwgIMXXrHRdPzEGeGlBc+x4XGwVz4DTRJr4
vg7S8RksAzzdsbDAk2dMmUZSnQfYsQaoTLgB+PZLFvMdbWblprKC8dEHjolsjip0kF4OzsZkSLDS
3HZCEBzG185e1QyYMPzdk9/dcQcS1lYL2dA+BnT8VjRjgOeBHs5wrTe4zbOqexCm6+SHyM1pzhzn
qn13sTiChYSTbYYMaPMb7qHmM4WiXB2eqtrgzIXHYJhWSf0RuLp/dMxBXmpbWugeZv/kS58ueEDA
ZHhl7OLEtGJ8K0NqBAfbqqcj354x2ZeJ0F9sBaz8WC9pcKbroMTqVnsYx7NuREcVs6wG5G7aRSxB
hLsoSjihxJviVxaR7nbmq9JuCl3wAapaKgVMwjA/Ar/XF3iz4qvRKikbnP11BBtUzDxQLlbHcCAj
qsupzcBsPveXc+R2YDaHmf3cQntScEgqu/zKTSL7yMbRuyp8kUlwoG2143cmasjCOGoGBbU8nFLc
a1SZ1c9om8OZixW2aMpmbmikeWFKWobID8LpcPS4466KVO8ZlhmmXgAb0HQz4i7Qe+KnLC6CL3HQ
cGl3iZt/mrSTXXYoFdbGS/2p3Ax9Z36SOm1Q6QgvpkYOOWjm3EjuqkFMn85dNLN8W+jACmRS3Mhs
qW5rz80sSC3s3YOebfumqTMi6kTtQXu1H0EhvFXSc97TPFk+TUVbFnCo5viKws7sU2PVVQiIIn7Q
pZm/WvgpHtIRDRRdu2yv8V1G48Eyq15tMeRS+MyFJay9WkmcxMy6s8VlsZsQ5H2EkyOhp3lbVQ/g
lwp2mrzvOxxhPtyvRg6hBo9wnmM6orZ6UsVzn8jkOC0MF2EHzAjpuuqTLyDDGBbryN+1jgf/tJNL
vAdSkJxjmq5vXTNKTgUfwGPgDMUD9wtAi5K3wWQEp2/ISY2rkQfuvMzDozUaFy4faMTx683LuNtO
gR0/tPXyNxirn6o00DFcImUQHAI2P2wIV8jVd7sfH15QKWm9OuSdmd01eBuv7cQl+8em6iJdCsx2
1ZSEv984rWvH79eS5MSFJPvpY67DDv0zJtxKzRpacT4dxiQuLpky1C01z3WIETV5hBul9xzJSByP
Y/v196+MFPOXV0Y2MQVVfbCW7J9WRo3jwOMp++VAKg1Ete+hyk+1a5y7eTWHgjBareh4F/436Gff
K27/4yr93NV9/U39rLL98F/9P2TuXy0Xv5Xi7j+yj14lH9UPatw//9Sfzg0ftL7rgTdflbPvmPtu
8Af9L9xKHXrl3bVm/l9inBR/mNg2fmnrl6txgwJbR0oBsM1x/h0xjjDAT98lvkZ8jykQpfGG77L7
03epFs1kcBTv96J0y3V3PPXRlVU4aOt9ULsnWh6pUWca7d1DkGXsilvXWqqwJBkMMyjArFRasX+2
hlzuRznJSxfwVLolxtxxhqQ1Hv8WkfcWv2Np6cugnPbay1jL5603qgOtuWLcDAOtxYytBkjN1I6u
dIdKwPRSuSdspk1HH0pZNgcXP+Tbkk7TSPJzolHQJ47ZIeOXeONFFcWX1Ji4nyQD247yuhHxK/Bx
BprLVUv35o7KvRwfMzb1ptX5Pfyo9vNgCeNjBnVZPuEsdz+VuapeLYblDhCKXvUoh0rDfWz3MaAS
L3sp/FK1G7aFGLab0cv9gzeU00MvhD5g8AQJC/tevwGtgiRGMfCb9O1p3IyVaK5TKCwiLCszg8pW
KcoXcwvfdFgoQy4sDmNOi0NJbzG8TPhQm7iSzQ2pqpa0EDudt6Y2ofyLymdmTWuIXbsxb2nYbFEk
r12MS/D2zaziHpyQVbDZnV70vSxwqpYDUF2DfjL4bcPcV4eewdg8wWek6HsNjWqtGLstpXreAGEk
PP8TRoYW4fGTVJrTVGY3t8A37C+JaU5PAf5SBivCcdVm5OF90VBODEG3GaddVIzNc9lXZCwWtBXm
eo0PrZpbBgaxaOc50bF6btsmp2RuCciRtItd35tunLU7foLpeRhVcUvAIbnLTcbCfTSr4Jikqj9I
fAWvGYRbVBYLQqYP7l1PMvRRHl40/fDdhWuOprFlODDMPZPfP9w0Q/bh9AODY1DTLXM2GYQY94Ds
8JmZg4ENQgjqSwdG0Mh3MXuQ/GwHbL69ijZq9pCAA3Joz9rlCL4Fwzm9Za7yL0HtBTnZxy7Su4Hn
YcMXFqcgOUeX/bTZpZU8jGXdEbUeCdTvVFvGeShqYzjQv6QvEbOsO/AM/lOeYYMOcpKMhLv6stwG
Q7ncRhlK2D1WippBuJfHtHXlrUkF3XkaBGeEoq+IyZhEOd4qS4Pg94zIWDc57udGCS80K9Lse85t
6iKNZheP1UQ4pHNAyQdV7b4FcWb6m9JMKTWstRE3IdnfYAQzaBV7t7W6ky8nBS2+S+iHqQX78HEx
JBFN2oHuaQ2HPdomWfAq6FV9yag7/eQOvn32xoEtlTD4y7Nxpi619l/0QKvmtpbEhSmjsT88J4UN
Ettx7aJdjLjDg6nQNzh8xxlBUdsX3UDzzGYpVlMB+WP96tRJ/4mUgU9MhwBwcei4D2R7K18Aleaz
hXcpdgWvHKHeaRpDCa+e2yYenW2demj3iQxM7L9u0LANd3QMMieXoJTpOR3pKphsM7Qaq1vtvsw6
VPz4XOaEGGefRGeQ00DNF/ajto2UUuvGiI5WkBRfADqY+yyI5WXFFU5Anuq6z53r1tee1zgHFr/L
cxLQhQlySNqfO11mN/7sufaZct60u47Jkb4bSyU3WWX3W1PUwaXPyfKJbxTFj2XAt7LqlnrPw2R+
y/VcXLexj9WBE5rtQWiKLUxPqgKP6g2fsw61zYv7djsT7oZjTYFIqDNTk01W5uBexoW7PHCzcQDQ
0Vj04WeGf01rdMULEA6kzKPJX9NZwo7yle95G1GUxgtxLn2dD4EAsAO8Z+Nn7Pw5T7U0fHB9XwoK
kr4oSSaGe3tq0Wtqcnd8ticjw/cmSmnsoWLN3sGuOi6z0XZEv1UVgtZV583q6GERevQjszBJImjE
DtLLoU3Qp9r1WZ2cqQx5j5VZHmXBNlxZjf4oJt086BHroNVzTqGj0HiwuZ2VjO2IigTJFsTPOCis
nZ6X4QPNhKaQdJLVLetaFgYDcyo4I+WcPNiHMNM9gEUmbeA7s5F1dewiZacPwi4nh/82Sp9BCZD2
0YnPXpnH/SmfrJJ2S3shXGqNwvwCpMS7QTuT74YxlLcWxL29bCf9XMSTn95i7gIZoKzYIUnrjNV7
VpTTEY1zkls9NtTUI19tk7Sr/Z2xIH1vh6EYvUccTcM3kmEWS4GybN+dzvY64hi0YuC7jqEZgl5S
WxD4eMXimkgWLd6cOp2BbjfyD9Gt7oZFwE6mwz0EwcpdyzZM1k4uni3YqRFF0CSecftB4A2i8SEn
kne2DMs6xnpIWK3qhOUx6M6G3Q8mJaXfqC4YKboqa4OlLQ0f6CFchwZqs1cR6u/kjWrde114Uyjd
9qWOVyNejMk5yTiy1KkTnWmuAUY49faXKcnEKU4CmNYOCokamjmkZuI9J6UJXdH76kzpJxXbBv2u
RR2qKC4hzcCjyegDmuwXlZOm3tUNd2LOg32ADllDeD2BwAXkAs8ia06jHaENohnW9lZSXwFZqpix
fsfIaMt+QvOdCGH5X+q6rclMmcp8ThrfYGtOSME5jnnhT9dIFtWXiIUbasjAqGMnRanWnDbNJCqD
DwUqFlk3M3bW0ML2TeDKcOTyQ48Log8LSYFYrQqxS7LMu88d4h3OQH1LRL/nZ8QW65ufRuqt8GUf
TsuMeaGV9RZugJ2GI3xaej+cyL32wCbRRDBWVMxWBS5+0dF+czlntWE82UkK9zgah7Te+shaVYhj
hNaBdl2k7Uq+MJi/GpQQ3PNKmruhi6dTkxryujVXVa6YJLGZ2tQSNYDsySlYZP/Vx2qxKd1i5Lvj
N8WpLIkabrkjDDQZT8K/WRayQpul6oKrcWmCS6EszqSKVo9PZdNLeuE7A1Qm0iaHX5pmNhgu5ndh
wXMMZ5T7YEvmEluSRsf0DiSlKVZQAikJXG2xHMqZ6BDZeJVdmZ1vyY3O6XCk2Ni9yEu2XRyoya7X
rtU/M0SxbiRzYX3u27l71bVKLorS8ZOwsnwKW3koTdcxFGGeJMD2DHQ4h1Al1MrsRnsUem6I1aqw
AUG7hGauOmqQKD2gCtf0UZG52e3HsVuffiylCh6rgtdjV71cObi0rC0liz5l01RHj8FSP0sUGA9V
IK1PvuFBfBlbnR0pDm3vhgxGMF4TizyQTvkrL4E/zelNZ0aYQrMer7KkY/gD9k97ZzWlex/1HRja
yHIVBpthwboDcpfvyeAgQeSy0PjK+izsgBsQVkhYtxkMpndO7IxnHfHr2UaJSYiS27jzjONjWfue
krlh20R7zI6ArV++xE5Wf7W60kqJY8zcLuJxnY4yKtwbEFqq+GBQiO7nYWLx6DdNLzZ1q6hU4cQB
IykvU69ia5HBTeAGPSvwQ4l6ziPbZKPEM/pG13N0rvQw7LgEuq+ldsz7MR+SPjSboLhLlomGlFYE
zxY5q4M1BMFXLQfxNBPLPfuOY7zNIqKPFfLqcjfWmX7j/su4YLfKsrewgLMDSijC71gK/ySqGG9O
OrNx0DxjXmBLNiqkBJvS7LgQWY6fKgXCZQeS+oFYokAyKQugTgKbmr/pkaLIHjP9X7jewLa6HhJ5
SnvslftWQLVAyv/HjjdJ2vkQQcBKLxbl5mds2XN70rbZd5s0I0oS6qAIvg3VUH7uO6gjW5pkK2vX
c5bC6zVj02OBQRjmINgAGnR7dIl9gVWBvauk8gsX+jKOA5zWqg6Mj7rrveOcYTKsw2Ap2MonVQa5
FM8rx50QA0btv7bTaPr3Ts1ccqAIx2ps9GLTwW8a6Q8HS34/x2SAMWXCLZoKbxdbdm0cpsp2yW+6
CLd6YRFymbDlYAUi7UFes0JnYJU1Rnf4mo+C581yQatYdJcHzAS3hTZXXPxasWJdFjYgvUMCsq/Y
lX4MX1hImOQkUodhTVVj2YBxVSVt214lS8141NSphntpNqV9TdFIFV04Zj8kN/7oadbjaRSNRxKJ
KsQIXt2x3W4hIzvMJNQwC4smebpP5L6nrCI9wQtLs1fQNV15ZKUOw6/J/bl/Lxca0elzzHGczdqJ
3ik2ryKIIrHpMSQpiam1T0cW4+iDPWNmN7Xp1rTmFHBUPFviXboD6lynulFv26ixwih15uCSx3c7
HsmbEb8mP9jtLKc3j7Ww8oNCiAeMGLnTQ1Kpcs3T4+TfJ9B1fJo+dJxd1eSTvC1Am1rtVE4iuDWS
wQixm7uHmc1hdAHuemI3hb2ixSAb0X9QtXpurU2qLAEDtCbJtTMMt+jfppxxu2mnubwqJBkTTB74
NBDQUQ2bi0pUc3BkxbMKd7TRJs88pNz+ZE+qYswR43gJtAkrEeHFfiifEne2s08m13B9F2OqJNbX
YC2BD8SCTvTucAt3OnjLGO7sDTz0xgt73o4d1l06L0czZmNOHwz4H+plHQ9LL6izvWd1rYu7tzPO
bCzeAuozV49zE5NVbHgm2lHzbsgJGgyr59usj7EttkKHXZpjbUd6Q+9c5JAd8smFGp1GdNRarKTI
erDjxjzJrEeRBTWkIRIDPh5FsuPzHHdSos8RvWO2H/qLth30g2azv9VujPXTcgCODpTE2JvRLu5p
4+TeVAV9fo4nrlimlgiMZOSTmN6S2ho+9Z5PvG01ebs8hbpyxQpyrjmmfYdC3A9z/NzHZErRgFfg
UcH66mZ2ZWFdQX8d4pA/TSEJLFJhhC1hOgy1ZTKZW5Ym6/qcVvuWWz9t1K3VP/WsUbi8soZKSMOt
Tgal2tvC9aJLouq93qpyWatJY6crwqXE7ekUsbwHBGcf0gaOQwY2bfkkTX4d7uh2CLwTuQMjCo52
EFNUpsA917tx6U+NqKaPuBfx8zynlCnhi8oOZmZaF4M0vZPGVYUp0UfkjXPcsURqSl9svdoUJXFi
pxFh1WYGYWetMZUs0i+DvcEbe27jPDj7kMfKzZSDhdtUOLha4D4qCPsucltchikbuCXNxBCOmkbi
kP5fd/d/Vt1cZdR/QUr+76CSoA06qOT/63zaQ5rn6Q9VoX/+kT89hD5gEVgftkM0gVCZR+DrTw+h
/4cwhUvWy2R5sP77/3YQ+n+YFv8iQM8yHYcl178chJb3h/ACAKQI1iulRP57abMfOyvo5LYxDzqM
EeAihY+b8Ue5n2erqMaKg4mNheVi6cZ8G9fplR1ZzYU3jR63owX4AAP5bmzi6Skd8/iiMiF6trDy
QxMdBdGS6oYs6eFOcpO6r0rMPzUc+qtyTdV895v9RYTpx03BX39efjHfryccY3ZV6s/mMUgLyh/s
1dnB8w8FMApFg4pmtYEAYiGiw+9fWNp/96tCY/7+peEwlw1PFkzWMel9sj/ZNZYUYCbtVO8ybdQh
ngmoaCYmRczsN9PACQgFtwwD2ou2WePAc1gqihdhqW3qoAUp3SU3ALA1OHt+e66cbgqek1eR0vM2
9WpMDl0ljv2S3jdDtuuKFGVLoFGp1oAR30DXfM1TY15CcBDtbZ2UkJVUqR8GKWIsc4wTeQGKo2jo
BCsDUV9hHkmvOkSht0SPMP+MpqbSiSP9XALmwsG1E9XneQA/UdB8g62M9HyQcLQbTfFkj5SaezQn
HgpZYGaY4pTwsEYjCXriD7VFkXnqCJaSVCIudcVIFFPk1SUOxcxW9uS40Y2exztOjx3PinAsjFe7
r4KzKrLyYs6Cl36BT+AEDdsXW4Rz4lqX2RJflSVnF7q4USbnDKlRpwc5Nsi7vvehKIDDAU4NFUC2
C+hx7GCH+YbNo7Pv21zttIjklgZ3ddEM00SqDAJcVKTXNfYOjqmCnXf9iNflIlpmOMkdkBKojpQF
0C/Ton9GyGBStPsstwE8xGW/Txd6wUC72sQcWFlD08qp9Bb1jjcGTSVtFCcbV7yPcUfJfDxC50FQ
mslhpnejDuQFV80mNfSZKDWFOr4FKzmZHnGXDndTSYZzKm0oKK5GKR+bo0iMR3Zu+Lc6bEgUSXDm
p3X7JtCx3A248i+hSe6cHC8v/QgR/k5XHFSaRCfbpo3dt+pk10ISpmLIdZDsqUgaqGV6BNN4gdq1
M0BvbIekPC2yk2HBaZceQb7Nk4PKNDaYgrTPGlIilZ1HcjbAilV6EPTU2F71qHJmNsBKh7b1NzTs
PLJWDHugExzg+F06TC8b/KtHV6pxm7cU8lUeTtHCoqat0E1IEJ8gJ/wKh09zw3hycJ3nquqJc0iE
wsSh0J5TWBaixfrbqMhCsHxgKD0/O7SwE81KiDPNDlxqI7uMiQPApm4U+1ngSQ+Y34yQFsjDNNoP
K7s4zP0Jm9JMuj3X2bXrU6Q3JwAOVY0cqzIgHrNhHYyxOzgWyVDbje/h8RBAhZkHUfTUlv596rPS
aefpUU0pZsd0q1RyPTBkHWsH6gcOvKl/Xor2xmux+HnUuCVIHxzA8nRvkhuphP7IU5RtNyYXmFMp
UVaPmC531hTs26T8LMxqpxi1CGOisDKhUL8i7etgdpODSW49zdq7FLYerICbyYsvsqiyoGVT8LVh
Ivf2ceRW1HnIuv/E0srh916Jh6nHk2UV1j3xxXgfpSNAnGCY2NqQdBFV5wJBmGTwkUDhWHtZ0tO0
9A4fVUDWdYTagXLUIGTP5HWLhOFswlJ67JoU/3ZuGZtG93HYlblz50dUUxRDvhBTafWxwM15Ibkv
IjeIJ1zA1pa733iexagfu4BWm0XB55WxIVgAmwCXOfVz1Kw8QS3kJKgD1GvesNS3o5bNMa0tDz0G
qlSBlgmJH2eCwlPHuiyiSmq+6CywWo6bP85VpjhHYWN0c/sZ2RJLfOPRzTLH5oaq335nWE13bbVE
hYTPQUTZFJxYHVVKWU41Cmnc9BSvYL7M6MTBABe58wS02KDundeSlZAXLdzvsFKUi48GMYJaYYW5
HLvRW0iB1t+AfxwRvNSB8ihra4BxPNI68ibhhe/sNLrzUtp0zSSiRR7+JRVjybAbjcw8ISlV19Ah
7v/mOfbjlvIfT1DfNXnuO6aF38/7KQJMmc+YVf0C4XPA/YnZ1WK/o6nMRmkEc915wGVbM39QS6OO
eWXArl2vrgRpCuJ41J7ZzndgMWp4+ll3l8OOIWTeceeLzaq6drwlorFSpKRkiviI+kYobprAXcDp
DftKXHSt8I9AB7/ByjU27EvJF3XlHT+HQb6gIKzxr1HsFwMDQ9R3C/6/vt2f/AyZXRQYdB3ziCku
uu87tOGZ5VPIKmfZ/v6lfvQS/PlS3hr54B8kRtb//zvrhDly1FJoAcdUe98UIjgxM/sdH1kVdk7z
+vsXW0l1f31j373aTyFdepHLYapJKTnpcMsiUL7IMoHBMsZfzBQWZOvm6hbBNLnwlbUQjGKxZ+Vk
Dnw3VldBpo8Zn2TIsf8AWmTaZ70mexlxwXMiK8M05SOEwCVI7BLEJKxc3eLGwEKbrzCAyeRvg3mL
yGdcTuuDul0f2TbP7t+/z199fr5jOSa8RNyw3k9LddOwE9PI1xN/UN8BdnOPJbw3nSbO37yQuf5N
/9OE8s+P7/tX+mkUztVUJcQB5HGItUPQNfhqLv3AMdmqt6jBn1wL1+bkENwHp8Y+2sOg8vv3+qP3
5h8/ARM/PjbP8n0+2vXS/e4LBCDLFQbPkaPbOkDf3UhsS6rMGN1c45aoBCZJ3Rb533xtf/XGf3jZ
n2ZqOuG5udXwpA3bWaMIzhcvN3kyd1Qxpci5F9U8XUd0JdxiYKt3WA3yv3njv/wR+JADoCB4gAhU
/fjOC2FOfVOm5lGmRcfCl7il01+BasTbqxwQnqQYHV8wb9KzxV2/3f/+N/+LSzf4/vV/ukvoMaD7
pIJQpQr9Lvt0ulZVJC/KFugOocXL37/aelL46ZvGOxUOn7FpOfzvj+82GYlVKOrXjo7ss0tQYeMm
7SO1+/2r/OLK+eFVfnpPvRRyKJzaPpYkSzZU8qLI42ZVcLL/5uP71Sutb0VYSMWO9ZcbXwPPjq52
cVwiEs6jb74UbnDiuv2bd/TLr8n3L/TTPY/zh1ZR0dlcnRRepKO6ySzPPgSoGUSytHzIyV+mCPCM
x+06KFuNav4GM2D+9RxoA9CwuEQFviLO7j9+elEyjS2rP3nEe9McFxJIj4QAzBMJEnls5AS1M8jD
eIg94v4z41uctFv2GgJmpvFhYFrFl23wdGC6qM55XL64nQTbn1rPWYdB6PffAvnXLxtOWfanPqIE
PzGJwx9uKjg586hcOn60WJ/hstUbMxEknheC6q6xXE2BO+0aLQgDESeLR4JkHEKNPc14jO9OVeyG
kkdHN1QnxtRol4FBLxvOND2Qiw2HiG9NM8Yn0ZaMcPRUmN7Q0g7tcTybfUi6BmCZZqmZrZoIiEXx
1UqFuZnHttwKd7Av+77/54jz/x12j3Pz9T//4+NLmQLO61WXflbfe+UA27pcmv+ajlaU75/g3ZUA
/J//8fhRpgUQpS/6F3/sT7FK/CGxw3m+FTjrnRh56b9Lwdw/sElagUtKxP/TffenXGXKP+yAvlMh
ZIB/k4fov+QqFC7PsfhTtk12AHS6++947H689FaHpkRJ4x8Or8bt5qdLr2ulr6F/dTv2D7DBSpxv
Rvte2jLedqw6DZVf2Kwp+Crnfyc8uT8NXAQXuepdXMz8TlYQlPvTzQcHlMhG9OCdSafqMVIk12h/
BgPE4L5R2gPODbj6Em0/OehGpESYTPGZnUC8C5qJ9G2i7J4oOZmI68HB6j0tk3PGioKP2oFk1naI
1GnXgyVNe3j83UyqMCIFMB9BY9Aj03h3DOEO9ddrjIDQ3KPEgrP1oBRcD95SN4hSo3lj15D9Q+32
V+xYc5hRnNBrh4xwgSNZUQDQy2vPXhAVREuQsinlctfNLJYsvzcePeJltJHVwc0oiWp5nrRJZa3e
LsOYn7K0hSXuQRygR3nZJIWrD2jfzjnAzHJwuAWeFhv7JgA6w2CHS0ogP9pea1165AH6sDMABp2M
1qnluWXh2BxsT0aHOGXZSmGQm2/Znfrv1DqRQ8itxrrHYxQ32x5QOasGg99ajwI3DzCA1Ar/wbOX
lHeljIevZTSLNyw/Pet7x6jmrWBn1mwDaxxfxzgmMs+ys3yoZP+iW8MBbEmdWWCps1/Z56CqmmOc
df1x6Pz0QPDy3YUvcgW6aHLDQhOBKHSv6XfOM52eccNP6riU03StcTHxYeX5ecD8fiiwxB8sP+ZE
mbV+fVnhiz1Rp4bVZkjGx1jW2QFLSBymHTaJvsdKuWg+7t7MxUeBdLOjaKqPtrSeT4fcCG5KtL1L
bKDxPkd+vJIG21XLQ+9yRhZNntH7R5PG0t2qQTvhpLR5OadjAu6BHRQQlTFqSF5RD1J05bJH/iET
6BHYoHcs2A+2hVdS6f7FjU3/xctzcdVkNAJPsXP2zZZSuPV7Try42LI+tq8kpcKPA6nlTQIqJGSq
6HdSTD1OmoCzRdzyDOET7B89qsiCjeN0+YMfExMNB+r+TMC1gUHbTF6D3dlwuh7fM19Lc9+4oIj4
FYuqDXOIHVwt5ujke3tZStw9o2UPe5SD5dqvPPmpsiN1L2TFuswjyX2YK39+GKkT/bqw+n/wxj54
Wt2XDG+JNt6z1JouU13ajzJ3CYZO9dR62NrzAEfXNNQdfhEH4pRpGO2BMT0D3SXSmOrMnNTfiTzM
+KmZJ2rJBvD/l1lnwkIirDEfFg+QSOCYPk/zxc0+9VNX3I5lRldDrIvHPrWcI2nVU19hefGL8duy
roXLbhr3eSXlN9xFzZeUqPRxjp30irbY5LR0zNdm1GAGjVs5ULKWNGfhpOx+9GSqJ3e0IJJEMjoZ
tYsR1WFXVWGNJ57Rlw6RpjZrw5SKrqvFhAFANqV7kVFBTYIeTZhXi/MRLUO112OdfrNc09xRrlHd
V8bgU98RmB9lvLi3pl70IUp4ZM+T3z9hOKgPxdCLS0X06jXJnPa5zqR8wtNvnxIq2zcNu6YIWvmQ
4zzW+XhoevqIYc4UAFDoPTa7z5jNAB8nsotpIcgK336yqFUZCVirCLRFdIjY2X+LIul6R3sWetmZ
iMfLkfTDAuAkzeYdUai9PydYYwJWr34I+pXGhFi07MedaSYJSfFBF07AWD74pk3zpoooN91OXpCK
0Ei5G5NdJ4+aUC+W7b2GLFEo1wCs9lovuFTNXF4scjZZFds5+3Qfuu0pognk3TGgcehuGeBNe9FL
L60OFogxjEaYVcz0O2q3uGzID0UfLHex8kXQLc9kisZnnVXUokasvyPWkflyZ5LMw50okXsiEEkf
VTY114qCMOsiKf1gNxiQnglQIg7G/GKqoTAeKtSvr7THDXSvIerCugNKKrTmXDqT76Q/jwntlS8/
FXWUeUF8wpkTyAMKGCZn7bT4+tpxcKne8lpFm7FqiWyjMZtvUzPI1d+Sm2veqbI3rm7VG4XOvb3z
8sZ+Ke1GvLYpRCTRLtbnVCtrK+0lCAO1gNkr4v5mxAr6pZdLfU1NW5DRL6ZERXJoicBSL2s0OMZg
sOU/gwqnWjxfcePJR9riSPqONhf9prZViwOj4weA5gBNpkwWbHGjSWJ6E+cZM2be5w1FiESUBfQb
qrIPROsrIoixo8ut5VJHu/cx4hjgBmufI8D63PEp13vm0RPFIXxUT2/raWieYHQv55yCiz0fGVWB
ma/2NhuTS8qveOBh4vwv9s6kuW4j29Z/5cabwwEkmgQGb3L6hofNIUVSmiBIUUKi74EEfv37IPtW
ybp17ah406qBo2yZxiEOkLlz77W+FazMWnanoRxwEmXKNrp1XubFPbNj/P0Or0NlpJKItMm9b0P0
JoA2pH2XEI1xy0yZGMZaFDfwr1HZoBI65/Q99ypFmoRT3kvI1oYrmQGFstXVsALLQ5U2twtVYjSX
F50sLUyOYotZ0v9Ippzntp/iAEZCGrTfm+mHTowMK5LYtLGjr0slBKhDvZKK4WyA2XcPRooNr/P0
vQKccZ3TMXq2OvdHVrxch42JjrtS9Gvx8LtrJYPmplWRumslBAdup+F8Ai0yfB2mOOWdiQGrCTOa
NKcIz5wxTNomEFi3ufizusFHvEVbw4bc1+3eMcuKCkKop0En4+0wV/ywcur0VhBjjP49s28dbXlw
WAkZvOquM1co18ggDifienKcZPixUZ0Dylqcn9Rku9iMCjAi9ldnMNwNs/a7dIrA44C9J3Ot4nr8
oLcbwlyeSLor9/inBfyiSu2wbo2L0rbw70dVkgjitZadb1KB1w+JQVWeS/JaXtnlRiQHPFTUQRRC
3/NBzbdTW+ns6MfGfPVEAsWptzEXo8biAx2FymEEC7rbnOP75huNZtKxwTh2X3tfYYXOQeir1dBU
1YGoLMj2WTFgWfWzmKlMLieXpdUlai0gQHI8LjG3/KcjGrCrNO8LZLhTfW6nbu7X0N9an5LPZT+s
+rh/6YjxehlrM4PC7qNFWUoVb9V5PWNCDoROvE1q0/s6V6l8cKAAPFszJeW6HuJ0Ma7CtyXcOmBK
15rlp5rxFtyUceB9yqcguK/bar4lcnw4NIV0fpc0wEdN7vBL+q+a4DnGQVaPhjT1PV0dQx075K/k
Hp9kYAGv1otgmGGJS0RdkBJQRS6DyDE1gvV+dG0X7BUVOxozshJM92DqsrkBfKTa7cQp/kYleUUr
NeIyiOv1sHwviLTDVuGIgZ/KIhYz/GtvmnrMxrsid4imaBD4Flgoh2HGq2tM4V1kar/YJJji4WRM
MzcoSRkgb1IKYnfnYqd9HJqwMeh/SmTsySAEOCivHvydRfDmrV9mwakfJFNPlZuaCpje3MqanPRU
kQTYUq0JH6PaKF6kMj0EcUEynCyHZKrcUvpmZtFJWdJT+Qkry1CcCZOB+mHGY03LX2NQ2pAs1VCy
Vro6z0WG3RxjuN6ExozyT5qUUduReQWJCpwcBnyLHi4KvpOgOakpDF+ybEiemykDXTkruNtHFwz3
MQPOihyqNr6ZYBGZhFj0F0x2leOkUZOsS18lr3gIgOeg6+le+Lari2PNhJbPuc0Yk8X8ELaZOM8O
Jp7ADbubnKw5wlzDRWPCr74lFx0IrfYcfVsNID03UkVhC66mnfpNFdTuE5CVuvqDnYz8458Uqv8q
+vy+jGGME4vy53YtxzFX0HzxpI1b0bfwcf25r4FDo+uz2Om2oWVmiICj9yIuHhnCvdpB/giqgo1V
MpugyPzSEoP48NPJ+f73bt3P1/9zW+X3y3smkgmqOzhQ5vLnP/dqw1bk6Wh02yZkdmLMVXHDzc/+
pin940T7z1bh75chrIYTp8l1iB3482XIZBnEODsYYiJUz/3Qk38iDdvwD44i03OdDmSLMPou1EfB
9iRg69QZJhaE7q8wSNzjZBT9jVfl3TWNZXBZbtnaQ1kC16SaXnFMVfAdkeqte/bF7h4lYRn+3lz9
Tz/m7/oxDlbEn56q/9GP4QwCzvq+efv41qo/tWR+/8k/WjLOb9BqBM+ahx03QKvzj5YMWiCaIZYb
ODwiArLYPxRE2B5RDnmCDs6iRKTz8o+WjCDd3eGJxeYbOBai1X8rqP3PMwvpWMz2LQfbo4e0HOsu
H+Hn96ArusBrenfYV0kXPI50Le6KkvTYtR3EzbsRzOl5NIO6+ruhhffjBf/51QCg5nA6QZzFL+79
aDr9fOW+RVag3WHYe04f7uLGdqs34ryocePBcvJVX5GEuo6Rk75mnGnnrXaQBKx9mdkQq9PR9PZm
Vlli3dJ+/Rwiu+xwBiLgdawp6haEfb022ypU6zSn3DuMYjH44U4yoE6PHdavqvSnd/KCV3Y3NcVe
0Ff7nONveZtKETznJhk7W7yNw8OEVafapPSmz7HK6Mn4VVglpHUgmSkcGe9cC/+En+dnh7yZ/Rjt
pnFG5TgX73Qi1qrDdD6XxIW0Yfl1yAjkA66SPGC/lC+cO+s9DVs8+HkFPlOhQSNOO/LCT8aQxQmZ
4UZ5nACirYtw+iZLKAoYiHYhZ9ljJ0hN4Oh476te7gZNtlsBUWkNzfU5jnNcP5UG5DOyPyK1x5sn
yIKvi7WbkIeb5WUPgdx27oqKhAKNEYSJc4RYqOcHm9rdEYdBzOtyCvAqUmMbLd5oRXCuDRxOtO2m
VVmGuqbZF2G2w986rOoQ6X9tQ+ch42LdkmjEv1SOawEf7G5s+vqGoqI7zmHTwPJte+KMGVaWjdOD
kTJZxaIWjecYy20KL20Doanbd26EwspsrZ0T2+7Roc230GTqLdk7PXGi7SInUgKQusaO6BbikIZJ
vwOGBzgqTzHrkk+8YX4d7+n2ky+IoBsxsxVlx6IwnI/KGqJD7yA0lYZn3M6kgh+tso6v05y16aYA
gbOJ2j5OVgBaFMTfxLQT/AsqjzYOjnPm5z6C9+1oO+0bTra0JDQcqewa1of8HPWOf8HDYL1TM+Yf
nZwSiQ+lcu2VUGN/jcr0xtQGgaUjiK7bRAT1saNejEzHOGHlr05qzsuXnJMG9zppYEeYc6fmbeOO
5AW1AfnRK9MsPQ+Qrlfe59DXFmabu7heyxS3Sy5c0jhTYi2Y+mLPb0EGa3B1Of0pBY/XNZp6Y6BZ
2tReMYstTB4q+Vl6/sVsbExCuEaGBwF0Z+dEaopOUVThb6o5Wn1uOx8UBNRR/DTSRs1RY7q8TqNv
Hpcsk2LtUZNSP5XimFq0svAP+tGBM5PzVDYNflLSeuKJm7nYi+0JkxIHzgqkRF4OzwG2PLWCFY4D
y9PQbCPDacat745RfZrGzvpW1hUdHzu3nlObgK99l1sOugTYTTswIbDx7LYmEGA1T65x9b1u3HlB
zZmx9UmTEa4g5qLAsZCt7AxSQS/wzxLVAz2gMulp8T8brmAsr/2MS5TPh3osm4270Jk+vCh9b3N1
Y6G1rkzD2fUTLpx8ENlhUIF95zkJiTsODpYuhSMxeelN0MXpCkgQjVWTFNd8hqacVPVt4c3tfZ2Y
HxzfvVVTNhBzOsQXJsC+SyFluhMRv5Gc8moX5TK+R27S7TWtw3M/a7HtRl2+z14z7Cbkz7fmlEQk
ik/heBO2qf6e5yhAVmj34zMCL5qmSeIjXpoLGtQI013rnQSW+JSJPjsHUqJIyjXtydbq7I0FcsP7
VpfTkkIrYT6ufYLteC+N144ccEq/FrCe5X4CdyF3bTH0DwG1UL1ScegvkuXhNPfzt8oGs7xG/u4s
6v5wE5DBdRlshzN4CucJOmS0HfMopg5U+b1hEsm7du0eSBMUw6vMnNR+Ggw6aytzSrtjGnGi7Yy8
v21HZgVbhUdthaxtuvMbgNdTVwKHo8UrebI4FrBaRO8+PeeNUbj+wfaZh+H4MNfgO7gbWohPfoar
Enk27mdNJ46eGQa8Mb0lPaklETg89BkUdPicJ/TyRLQKTwE/c7+zO8W3mE+qfdbU4LQ9npT2mNip
XjMuQ50HmhIXQtwirtkYU918oPfEGw4ozbyBfksOqcDX3G5VA2ps5btDdNFquMZTlL4ANkm3mbT9
b6ay+j1JLhqPAy/M3uVoMxyqCtL8dhgG/5ZGUP4s+Z7Wg7bQqWZwL/rBc+5bXYfvE1BJ57Gtc5bZ
bi4UcPOOri/TCq9JUEJQNCJ2ipotLeqZscNsgygw3yuadxBPoGtkwhrOhBxudFO8GjhN8yXunZw7
ujm2RNnOOGYf54sMCc2ij/+zjrunkbO5WoVW4tzKVmKGnzwSJrIBrevkFw+hTYuUYNJmg3bAuM/I
u7vVBqL3lP557DuEZDQxru3Fh1xH2POiI1HKyXb0neacYDQz3GZA1xiTBCXVJRjMj1pq5K/COY4t
MjHGqdMxngNontgEDgYDCvjpOB+gfJPOnmnaUI279wfK5zAS4WZWRIqXSjvnxI2eI5tmY92NPADh
yPKMEWo1MgOC7WbM6prrinZmEu+MMdwibLF23dSLGwWoZ5MZnYXjW8YfOoIeGvZDdyEYCqKZYYlV
qTUAmxaPChDgZl/JqdrwDY1bakHyapBEovCcP4XZwI0kpofMVG5sVhfhhZRgUFJt9QngNOSZsmgO
XeCS+DUvcl2v6fYlGo09K5CP3LECC5E2Hj1GkW5cHEwHBh8gghKAn8bE65sL507zvZtjhndHNAOB
gEYK8DFFlrhvIIExE27ospCiRHpjr9vPsb98qUTEuTscp+29F1fBlhCQFsNpEY6fQWxkV9nNqM2C
LP3eatfDj5FbR2sIxpekygC/E/0w7EbXLAEuYB/ZRNIMv5tq7g+eu0QidpkgTj1BBE5T242xx1rq
PjICds40GsyTh6Jtr0VivwVWU98MptB3TJjQYRhVEcTcb+GdoiCnwzMMaJNBjMWPUWC5Z9MfrCec
eOG3rKWLvqoKHzZ8E8UpC5MVHpPOdE8RtxoKvE5I+7CN+LQMSOIVXbMh2pemn+5zRpvPNolzK7w9
JJnkkw7WSmTRR58W5oD1JJAlX0KR39OSMp6QFCaHWC0ZgjqZ94U5Da+O2+XnvoYkhdvHU7cTotkd
xM2gOHWmSR4njL35KU2m6VufeDmvqZ+m1wZsxTVQZVWDvPcYxOTEvY2U9rskTNtnfyrN21AVBQlk
lrmfcN0CeJ3kiDum8aLX2KmdTZ6b2ZlYO/00jLlzGIp4eDAC2gWd8MJ7uy39Cy4/6wzlTr4aOFyR
QNTlq+2ER0QoyIG7CG564jFwjIx5yyxu8HjOHALPSZ1q16x41goySgwDDMq2lk2zLwnKtFdjCM5K
gswmkavVZgaUHjrlCgh8fhsGUu2DDNCWQKK+FvnUXb3OmI+0+NN14RfWJxxmZAWXTUfTORy9aDsb
IrHu2SLY3wCHDRMLGD3YvGW+mmVtiwuwCHaeXTA485z6tifyF1568JbElYV21CLn2C+mvRjIG4fB
oT4oWojw8qoF8gs6irAQPRX73B2bY1UP7Wde2vlqgL4llkIXQJa4iG+YYptIP92SYBeBKLCj+1I3
4nZszUG/lbbQ9QPjpzp7NKCFSZQUcxJyEuGAtw6hDY8kezc6XDtiwPMke+akKxJykNLD0Lrmzhg9
6cqKv8+QuPaIiLEjz6MT7fvGbB+qSVif+zJwnno9ojCbGkFw9ByRkp3EdFSi3FAfevSSk+E59lvt
iC5ayZrsrdVYefoKO9751tjlfIrGEt9dHuv6OjUWa8VM85uCrbVY1dyujva1Tlmym9buaZHl5lsa
SgdbgOk1Tz6tu+42LGvH3s4Jva6tRV7INsrxyQ72lFhr3yX9ZBPkEWb9uLem+FhZPIQExxphQt3e
NmibJg/UYMrb60yJb21K9sNzaSUBybR2XWFSlkptRgNOAhYKafG+SwE0faiiY1329udsHsnxtILq
uQoEwSAcida1U9XXxnUeYgMnhM7aTdX6/rmbIhuqMcP/LPDMN3ih45eoCBKycdz4OZkH49WqStff
esHkfPbiSZ+Gbpx2cHTKOzHb3kPk+H60siIdHpwk29YT6RNU1OqGhuh4qIkoO/TcwrdBRgNqAsO7
d1TV7HIDCBeWsrtYJtOp84C00RhKroVjOJegs/t05Qadaa3rChm19mtsMTLDIFw2c8OKI8NLpPwv
faQ+wCroB8QKIdyAuslZrQUsRbyHwffer+RaAW3eOYKghWEU6rnxg/5lTHhzMqMg3SKLok2oPftS
AAI6xUAwH9LS+R45uASQXgVXEkVxr+YognQcV98cJkbsoKM4IPD3nuYh6E5zZJpba+7G59SyE1RF
KZENoZvcl4iWtlNTt8U2t6ruRofOiIAgqo5elKuHgQbAxq5iZA8Muat7KHTZez0J5wFqZbebZvzk
rV82d4RBpsdS1i+9SfbRRvtiojwA/7nVJYSEZpzEjoiKmZkd8S+W7gn3yWxqoC4Rr4MqxYVGcnom
rzF4jWUdfgnJ7NhjAG+PbKvDlUb19CWmFrstugi0JEq+S88k/bGjykvJmDOdHVnExsnGj3EJgUl+
GlrWe1mV/Zc4boptOHfx28QE3KWjypHaAv168SWHNZrovF0xu8pGQXwBA8ie4o/usE4mzlh2mO7m
SiWXAuPLc+a77Qn2cvJslDxXrfJyToKA/Pxqcago27qXyGpOoRzGDdDt7ElPlbgoIy++O6OmIY1n
XYANSbpbsj9FD1k6tD/8iKiKNej15mxGLR30GUjGweBBs0hEHGB7dl0K9AizDWkJhlO9dLqqA85d
2npM3al6kg2A8QRupF7JHwAFHdTFK9Ph8G3szEUJhx03ObeQdu7pO0fP8w/8ArhiUAywtBxSwlLY
KlE3cr7C/mO/D14B6Fvk8zqVsnxD91JtICLKl9KjSePmXXkTUanBJmDt4AMlDHoKQCPxIJ0rCZbW
1vIaKBTu0AIHaIfLnA7dW5/3w9laSBOt8EMSrUm5QlYIh2IhUrSEx63KKK5eG4kUNUpz4+pmqcsI
xwxXllx3LPFohcuy+CiL2tO32NCVezC8GVAGzs5p1Y+R9YwgACJGler4+2DCSweZMG2nhDHoKpxx
2KzKguyLlDPkJsIDfYA4CxSEXz6iJvhB3RCqdfIdVUBzM5HQ81kEsfUkk4IHKMYfQvunLa9T6bea
RlBUPDt5/b39wfSo5VS8zfi2v5NHpo7KNViGmDJsVF6TRjsYxJ3BBkkjGltWma56OUGGIe0aQ5G5
HrvOXo8LXIRi7JlFpjxNTftohqPYEyFinKMEGEmwYEkw5rsbwytv0r4KqdL9axe3zh2yhfzGjBD7
MzVcKCc6TJlVFMUZOKR3jPXE4wDpyD3NedOX2JHsZZvKd2nJfDtAVchW1fKmGfNZ95N/iaNJbWh6
NHsrCM13xePzXjERmBEelDk/n9VnT5nuZeAEtfMyu7smk7zHCmLt2ZvHaxoaBfAMy24AZrh424wA
Rz9NqTtXmHdLT+iz6YUwvHKyV+1NahTJHZXdggBlvSJnwQcjPLauArmkHOazCQdPfO+zQ/9t7jY2
oPRnM5OZtwrGxnugNMgc0MBpeCeSGCDoKNtDB2NxnYAz2djAzwhfmHgvM+IQuoyR4K6buxRtWF82
Z6ehl7h2ehG+1NEgoCxX7edkss0LNJOU8BOFCah1BvfBjvv6UnO1dVnX4b2CgXgxKwNWVxiU8txD
sTvYZZqcBCi1M4Sr6hw7sX8lZKraFUjRo40oeE+ndujuaK613Ra9MiWNL3HE1wgURvjcVUKi3fQ1
IHFnA4qHGNJImB+EgafHIZzDR4+VaeXJnhFfXc3EQs0+cW5JTwiKa853i8Nmr4QsaxRluX/RaVc9
zIY2efRqZKrKwGPkleP8podMniq3Sj55bs0qqMsW7rLt4YOkeYUo36iQILimePbURAKLaQ7UXNI5
2C2bWVeC8pGMre0UAEUjjE9+NzClmoD8WlOO1sfEg7dNdKYfJOkr63ryjWOXedXJKOFuMkapv5ho
jDcG/thNm2N9mIP2wHF9D8G6vhuYte+IoaerOGs2Uv7WPXYOoIdMy3GHYRL/fqESYtMnvNdbx1a8
4yVzYdR2U7jv07qx2HjEcGtlQfsME8d6xjoSIT6bErWic8XYdvASHEgZZBFkG3H1RCxCTgif2+pp
M0uSLXZGRi/vPCglaMlWpeC5pfkBxieNjBeMSu3JN4HlQJqhObBWKhmu86Sa+FxKL35UcgYhmAUG
zd4Zwda4Seq4/57IfN7P/eh9ScXsXX0dlNaOzGCDsITEg9rh2iTUQ3dWQUMAhSegCSFIvoKNp0Qe
g5jErpRY2ZfesZP3wTBJog380XSOevGmn2Za/U+xMxevtQ2n1UiK+k4zYScZ0a3bB8z+YFXEJPz7
aqQRZw8LbTvtPrsWkNnQb1OobUHwxShtBWkW03FsS/vU+iJ/TtpFOlL4ut5Bg8LoWlgZjZTuyF0g
DIyB660XL05ZF4PJY9cNemMSlPtE+9I9+bWQ9/YEVmyTjH51E4HuaHHf2v4HXQPPXUcAj1NoQYwO
DK0NByzgSAIKjMZ5ja9Uv8a+xwZBC3W6dLkjt716iCvZ95uo8IKntAsLAuwRX6Rek5JuJvUFevWk
Dy3bTL6KmeW+M6PFIqUm3SMZBc84rOg6uw/wSm29Qr6UBTB6J+AtkLKFuxlKv0hRNJUJQRwk8GZO
0D3Yk5hfaJyPD4bXF2inrGwfo5Xcd21lf7LTVN8xCidw2SfuYFfGYtq08E/uWpjFnMtH3/vSVan6
HGsvO4PzHu4bQ6Q1LUhLOefa10xdLGvhGyvfIu0opspad9IYXifALbT/Ka53ytUJIBby4HTQIJiQ
ThoU65Qb8VCSWmEgBxLRR2gp9DmxY1mPUbiIY+LczB+TWIqtNkIO0IE3u2ynrbtGGcdBSue2e9uU
VntFrGdexWgXd5PhFgnEiLj+PIMKu/XmpOYsX/vexQSxTxunWNLa4q62PpG+Ls7EoKNzzOuYUXjb
0/9EKIKEJJmM8Guc5vNbBWXY2Y6Kgm01EGoMDYjAZRRXNse4uRmyF542jLRFFrMT0PXUdy345q+M
iJcFjpfIZSj7gp5WHG2rmy+mKORJqdDcR3Xenlnb2YDawPxonb5R5Lix86FiMj55Rlw9IHqWJw3T
8cYZO2K6bdV/b3sn3ns8tjWei8VOXndaf/MSyONN1m84Q2TJuvMw4BXOLE/YUfLNIMvs0UGGdTIE
iLw5nfqPIlmA8jM4kn2VmcUhcaQuNgth/c2qoO9to16WV45IdL+rov2UEubxgI4mQ1Ui5SOkav7S
sA610VC/Rh22gAYxFOOOWLYGYaLmuO25h4+oybqv7EA5IEM5Bk/GbNnkquSNiLdlq+77XLZXFB4u
0wPWFrLuewdprtl197kts3Nl8UMQrHF4kNl17+mCboI55f0XDKTQS0xrEBe/J7cslJxKQH6O2RWh
BakfKkhE9RiG5fwAHoNvhOIGyl7sPTDcKo4YkNS1FYSkiVSDAB+IKGmckgCCxiKFQhGFkw+Td+LH
ojvebuNdw1la87evKhzSrRWXYD2C2b/t5TzfTzr/qC1w52mP1IZkjrVIgunidVMOldoe900pCf9U
weME9WibepnLzkjr8ti1Jtose8S1nwjTe0KyRF3hSV6eaWEsZbzXKKXbcTdwfGVC09PhMOI8PHaU
7V8I0PbI3DbBIji2bq4Ex7Nh8yobw8oHxLrCAl+d4sGF1Y4wvYUyopsbpqtfyyYV6aoicOdORUJe
Rq90HjTtjC+FhBuxSiFodRx3Gd+onqdphFTPqhou+g2SUUx6CmnTi+9VEYIAbfH9YmstWyNe03Zv
CLVxxylfu5QI596QxYsdsWWpPKBkUUs+kiVGcC1MW7CbW9Uz89TumHN/t6ruyoNWjb/BdmlvfTRv
5d60XYfdNCIXJO66/Itnh+2F2WG/zbzJ/45arz2PRprRC7b8zyainGY19RnpCNBpkPKELoWsTJhb
2XPPCUZYajy3AkWvyGvEOExzaPdW7lvlEo1ByENnELuHBtChRxIjNMXb3GmXRS6QdYX8v1WPbsHM
B7n6+BRL7XyU46TfY8rWJ4iFfYMDWS/rf7jIMYKEyMUZ3OaXOmV+uajswdmw5nHCyznjoTNmMR56
XzKHSTubjSbt1GU0TPM9s10/344VxlqGL2xcUxF4xxAe1ZlfClMre7Beq8oejpOLRh5tKhrmpnUr
B3yBKCpAVdn0UvupYG6jgp0QFXt+UZORAUusDNdluITcdTKeL32Mk5wSFROiDLz2FOkW8ZabTvIr
ZL6YXp7JxA8JU8luRR4h9AUrmNxbvHywZmi04T1IFLvYCv7wAur1eru+CbTmMmnqRIiLypL4Fni7
n7KhYY4iihQcq9TlqiPn8EiTPZcbt2mXfzDy0q3CPhafmNnaGeo7gcQ9L1z3Az1bcVsxQcUjKqhd
MrbLVeiytR87EyL8Bj26fqXfLLZNmhhPcB6AB/u4Ish20d3aYT64HUkI2hB8YOI8HMRH6pTLJpZB
2AmJPFo7Vj+EOxcVwTqgOXyec9M6QSPQtyjdAIpZS5M8VyWkNiSbPi5s3qxBbI1kfHAMOqPIpDld
t689RfhpCgsEhQCj4VJZ7Wac6uGbVbnJpaecuBXL6gx2HtKhNIsbY6gEKRj8P2BHOCHgj5qvJhKx
2xZjw4XUHFJqO1P56xq8NDGJbveq+mp+aIahuCnBlDBGx49Hlkd+zCxpfiUpFzRZ5Tc3eY9bLpzr
pFlX8RhvAPLOX2ErqQN6OUmCL9k21Ou0icuepNUfgpf/aIP+RhskGGjhXvrfvVr3/Uf/VX1rmuln
YdAfP/aHMEj8JgIGBMjPXBBBP3u13N9cx8Z55TI6/R0S9N9oIcsjyF7QGUY25AXMWv7p1bLM3xYR
Ed6uPyRD1v+PV8uDwug7nintgDY91u0/C4PcKlj0n329NXz3c0joe8tpZhVRSwDpA14KbFvvokDe
VIX99ac79S+0eX9280rn10v/os2jp78YWdp6GzgpQTOK8wHF/qFKw/exZo3966uJ5Tf5WYgkhSkt
e8n/MbG5YQz982+aoKTxOqegswsj5hTVIcRjJu9Lp5Gg+LZ6NaMk2fNNY8HIen8byIE5VGVSq3v9
60CraOXM0XOSp/dTJy9uogEykFXdmZzxF0xoyikeRnlytmyQFX/96a1/8fGDwPKRUSEYEzxQi+nu
JyWjaPJWegO+Ljdlp0VvmbSrkkjDVQ1qkpSZGck+8R2bObX1fdAn8aMTunfMJJgyYhlbmX39ClEV
wpFvfjac4kbZzh7mwjsDFXjPeXzsCIpZ6ZF/V+SgNQoftEY0+tSuCpi9D9IRmbz5ZBQmpwL8vQfs
sRuGZSs5PzCQYgeJt4Orro6bHKJpfG9T6pFRsUHmGx0O3Zrx2wNo1WuVTY9O/TEhB+I8tvqiYz3v
5eTRvrJzeSlBlCYriy574PdIgpQHu731so1LjxyujP3sNJa9h5ESPXmp+VAYiBaygCvb9ZDdwEmZ
3pK8k5xBEuaHqmvOIskQjDHukyvPwnfCHhHfTY0cV0421gdTpmR+SEirLjS4k8Oo98YnSho0ZtLe
j6gDMJG1TOwYmn1BaCI5UcblHY3cgg4ajt0VqYNfCGxjnDcq8V658/Ct6jvzNFhnOvLjLX4BTt6m
T9GLaoBxO4OzE+14wsC8ee0MhbUzisVkFCcfcQT9dSQqYS1EPe5Q1z0YJAIQxamAEGeMZtWpdoJP
0eCR5cJX47ZTc1jmMOsqCYk0y8NkQ1pGfSGOaqv78gllRfE35nixKAZ/fp0IXkHY5zH+dKXwpPhF
2Ev30KqrbrK2fQaEChAAKKl1VeNNYYoXkVyA2vEJiAyyaoW5S6FUIu/Sr0GhxjUBoNL+pMUAszOk
qdj3/je9uMNsAnr3rRu2nBpb86rofL20dd8TtRWa33+8U//Z1P5mU7ORY/Jt/e+b2su3tvuv1bci
est+3tX++Lnfd7XA/I1lFAymKaXl/OxA9l32p8BG6hlYPzzIrOv/DcyTvyEtlLiCJQ5dymX+qIXY
pP7v/xEWeyH6WWAL8scq92/JXf/H1kLbKhBE5MDMkxL/x58XS+kYUZ2hOds3qk93tZkEqyHy4o0b
pz5T2On40+35FzuZ9evewhZNp0NgnuaOQOv7BX8C8TfEVB0w8APPuY9EmnxjiFY/DBZRSnpikJOH
M+IOZsEmKVHTgKYgUW7PCCXM1hTINsd1wPubv/lci9P655d0+VzCR/5O6YFVXP4i+13atvB1c3/P
yPhLV/A5rJGps5zdg+icUwCneV8yRYMzlemNmi5u05unv/4Qyzb+62ew2bPgQ3sIjxfX+c8bF71W
L9RJ7+8rRs575Avhyecg/vTXV/kX3zibOrhbChn858Hy5z9tj5KbzAkm8fd2CaQsHV98BLuHkXi0
VT1Csfvrq/2L38m1GRzwjbsChtAvz1cjGsvUiR/sg0J6O+0v6KkeFu5fX2VZQn+5c9C6cdIzmOYZ
Fr88VSJMrXp0Q7knFJpfI6WTX2T9dcjjf7cSYzOx2EfI7JEu+vVfLuQaM3d0eXzDmLFGbiTf0Zwi
PSE0wE7S27/+rf7FN4VD7kc0EHkHrvnLxXTvlKVsHbZnsrLXGaaRlRo4k+UzKmSdeIe/vtyPuu7X
uyhI3wYVKZA++L98V7HlOzMRqHIP1TZdNQNBE6MMzWuGNe4IbTbdVEwBd4rj82Euk3JnkbT9zgiK
lJcCkQQzzWZvF/mwwZYML910kcl7tk894tJE6uCTVxtfFQh6sY9yqMs5sK5IAcIQR6YwEcfdzOif
zOqBOGfvoSH68m9cLv+PvTNpjtzIsvVfaXt7yDAPZt29CAQQAxkMzmTmBsYRM+BwzPj174OkV51J
VUmtXr1Fm6lMJaXIiAAQ7n7vPec7a03yhycFLA8QSiaRf3weRxD3ozWnzi6uEv2QWYp7mAcLIu1g
PShzBTc5ag+VjD8dIxGUl7l+PyJr+ItL/c+eV4+yhdR0R7U4Gfz8HZQZxkIrKrwd52dmBiaSSdUm
EkZlavbnN/WPr+SBeaAJ6xouRLav9zQRq5U589ydQ4ysP/Uuw6K6/N4mSHT+/JV4Mv/4wK4UC6Aa
TP6B6//65z8sLU2pGYqjt6R40G4I8kFJ95IV/5rG33RrKzwIetPd06Ir4Yt2zPA7V4XRDiAA11g9
jXuvFZjfHQxYNK0t+66ns/di0ebeM0/vCt+AZH3ntZ15yWCjvsg5jO8qSZDJRmh9NoUFyAB0ROTV
qKXTH1RiefYEe9uMpFE1KU3bbKVs9MCwpIecpFdJkrTi2op2Y6cT9VBq5EvhBT9Xljahz01aO4iH
SafN7KbnSC2zF7Ry5cFEuheohbfsZw+aUz00zoGixnlOiSg+jzoffGkRyioRmi7LkzZDKj06adm8
9Wh/BUUkSmbVKWgoSN7oH3txb+pSPOt9JV7cWHWp8how0snc0FCuxzZwqoEUUq+CGK122Z2iiubs
qiVG/QlB2DaXE1qYaTSaZzEN0QnZb/SYeEu6G0g7f7PHteEUqca3XMmeqkL3EMBht7/IOnk2PGlc
OWWyZUC5N0yl3FeDRnCAJAP9FsNK3W6MxHYvVNNozws2SGb3jb1rG5nv+DikjA60+HDkM0dc6r7A
XpxOtLyRn1x6jGWRkOcoEZA5RhTLPV2eXYFt+4MjE9eE8cZlktDGq6HCo9uNgHFYBgzZpjbbJw0J
9aNluiAASku0KAqk6j1ybJshf1Reh1C5NA99j8hwbLAYSNsyL5vBLoO6UbHtpTHWFL9Z2PoZgjN7
3mSEG/fbfHDTvR57Mqxc7rfeDly+QWlhCdj5CPXfQwypDloamMKyviVCny/AGJvfkNWr9J7VPDkP
caOCn4NHhA23V/GxsnhMrJzmLNFnlaP3yBydPEWYphVDFjV7a6yMz+BEFk+8hwD7rmCgiPI9GUWQ
cMQ5luRDok12PpcYoQe1aErJoEKbz3auLiDFZXk/X+p52RwXu7PrLdjgma8QnuEE5dJOXzjgbFgP
ylfbsAYPdhT6Xs+UzUFi5QZKmff7IVKnk70oTIUyM/Z2NdoJ6at5WW7dKrrK+ykG5UWIwYaJBO83
GdHDMQnD7+OXKL2JgVbS5VIfJak9WnNE/LoywqvyzqhGet/pHE4okO911ZsCdFJERPPe9qNSx6HX
kNZFyVRyfyfiFeyJ56NAreJBX+lJ+a5RlDCQcS6MuflAXtkEaS9TzqdN892LPCbjQ2w0B0XDMWMr
RGzmUAPSjbagdVAwhWwhynH1kaUyOqmQoU4zupBKMqMxrRgDRFq+qOTCXmWVNu5dQ0bvubFYEbj0
cSRwAzRNwS2+ixxD3WepUgQjAOGdMrELcxSVbwNqnBvdI9HcG5VyJ1taII0eayHeceTyUEjIZ55P
06KZF5E+ZsG0hktJ8kk3gziCxXBRBrkNzvtlhKvdxmBgs+gBNS2TR6nFZ4WwqgvMIN4L01bjQV+s
LkCZZlgbPL39qo0kWkq1agC8HcB3i2EtkaLxMc21YWsLDsfMTUnlFMOz60oG5LXK0NpCrkP52JNb
tFSnrsBi4gtzXLbEgJskY0ki3hyFCZtJ7DHIXg7ehrVctUZDYyJzlju9cdoTeSDp65Sy4qpoTX22
+XTXNPl03Q71eMhotD8LhicbCnbvwW5MXGpyVrbV7KCj97LnnrzOXd2W05pNQJYG052ivEXfS2JM
UlLN9wb2mTzbxgtOOLpLSlgb9vgB0YPAY4j/OLpcJhzPSK6Mk1m0pzGCvO+SH+5Pozr7ujlrl8Qz
EFhLDnARysKhi13UY1gDc8Tl1FFQYKnZMMUZSEsRVRpK02k3RUfjP6uUz8kG5jE61j2HpGXXN+jI
mKU/jjYCYg3YYTCOtXYyq+5GpPLSyBg/O4Cn/YUVnFTj6kWr0XFjSJoMCXAwjmsy+DpyNAj4SdLF
DCZ9pLvej8ZVM/bRbaVGZeBEMWJo1zyZNQI3b80VIo5qIkemb75HXoRHnrQo356Xa+QibpiNuHo2
NjrW58pB6EE2/Rwi5iPOyFVRWflmRZoBnZBKPHAum270KjX2EJOinUxHvOYsNldMogmzaxTvLuHz
fpPeOMC0nQrJ1bBLe2I5bzBhwDWunS1mikiFbCLzIbBrrsgGLodzXVgVFvWYxetpSGT7SioUmMcG
I3d/iJn8u6FdlWTStsvnjJ1oE6erhtDpXxBL1Qd+3bLp3IlmjylNn15us23n4pa1f6uy+FzxJWx2
S4YBgh5w/g00enPE/MNEuqfpps2rO6KIkzBNkeZrNty8fJQXoFemM72cxwE42zb2lAeD2EHfYJO/
thEThi2avxzRkoZLILJHnty8xSPumM2dbqt3Tto2+1oA3IMGou67FlXRNLegB+mwHHrgMazyfYXV
CpPzbmh05GJ1Ye9YUqCmSOJuRjLyLueu1K97UaTbSk2qb7VrtkFjWkGE5QVQFqvFRJDmJxsS01Fm
u3uYg8NDrIFLJq3LGj9ksZCVUatVuQXlBAuC/CjOjNYcKopbA+Cpy8OYtp+1rtfHaYy0O0Pz4J6r
83Uqh/w4LxameM9gdqRpyvAIrTf+tJZcBgn35twwfDw4VhPRUvPk7UIKRNiW0bsEUHylVUocFiny
e9vN8GnBicr300DaBMGa6CeJ1kGfrN4Qz+hCc070EP/2FC6RZTLPNuPqmFk8Ce6kq6Fm9N0Gf8IS
1lOaXxDdhQ4CsHs6+gikwOtgv3/TJ724APycd2HVcUU8Oyt2UeVpB5OJM1AP+yI3++dZTvUJ4tHV
VNTtu1WKHryJIbaxVqygL/2qBxMdeFHbvhitbeFNaIZDac27vFYecYxiPusXjCC4R6pjTYZekIgJ
k2dvlw9TO3VX2OsYyLIJ7idBNgCQkgdTJASwJK6+bbxBvjfVuLBzcyhgRlinPnOkcSt01ua8tuMr
8iPjGwKnKx85jr1xS51gK0MFKkEjY7hm9vskZogUtdJfJvpQgO8egzph3UYWJ8AaTVtZo/IAF7Ls
kBTjn0Bv1CJOOOkLk3A9TdMbDvYWCU9ZtJ0XnJ2bynDJ35qqxzZT0lA4VTDk0NrsdN+PWndAdIVA
BXkJEjkHFwx6R/a+CUAo/Ug0gmt7Fr9abTkh7WXydoRQ3KNXY6fVjRRhXXE/TBjdyEbFfTRaxHbQ
uuQonwdujC3ITjIyfBBh7QxefyNL661rrOjZKcmfFyrf5nG2EcID7hXNw9y17obMk2On9I9upg/X
CdR7Lu03ryM11kiUN9KwHnUjPwEPuYsHdqi01M5Izz7i/EOO7rBDsd9DnIjvYYMkm7IRiOmcy9TS
TooOWIS0vvaykMql5AnCeOGRtT4a6AImJwtjvGvsUvRfxbAz7KZ8Wox3WnFF6OqN5mtjVvoFcPBN
b81E1pVtet/XKYmEbfUgF/fRbjL+17zkIvo+1dZlQr6JqVvdRYu2lwRQiVapTB4S3duTyHcPRZsE
zuaAIqmgB11dGTZzHFXHbmiLATEJgrBNlwGg0BXI8KZF/yJpdNy4YxOOdnGb8a06MMN/pe1wsEnA
VNzG2uDXQLs1DACYkmhPKvRwrrzYOs/CaT+6ovBomlkH9KDl0UutFSIzkpM2Rq9Y1CjMKffvuwa7
yVrk85VVLPstWTQRlq3px1FphdJTi+OcA9bUozFZj1J2E5gGes2kcHtMj1W2dZkSbKDNnXSTMX1b
TZxVRORR3I9Yp2JKhHZMc6p6hTMMHzjTcZpOeo/T1TSJOK+539St9WZUnDtQzmfTGFPf1uX3Abxb
23HOr2xOn2WOftuKWPNFzIHe8G6TxTgZWfTUzdVViaKV4ALue6yQdpA5hTwkySLY9KsHtQMBKEnF
whwunjPyibbY5gQTqFdHMZ/sQu38RbJnz6Llpsn8UehGfw18pHycaIaCvbYKCOixtifUlIBgAFwb
0RC7lg59t0vMBHM+DZGjU62yDIcYr6YcOds68nvFjH3HdIBPCm0RSNhwpr0/M0YyMK0QBPDpAP86
I7fhdGcbRTgjdwwVRvjbGXZdRc0SZtQ/x7GKOBzhhLd0eU2olL2xmBE8J0KxdlUS9TtaLHfk/db4
vBl0DPEVfuzu3DYKvgDWjoDgRvtUezpu/Wyibk5xil0tOl52CRo1VNH+c/oHrZajI+yhr4Y6sOQ1
AxBp/2hP97pSUbpUIAdGiagO1Fv9NvGhjo50iq09cUt1rRd7PVH6HfuteiWaBNconmvAw/tqXjJY
gNgP1LkpghhV2iknL+ax1Wr70Z2sj2jS4H3o1bBLCkN9wrfd7YlDVu6EGOTryLN93UkUb/g+wQwZ
hrITXTLspnJK/BGN6ZXVt2Vg0saB2ZKQTNqQMIFfAR89577WeVBXEkAfd0aoaiR7cSKzXL8wWoxa
fSL6Q1sCtcWG9W1uOCpiysjfojipgrTRZj+RHIW6VcProYimV51xVspULHpNZSFKse2jkN38rV/Q
ASGMDgq+viFmof6w0h+DMUN9Kst4uk6RRHFazEmkccgiwVB8k9CI8oeSOw5V3tuTH62FE72UnITc
Hj5im57MScoDIboBuY5T6PFFp5bCw4DjcsDZBH6fgIvy5JHIwTG2SHwr10ZEfVFyEMsgEYfr9q4s
OoBuZU5oW5onu8XShz3oCPdIzFdEz6VGQJRymqcAuxtb3SBhE6eSPXXvk2dAYMlj5FNLcWqmBEZP
urxTjstbD0YLgn6poHNU+jbUcjlcKGr7oOvWEy/bHkl9PCR2bwawuIgMJ3nPlzAKH3SMhExcG5lc
6apCb6jCTBWUvUovqFTIoC5T8rPcisenrkVoJXUUhxR95lMfI8LiERRPQ8Y2HSFM2rgkBpI4TNSg
P2d2dUOvonoQyuiR6JGIlyxPjNsUwtW13jRGkMwrTc9eUnmd694rmBnvln7civjF2AofjgzPaEFx
SDo6DabeIYGmkpe4HfLA9ib04BPCVNFENpa/utwpGEJ8nFTVxnC09DgnSEU3lqydjUtqrJ9Vy3fo
c+o+hoD6nNSE6RRZJulw2K/IgzIOB97sm4YWB2iSxJqcQ7InmLJLNDeZ73pGxuBZvfFMWxD2UMXN
fkLUchkPFUyMuk7JWQfYs1FyOqoXpN/C6zMJRbyZM9V8HwiV1I8K+sjdMOKg9g17cZ6hg6h5YI7O
ZAWyT9JPbHrS8Q0xZ+Iyibv5filxwPuFqsgocJWpM4lFlMXzaFt9gGCeSm/plnsw82gth4Ldcc7N
LVOTu8zuWTM9SURb1CQh5rVp66657Gplt37eCushysFFd8OVW2ryWDiI8uqcvYPvarGcKllio0WG
wadwlhbBN4quDeql+pEXkg9lUdXP+bp2anV5VVddHmaVcC6txNNCvMMJy5zbVcSiC+PYWaUeLCZ+
/a1ZN9GeOM/hYWzm5S6PhuY+zQ3zpBIoRFIFzDO1UmYo6Rld9rYQxV4T3kSerpP2JJJHCzSyWWNN
XE2vgNxIfUQ5D1okdkYlIOWoMTdmomR+0YFxaZyYXvrc5NE2z9kMcDP2EDPtpi1QYY3iBRcWYTPc
k/zeYf256ku3/5CVpZSbiGJy13Op3Uv27yQPU13eRlbL6pXf2q5X7rwhmXyL/uVGeGp8Gq3+2ozR
adLJGfw2GgjOG5QrGu6gTqLRb4mSDWLmCCHGEORsObAIh2w5kYJI7QkARycPE2DKLbEZvCY/WQh0
UWu0j06TZsk2yUnQaUthv9iUUntvQC8oiUEORg9NurN0/S0lZcT3vyRfEw4HaXSCdwW/b5zZ/XSr
nwJFy9UdrY/3pcWXDq502dTL+NjPyb4ZO6Sk1Yz5wY3U63YNNDE8l1yXXiHkJMX8UHVVQXR13hwN
N8UPW/UBnoNjZIIM8XlaSJ2iKxzQ1WES3mb661TDNt+WWVlqnMFnZ0dgHjIOCMTdBTHJ/c5xyPxl
8VLddxR93g5shXii/SFuKrftbtF1dM+QpbMzV566mNZdqA3SOXOWG1eahxuWfPu26qB/dEks996i
TWdrAXK5wfAdvdKD5YRPv1xcVEYM4cNkzVM3Q+s4Tog9WoGEFjfQc/La67pPoHvaFAB8WNStPU6M
HUurQoPXGgIhQ533SFDI+0TfP/eUwUA/5XLovFmArihVRqpuh8OZkOdTR4TSQ24PEdBRt7lsY3vc
Ruo6cYlS5fsshD+h7Q4KwpdY+cf21hqFuYO5o55pizj86tajfdHS0bMc9Mehx1nWQ5DX6MVZ5CzT
iU7qEDNLv5JADIU5nKOi2ALvbbGpZQEVELm7Unz2i3yousl7IPWpYtuNQb4gZm7LraMtxM5MT0sL
+tYk0DLEFrhVVty1K8jlqec0PcY1PSEGOoe4SJXHdlTSrQe4c22741dOlhRo3YSLOzGh51B1NcTT
7l3Vo5gdTGQzwPWMAydYRFqpBOUXqh27IpEvrmhp7YyI9qWLogeaNTFProIeeMNURbmqYTPXoaqU
9HHoaCR3hmNYFxz66gPMxDrAQybu7GEu643T2VoLe7plSk3Dw442S693160BrYEFzLDv1Vg0e5nH
FJGSaqXeGpEpjzh3VTBN6jyFuduiUYppa6qjYz/zuRYICiX8n6aH9mksAxpfKpYCQXSMS1RbGuN9
1hsOvbgxPdh0FfAnOoviwZ3XxRJdOy3k3IiMT9PO0U2PeO93GTMEtjf6JU/Ifp3nbk6cSyZS9Qmo
hXPL4NM52LphPKgWXJutbSlJxqnahDXZFa33DQp+vfpWy+qA7aUj0sNUYewvNk07II18t7JVArZV
SAL9QGxsPGCdUR8jNROfuVNhkeu8tjyDmcHLI6G8kBOPru0d27wKbxGvCFFn6V1aWsBN80Rp2Xdq
+/sMTf2MW6p4LUjkWXPN43M/1eZzrxhYSNo+Ll8yy1uOAlQolpLRow1RKBRMGCqIx/WwLt952JcF
1BJTe2nRDu9H2Q0lrtrEvs5VEqR8t2nja9i89HYTJdQTUt3V1us+60qvHxkiRU9lXNaowooxUFqu
fMblzPHNOtZ+rtLlKZrr5LmCnRFvSILtvulSsV/oApvfCxLR/UEAl41WI5DZcoRfDESrFY/IUSim
yZZSZwH4zOlTX9zRV+jb+GjIzE2L8aj05wZFl4Ii92BM6nyS4+h9yxDp+qrTgkGc3fRo02a2mWN0
MLJrGb0sNFn4AtRF882tuui4cNbmUL0UcpdzAETnXbZJGA/WPZtX9TFUfX2N4VTdMWxQEEZbJL5x
zMsgwirfU9o9uMuQUdC7UTGMQIzaDVBsr9BxoN5m2W8CA+X0NeMyQLxTTL/LSuGibiq9FHdzO0pv
k88FZl4YwmTJE1190ruxOJjj7B5WmNQxRY78DuyYwWANcKfxET9iftTdtLhvvVFVt5Bd6hMLhkuO
Y8qd08Us6x1l8qT7g95QRYOlySBhpwVGCYwV+puWyfGGhvV4rapRc2fhGvmwmr44kXGbA+SJ7E+E
qS5BhQJTlOkoiq9rg/Fp4bP7wEcwmiBz6v5bhfTkOZOydciUcKQN5XL1BcyjaUbo1g17z6PqbRMG
pPet1RA/75Kghg8gQqJFRor5GDtl+V7F8lHz6IpWLSeSYQZ/gKE91nDzWU1+jTFtfiE+PQF3Tu+0
5zwFj8ah9b7s2462nuUNbRlSBnCRezFwwFBssajHLGnMknwjDf07/IT0ap46CxcsU1fWiLhyQyNO
ugs8ctKBE2t14bg0PDoledOFr7tsNjo+dtDXIBxOSCjBHvFI6Fdq79Cwc7oOfpDtxC89zCIiQWT7
DFtOZFvwy8lhKGV9m3Cj3NB0W/OhZUA4B2rZOO8cjcxh46Xl/JZhYqG5Uggn2wuHxGKfiTGpyzzN
WbsD0rF2BpHH277jVfZ33LHAlAVH/os4MsYHu1t3Ns8ed/Gi0LVXYBscY2d+lRKJIJPjcdpQWvM9
4YzEJ2CYoOk2jlG2XPrYE3McEGTFUrzLeIxoWXZAgu0ZqYimXRIqAIJSgtOxdwZIQ9ifdLBJTrYk
Aw+DP7jXumHoYa6aJNqJ2MA122sOWcxmktI6a7XsLWrN4uCYqaX7RdxBZ3ew5QRlETVv2Btmdl1T
Y/tndDNf5LlCPPzY2c8wXNk+spjijbT6Mt/LIjfeswJ6MOrPigJ3mbXdPJTVzsgH2y8y6GPYbGqG
eW51GIl4agKHYdq1TThDzAyyZzdpo/ZtyYTGEU9X5BNIhzV1l9NEnYhPY9C8C0sxvWOG2up6XAwF
7pdJtYYHWp7muVe2zGqp8We49TYoKIVp347ahvATqmbx2bgDUchekUHgcq1zwdx3p8dNfJ+UpQHa
tVWmfQYwdgiZ2ydh1ZovVq3OtwqYpjfFprUD2ucSXkf93ltG9mA4SUHozlh7NH/N5hmcD1YB9JNX
BQkztzHk8r8QYqxCi58lL55qooJi49ZRnpurfOIHxUKSqw4o5cZda3qGp1TM1w4q3nPRiZR9m6Pq
edCU7EEdBrbSPxdMmP9MLoEEhSkopEmEN1/0PYuugK7yJnc3k2B29mwh94NsmSKojO2xTKlwexK2
1lrNhvdxYUuRfV+GYsg1curbt1zgGXTdkmanUAG8VAyYKnxi4cgxnnmzrl1XMSkCqJTBztJAtcjx
s836OJoZdp8WswWAlc2I6j40UGoVfj/mkGEASBD1XoDhx4Gt78opV4j41tytvcIMe9mbnFCs+6mn
OLDGWbtuUvstq8AlKs7Q7RuFBT8jLrXeUIwhlZpc4y8u3R803nBDUeF7wEANne6g80XEVvIocflM
TutoKKkb1GvTnOYas/p8qDQkSyOJ4rMBPocZETmfYKzn0CsCTgGrxmBcw9jR6vtlMgCb70s7yDwM
RiquPVDqysWk9tS7Rc4B2MjIQcyAov/53V+FpF8fPc9ioIUsWEPP4K7KuR8evZS9RAye9HaqFNmv
0ZVL4bvLlFwsSncLG9reDmzOpPu1yVFT1f6DiVd/kOqq1qPhZmlVzleM1Eu3Qrfx5+/uj7I9D3Em
2c6wVj30qV+ub0wPz9bs0sMLTqOKUWTsXQJVkX/xMl+yp3A2cB89E8UjXwGWdu3L6wgGxmYbCW/H
+HPO2b4dIlDAYm6nqbBfdQp41shc+JUWVVuoYfZtyiF02tIYh8Pa6d4ZP2+ObIYvi7Cq8gwtBrxc
Hi14g1L1XnR5+/jnl0b7em1Yr1XNstZsIIhWLBw/37imaBYaEjx7Q6uzKCx6ZfmOSnMQ4hTObMqQ
Ry8/12paQ99ZOT+lrvrJQHDhbM7Avki7f7cyb/pNZ/6/Iu2/EGkzDeUhNf/UfLR9KV+qf3up3v9t
m/Y/KrX/64d/E2s7+i8ISfm3dJvIEef5/AebGDMRZRrkYtQ37HYej8X/E2urv/AnENFtxoscfz3e
S/u7WJv4KRScfJnU361Lf8uCtD5aP25XFqYcE3Ewf+GdtNRV3fjDmiGk0oAV0cxAy9LP3rGvHHB9
AuN9Fgls+yQmF7Mzcf6P7tNYvxGL/c2RcLG875BVyThS4osoWR7z3kZjbIXkwwQZDjx57EaLRBGa
Q9FwSkb1sdFJ2ejiUICDyBa5V6makigwC3GhSd/umerT7MoaIOGZ3JtNccht4wYCzRUixN3YmDdm
pF2Z9QbU0uvEfH4GiucWzZ2riLtlinBmGj5jXVDEpOR0r0txN8fAF8AyWHQaHHM8OcI9UNRdasK8
qszpUUDHFF2F/EENCMXdFeToZJIxiR7dL9QUW0KW7ls7ZlCTncvIBDOfeBR3llxj/Aayu4ubLmaS
KdrMT63he0fyj+rK59UevolVE+iwfWhox7hl96bA+mxEeblyrP5i/fgqQf31JiLeJ6OS5+wPCz/z
ZB35pWIGRdOs2IRN6ZSX8dicUeicHbzQmwRrSL44gdJj3ebO/PkbML8iri1PxcaGUpqzOlY268ui
CxqAOCw9jQKmvosQ6aXby5CxB8oqJl1BnuhnMwIT3EfLddYsjwDxjEs2MeVQ2lCinc3HbHQyXGxp
+0NupKFDdFmAFf0S6QiErzxnDh8rB5XypFxa1TetotzuqnGm+pO0SdwRUZXhwfICIlPXkbWPPOOi
mWS2SZhFBn2rv81jhF5pWm56Ji5Ue6yjuvZkNPoFXviTm5H9hzLnCPA2/o1R/7cW0lP6Juu2/uz+
ff2xt5oSMqU0+s9//+mf/uV/9dMPtf/56y8hBmAFpv/0D/BggbDe0NCdbz9gT/z2Ar//l//dP/w9
Eu+vl0msi47xw7PyB3779uVdvvy6TF69xJDc9y/DR5F+WS9//y2/r5cGPpUfFsUf4vXWldQ02R8d
xpOrD/PH9XIVtXOuMHhqbJ2T0X8tlyoHOhXlJ4JlxDx/y7G5Psc/rZY8547DEYODBW/kq34+y6CB
ExQVBSPxIxkONyq6UGt1JE7m7ofrdP3bL/0xPUH7+p1is7A9tLC8oIZB9KsxAKgggwarjQKrqsPB
gaLGyLPNnbCqrXDxmm+lasHxfvKMUHGWc1xCn06M5yJeJSTTxQSiyAbU/Rfv6g9nzPVdUdlg5eT/
sD39vF9E0OQ8u2yiQCQztuzmUNh0c0fomCvcdoFq7yilz/eYhKEKztWwnSNI8xHSDgsPuS5u/vwN
cbD7ck+4Tq5OJrCFRwr/j/rlHZWJQ6sSgVpA8yzZ6RnhbZVl3iKUj85TkqgbYSl0l4sBwsBkL8e0
rkoQvVaP8HUwDyBKvitMR26iTisuDHJSL0wTcKKDcn/q5Rb96XeQtwUj4KHrNnZdnTATpIBQJ3eg
Q2NtdFq8xA8HBuuSjpJ1RWM29bJtEsuHN3ZSmd57IgsF4gSkwicv70OqsKOt3I56fbsAI2HYtTWb
AUg3dlK1364T1woOHYh65IJw1Wx9n5bVppHPc6lAQGz8ZXhVqgvbYRMG6X0U86bQzX3uPQ798DT0
nBslx3xfTM7B7B6jsT+4JK1SUO8MtriyxZTZxTeLeQSReAUXz1/WrCJrplsYHS34xTkNKC9CcmaN
d+VQHal4CWA39jZ5rH5fdmGTuajGRtRDurPFEOYrgMx7U56GxA5b43Ny4CuZvCadTQGN1oAg3VpP
jJmOGUFKDl1ODQ9vXyAlS4eQYHM/o/sg29GPi5bLw8t4EBma8baW1g33c5Mpxr7vbMZj47B1rGmj
MzLXmtfEOQPiuqwYj6ap60OU2VAgHIXJN3NwA2IGfCW9y8d6r8grxCwwypOXIeP4Yb42U/29bd8q
Cf4K7Xsee+cWlZm3Ct6qPbImv3SdMEVfSmhLf6V6lrhLu+g7fTflNDfcOafPz4rIxlsACjVWWx4t
vYu866g067fYIDYB7RMXrRwEmKqpKj7auUpu9CWuXzykUKT3MZxD+Qp0R2O4TmvrztF6/YEWO0Fm
dGK+MWmA+gEteTeOa+MMhUn8WIqciIGZcpxaZoHqmmt0qCNCvu7ACvehRhN524ENMmheT6i1hLCn
FzpPxb6ySmruqYGFnQzs10ZvnEFI4JBZBue208vf46P/1hZ4X5f89T/b/37aJXcf9RrX2n79Vf9/
bpJrLcGi9a89n9uPIvm6J/7+Q7/vic4va4YPO5trc7ri7/+oIexfGK5SDTikjKDH+3FPdH8hIp1d
0SYVbc0w+WFTdH9hO+Sn1JWxwG/8W4ZP7+ueoLp0m+CP4d+h48Xo5ec9Ia0sUfL2ml0qiZvbNCOW
nH6Ix+dk6IazMY33vSKV28pA9Yokn6zG2cQtYtFFREg9ZsW3MpfDi2zq9BDlXh9UBeAwlKksDGbX
hfT7LfBO6oRAa042bTaK6zgtiw/Aaq9jD+R0XDwlaDJSIe3arK+FN0b3COjreNNo7ZNRm+VLDWZs
q+gzg50oz6/n2rrN62K4KFakKsLo8dHIiBZVEcahPfbA6OL1vwO98jwpGTpi0JIboHJTYCvKuFMr
5vdQ7fGntNjD+7m5IzEkCZLVFGOsXFcxKWjU+q65M0tTCdqY+UGMAIb0+M7ap1He7DoVXLc+T/Ar
9aj49CJRXQ70019ddljyDNruleDC9j7r9XKXRRH7jmkb3tYcDKg3WUne7gaDp/Y9zwjZJR6GqMPG
xWKnTTg4kCzWpd823fTdgMVHZjX9GZJDzEH9VmsOuX2RADXgxppk0DtYJ6sbMguxWe4+ukrRXiSN
xkDBcBcxIEeocRz8+pD/75LwV+dmOEAcUv71enD5krfJy/v48SF+Oin/9nO/LwnmL3AqVCjnfIU5
jK3NA6wd3X/8HxoOdJOox2gD4sRG8/iPY7Km/YI5kP6Y4WDGXJtN/zgnu7/QAdDwjmM5cvS1G/F3
2gqcqn88KHNCXFckuDuabTO80zyKhB/bCozAI0bklYngAKlo2e680S0u41J+p0kM+cFRt7kN7CRD
LhG5kHPIinhMgCtd1u1A3lr2rRfyypbLDERi6PfwMa6Z8zg+nyLd1j0D+0YgKpVW8dy5bYEwIn8e
mUx5SIBps+kIPDiLQofz8cucf7gb/+Ro/nMV8OuHw9Kq0a9DK4Sm9cuHQzGXdOStmFhasq1m9WEe
fVZSXFM7/EVh/fWVzLUvSJoAdcBvpc/PlzFWpOYMZWluUTQinKiQfCl4AFCbinj75x9qjbv6qbax
TWp3nMgsIcRV/bpd/HjLQDiOJXw1nDX28OZE/5e6M1luG+na9BXhDyAT47JJEKQkSpZs2Za9QVi2
hXmecfX9JN3xt0W5xfg6etOLinBVWcKUefIM79A4DI/Lr0BhgfWAmA9HhNdze8x8vbFr30FceotK
wbhxoiZmyjZh9jxgVp043/hbj2VZ3GoW1skMfJ8ibbqpbOeHiH3Tqm3fsqvnFgnQbS1jWClkbgvm
eZvSSiZG2TqePEN3JeFKbplNzjvQAJOP4+UPe1y/NU3yXTYONo4Z9c/77+CtlgANatVYUzbxEC2E
WtZ/dcNCC/TkIkE+VK67j1Na/cXcbOu4Z/Yd7r3qqS7sHxoTPRGjy4tjLzakxa9ci3+/fyOnC/1d
aNqmY0Bxl5SYMOvdE+n4rxsBR4i4YGSBpekVE61pcB3RnCd8ojHuNfKf+QDnIV02SZ7ftMP6WFnL
wximzl7iHrUpPPEgh/ZTOif+bDV7M3J+rGn0vViMYM2tjxdu9rwCcygDCUK0EeEFK9/712+tTAGB
ZP2Mk5fOXN9C8tjRp0fOmU+NZt/WffIIDPQKhfnDCp8wafQvWszxOZhyE8+x364pg39GrSgMb1dg
prFtP051a/45b8gM/w9+iGpf/v1SuU+MEGmqmnQRLCLd6/u0Ikwpk8TRfECNn2oIoMFUFBP5yowq
7nDDaNMATs34w0SsiL7S+n1s1k9012gfXTJnPK/uz+7lPGfSQVzmKB6HflhSEgAwzzyDE1luTFeg
uHPpcqeYdP7sdEGAdvClkGM6W9kOOujumjueL/sVbHkEuMvtW38oJlaF+QnchQhcYEeIo2pYTCkL
JESCr/C9/O4sUtLsCDvylwLghVc+hbQRo84LirR7BIyW3SAUxKwv9OYgtJIHr6CG7RH+0OR6dHtY
TimYrg3eaw2oebFZRIWldjTcoL+QbnEMAmNtNse8gR8ULjmFCuoZB6jcuL9YzbrB9CHdiDaSu16u
9++v3tchFogPi4KBKcILBiIMTABfLwpkofOu6vkQKzw6PDyDtL5DXgLA4+37FzpJRrz+BLj8SA5F
1+RC0jo7Nixc6EQZsqdl6gD5yn5DCcdbGsjYFg0IEs4u/prO0yezAX43LB9RpP0WwhQB2Bd+b+Hr
lVYH7gH/OV0N88Vj37fQlvILjac3zVzHfn2f5A9/B0Edm5BI1ECSAaYeF2MKaDqlW2roJ1JQfeMw
ufbjesTfXouBL87lbYtPz9atm6doJWNEilq7s81O281zIw8SNPkt438IZ2LKDlbphui52iZsY3gR
w2Ti5db0d5A9SW9rFHzrfpxhotTQLzwuDIEN+Dv9+E3YmGKjTQz5ARFAxxb9sC/N6uvcpz9CRZ2a
0fr9vljDF8BOts/gc3wpgPZu5zACIzU00U1pV2uQITf+/rd9u4jIdixVh3FMU6mdVUBZ75FuyNLz
Iyu86+EEWFCsEsmkuhbB+5c6DTDPlpHKOajshESP7DQF/utomFO9GTpZef4oVnk9DOvXNanlTd0u
0RcMrE1cjJqNXS63XfQSOSDQKoAVG+j57Wbqq9YH9WHzUaz2Hh3KCzd3XgmydOjDnlRTKDuZR7xe
Onk6GoXlgkxOC2g+UQAQ9mZtPl94A+eZClcBa6k05biGIRx1F3+9gVZk0TDaeYQnEqDO2ZkPC+JC
Poql+zWJK3/pho9TVNc/8sb6nE7LgwUDINVBEzgm6N5mVYoubVLuMPC+d1srPmImBf0ydMwLCcW/
7tRG7QY5JszwENh+fad9SrMYNnXou3ZFVEkKBPAKMAw13AYdIQc7dgLwYzeu6C8cdqrr+WqVOC5Z
DPNDh6kjKodnX2Jk4rRWMPX9onbo/jmEmHZbeGBES/ERywzsPZoLlzT+dU0miZCYaQYQ4M6+i1cs
IGMyC8P7JtxDUUQ0NqlnunCO9GHNHqsCPcds/NzEJvZA9g+xingbas89k5JtrFXVnTuXKKlLvCGd
bZI+vr9uVNPl9TvBHoT8jgSXHj5OFOr+/1o3s9YYlS56ze+gmiUp1GorDMKU7YKlDa6A2ZrfmCyi
aRYvqYX73Gp/x3FjDno7/NY2K7qwtol69viSxnFQzDCWxgovhiy5n+xsX8cTRxXSy0BCftqctzsH
Df8RU62riv+91uZ0neKxA6ey8xFfbYLM6n4vhf44LOY3o4t82oLB2AKNisJpNyqu9/tvwHldlnHY
uYJhJlKT6FHRFjrPb8sk6ak2YsfvRudRFNbDCucXHRCN1uCcb3Ovb3f4NNyC94LQDfA4ryyloZt3
uz7qPvbt9NFskcYH+OhiimxuZ9FywDsgRgr9yWlwwSm8btpgFXGMOtrl3kLwbnBrbSdkFnBFOMJe
mPwkDH+4VoXqeeR+GqX3zRDJrYFZEOr+Vy3mKmNKv33SsS7A2/AX8MIarY/mrh0Sf+RGkQn6kOfz
cU5TnOIzi06m9YP2vK9JGcFVmvZ9DzVNy/YNNchu9jIHYBg4bbOUyPLJZlfhgLjRJ/Sh+2L2FyOb
gxh5FTnbgNJ041pY9c+pjT5U+ZOzeruk/33hU7xZi2oqxdaktNOleR4ZBhuusAPn0JcCLZGD5RzG
6tBgzUnP6nSl/9dtlv+PeqrqnRFP/3rhb+aO/6P89d8AjbvkZ/XM7PGqy8FrdH+3VP77N/1pqnjy
vzi7dY4uySYBPUTq86ep4iEkS/JGhYyQlWPhp/y/myryv/gvAqEwgp4DBI6w97+GjwjJggBECM4x
0GDjb/xHw8fziSC9X7SduDNWjMfQi9/2Kn6Bfu1sdHDafTwVZORW8VziWLcj2jHgD1uoqWv+gqIK
whFe9ozcP6yXSgPsDyRvSSq5Gdyyw42K+X84JV/GioHQXy/5/s/58mpoeRZi1S3Sc2IGAngFiIrC
rfwdYnEyAWKSRe3eLUj4gb2LHbJDcrPE3nGE3mxKzCQ6iL6R6CB64Djwf3UD5GCCV+UQ5l7fACOQ
2p1MwOhhxA3IdR63VFpyIwEnxA0S0QMcKJjp/fWAmy26HdzH+7egTrm/Tt7TK6Ae1g0U1mwcyc/O
/M6EU5UXebNvh0jZSDiPQ2zdJQBb3r/OSXX27YVo6yq8Kd3/s0e11xAu81I1+7IidvRRj39tXz9V
TeEF3oJH42LD92vsTm5GgP1bcBBgX2fxYJVGeSxCl5GlJsMfHTTSXYuowkecX8at2hf4Oc/t1VBW
y77FHGWn1ea8yTLU2S27ZrKI2ebOqaOVpFrcNxrNkDjkRS6N/Y0q+kpvOxckfRNeRyWSh+TyC8Ki
a3y7hJ/XyWS1FrQsgCMFiMXPd3OXvRhyzXbdmD/jfev6OVIiq+v9HuPio1ydr++/ubM8hS90qsLo
rdkoQ9Mmfb1GnLXU8yhpmEjL0N1hqPSN5jqjyhYbUVr6oIgiD/++0buQHZ93dbiwyZSa7BWI3ymM
vL5wUXtO3UH82rvYeu+gVaVXjrv2ByHQL4wkRoeJs47bqhXWTbGwobHgYKDu4rDowUWAWBUFg9t5
dEvZUyc1dS9E375qJtBLKarKLoJSkAO18pIW27nmrLp3+PsKuknTmQrxbFnrjGLHBTT1HrRb6Tea
Zd2gq44CygjHdRrwNnD6fN+HfXFXz+7VKI2rKYuuB1jUmxAZnj8ByJwDxA1sYOUbtxuwJdZ4aGfh
aRD9S7azXH/+p9+aViZHLfLfiHCa5xVJLxJNR7ks309aS3PFJChQW2R/XnRr17DPBujo0G/Epf35
Jg5wZVMo/UgkWyzvbHsys2Ho7rUIjoxdvR2hLEFX6LsLbVtVjL8OAqSzVBauq/NwBJzXS6rM60Jq
TZ7vMYcu907bZNdtGD9feInnqfPp6wN4EYwlAVm44uzrV0ULsTwdc4jj+UvohC21S+ehvVPKboPk
K8+mTZwt5GC70liz68LKX4zIXEEMpiBYhphzZ/G2hjniZdAj3RDjanjI8eYKUMmC9KnjgyFL9xF/
+AXpAOdOMLG+SqaBVgy48M2I51Ogyanf4T6Ad0Bl7fWZ+IasntgCQNN2VcJf62LLOJJ1MVoYct33
Qn7ebFw8IFZ4e/QF3E2DDdEBsle1qUXiBTBBseD0ahObh+7LzDRhI9RgLOzT52JNnq1UPhT1Gl6H
NR0t3JleWjFUh24A6qF75UGbPX07MFAJ8ip5aaMQ9Dc0v00jHSTcR48FZ7C+ywgjnrHOn6FPooed
RZ8pKNZgzL1HBhyswB63FUc+lIkHYBlVzp0UPXRqdvukojdg5u5rPVvdxtRw+pjnEp0yk4vlXmr+
MPSFsCwQpsqn5LmLZteXTSNQw8qbbSKs72UL4zsaCoq/aiJ5SFYO4hXUipOnL7A56TJFvQvlkfuN
+v4jRfZv/DjQwMPPPpqQlxrRGkLuq+52GQeIj+sbemOt9uQoo3UzbL2tF0vXZyYVbgcTDhixDPtW
K3km/cXsvEHqDS1tOCxLj4u7WRytvP6UGt5jg0UX2xBYSha68Z7kR3KwjCZCCnyasms/2smKNmo9
fCDB2IdO+Ywta3vVDfSINIfixJv5mgUU8y30P3vr5sprNn9BggjTmGa8afoRL4rsJXdKbz9Dm/Mj
kwftpsLaTPIWGpDAdX10fXoOd1mIqYXRcAZA4sZyakD5PKxZ55U6MpeK/CozuNQyZi9apLFi+bKL
gwySge9FpjcWqkiQP0tUBjbCLDoU2KMXPPlYBHjhoTAzub4WV8cZOjGuY5zU+Vo8y6rIPwyeoW/t
UXM/dSIPVvRZbKkjy7bo7Y0dOo96n/OMpKdHm6kwDVk+DJnBXWe3/Q5kPf+m1u4ysWz02sPnLoSa
WcfJsxuSM1qRfEA91dv3S/7s6iNcTla40bM1Tgu3XbnvsJwD7Fmwly1s/I3dx9ojkUGkMPuzBQpW
GMOLhw5SlW+NJJ+mWUOvn/lYQ6KyDY3fVxW13LgxKwgBKdQydLZLPVQ6aKExPk46QGFjQlWsdlm0
VZ88n26c2yWLGXATTmn07UEwICBvDd3XwZu8AFV34nU9s9WcuEZ6xEPKb+TbOYuX7VYkMw2b2hpq
PvSSntZyOo/HamJwlWZhGsx4iW0KApjWqYDlWPwMz8HSpXmkPjCIugeRN09Vzb6y5/SlUcqEyFI9
n8IFlqUvPaJ9CDQSCco04gKdrUisnCC1DXK/NfpuM0y8RIoB8qGVfIos2dmMloFEoUiPeeVmPsYO
LuIMBqoPa/1kiep4Op1AsUG6RCgyYEAXXgs7fVn0MLwXCOPSM4CZbNOjbrsS2YpZ+MTTX2VOMJGC
lYtQTLdBcxqSHPvY1Pi9I7E2syteyGztUVR57smvVDjDtJSQl9t3p6A0WISXuO+e0pl7Swb7TlT2
emhy64F6p0TWha2CYtfzoiWoRkgwtfnIxz1VE9jhjVs7kdpOHTt25dydnnBashe1JRqQG+oocGzx
0Nfc2Okb1MJDKU6b0EUImXxMRzdKrS3yYCwb3MI3oWAiUBntk56acOja9CWro3zXriyVFpPwP5HO
NQkmVuw+VgtIMBP1SRqC3vShc5ceIzT2b8rORIBh5adcUzvkSv+6V18Hm7Rki2r+cY1wgkdBk/9U
r/P1KRIns0rE7Ag/+sTlzECyF0UsFyX/mlkEP2FzJ+4cdGhPk8XwAYZkqIOkGtZAy4rkrvIwyXEt
7HO8Tjnh6Lyx07kiAZfBKyZ5zmzrwUAAA92BBZQ4441s4UWqFTavBGO62Q+0kuoAtRW0kCsWXesR
ePKaZVWgT4JCKp9GeiQU6ut2afuUlOxwJybqUwWV+ybiFzYjVcEp/uYqOqKbUe7LzJAbzavoN6Q4
VqozDtcHvHQwrd+gp0BCtmZHG/nGjWgIN7D9MAdS6fCQgF0fpja71cJ8+azHDd2jgt0tGfZv9Dl7
Pq2Vsi+eUzd+Kdf5EZI2luFW22yw2dF9ddqEHnEx69kCYdtnt7MDMMfWmCyYYy6g7NP2snCDg4da
NoEzrjCbbfx+TtZDzGzJz+FF0rWLD3D4OPCWvrkjSjZ4c8Y9vF9sgToLKP8sY6yvjdULsmHCoq/y
6Es3TPaqbkIOK4wt/YCwSQR6EKAn6bSZBKMB2KV3EwALTkyqgQEtVrRPIV5bwUxl9VPzsvWTzNP6
Bp7v7Ed1/wkrxmhPnZNgr2sYT7ppYHxZLCUZMW6l8WCEvpRo/kV5E1grZRKTdJUa1COmU1bs3Bug
KRUbU2zNCXuobGkqwJocC1lMntys7Z3EQxAKw2xco0HwPGgIxqeOgPydhRKAw9oFGS4XNygwAnct
CfaqzKucOvNjg844x3sXWNhjHDytaO4SLHnx8kgT/IpyLEvNQt92AyigOY9MchR8IuIC9G658MZG
0f5OVxK2frSUtCNywQCH+h2gt6vea55ypQHrYaS0GQFR3Y6IvGJkKbt9bbSwIlIz5PJM0sueX4b3
B797xaI4MYwhaAfrOq/G71EeTb+zvo1RQ3RDf4K2jf+G/bN2pl0aLT+HmeRZM2KCFhpACBLgUa81
4EVZDS0w3jLZIKWJuwV2VFAcRWLTeZYHLUVnQMJn242gNEme7zV87iFNkybqQxCB0Edqjm8axbca
Go8JDXMW4fQZtvN1a+cu9nyMCjxP+13bbGlnEtlOICm1ywbtByMel/VkyKt+NR/grKP12erHVpOZ
X+KYBXlm6Pw2MbRDk8Q62mYFu1ZVPmsGelxfCUvJkLwYeGwHcUz+ZIREmqqMl8+yNxv1hVdUqDiB
8P0NX6ZUq+CQu/mXshnMG3PVn0ZlLqMZ3VMZ0uIosqb9GWEUSnhjzAFNvUehkCQ4nps1mDIyJp0a
DgEoTRC4VBw3tewodc65iOAAFKXfQUqHAlm3/JSq6C2P5M6RbFMXJQoOGeNBzi4OpmWSbVFT77eV
WqIUzHtzmp69Ea+BrBwfIO8iW+kVLXRq5FhWjgJ1n6OrPxh0H/adbVAWclojh5k+D0b8nFnVExKJ
5MiW/tCtc7rp4SVipdzN14YBwTjRncGvnei+zKdjvRjfKSCbAOWV9qbTRfsZQZdvKWdahPtMIxbv
emoJaqB/stt04m5csioERnuyaxVO0TFYb7OBE2900TaYLPcRnarneimOJBjz/erMLVmgvIUiVfKS
vSMMKZu6EXR3r5z4sF375An69CJGVUPkPGvS2nfmlMb3emvU3xKdd4+CXL8zMucqN1lhdc5qGBDa
JMHinRZImvkxXfsvlSzRO9aS6bFoNMQQWpYbaGKGiNGynbIM0qZLXAs78pysiec7DZmPYWN7Kkgr
x6BxrMm9O1wz04kcU6xjvS+TdNNUbXVACGAf6mBqDC99KbX4JeK0b1vOoa607iLJfZ5O9H6mCFPp
TqPWKuTo+S40GQBE5AQU12KXykXbadzwxlRnZrlUObK9VC3rTIPIsS0gj1H7VBUcPeM0TB+imi0l
LJ2Pjc7OnrF2eL3QmUQNJZ8/ZHaffWyGEQ1o3dhpEZLbMxSrIKei351OuRb5lWMyStIoE4OlCKbc
Maq5TC5Yw3Ms1+/4Xsa/EJzztnQtRjogYBNAK2IzrbGavIVRQz51/Ja2eNFX7AGLEMO3nFPvtPqp
N3e9k6IJY64vNCF4qlz59+IbCooGY0BKvZCTK62136pRZZlrc8ARb7y1EM/YLJk6AyPW51BhqdOR
QxEUovqh9UocJnuvxgIT6Sahx3i+EsZoRmZg7FEQyKz+WhvWhIgLIlas685suLwSs9imJglWookP
eYucyGDilgS63vA9BDEDVjtH3MAnGkvz4XT2ejP7NDbDCyMz61/tBaaI4EUE9C79nO4xphBPonTJ
9vjxUYhLGrZW3z81NU3BVEdOcUUVgafgK/drvgaxKAZCTf3Far4iGwMbDprVFFPoqjQDarW2g+/y
mI3RvS7mFU1H6Lkih54LRxCts2m8twsUo+DpkgD30edTI/NUIzEJ/oVeSPxizwzXrd5+MLKVIZHW
KxPBZb6267k4gokloRtVUupQA/UgZamXMkF9bZF7qanPqQgbDOl+HNxfqRa2N2XXeFszUllgnKCg
Sc3rW5EbXmWGMf/nLXImAgC7BAxPugJSvu7YpCgkFRE7ZR92lByuM4XX3UBHwhYkXUVmfUlOgVcp
oyPMrqokksYL/Zy3TSPE3eiymTCL1DTh9S3g6dBYiciGfYoZyKYTa3zoWvKk2EZpDDl/tKbtUd+O
eSIvtKsM8fbSlO+gUsEJmIJe0utLs7Ox/wLjvXebedxYBHUfRXTjYzLZhW/CHfw+6PAyQn1FUsJK
76uxGD95tdgvcjae3n8NqgN33jtjAmcgTocyFjyi1/cyiAFH82rK9qYKAqphYPZsaVAB/a61zIck
Irq+f0n1eGeXpD+KkRzjCd0g8X59SVniWNfSlNp3oXSha2Id3UT8ycirx7mDgjLG2gQXvcWUIRqL
w/tX/8duZk7ADWDRdBplvb56wUuVfan1e1DiqMfR0NmWFBQXVvg/XitdZkbtlkvf882YitMUIyJy
if1qJOZ2QIHYR+jyu7Z0d52HEmafJxeueE6gV+1J/Kagv9LfZpx67rXUYK9CWlL0+yhJuxt8X70g
6c32ipBAK2dyH2OOz02t0z1T9OFizhEtnI0aQaEGrYsx+bX+h5Cg0y0xR2TczmKnCXy2uIBhtomn
1+yxLP0OkW/5/Sf5zVJyvHxuLjj7nIs/cD0LAyZwZYourgaRr7/tgM6BHZZZt8dS+q7FkcrHAr3c
VaGZMK7nADZG+4eZp59rjBJy3fncJoy6x2S6HUT2q4dAu1kt/GwvrDgVzV4veAu7MfAnDE6lYZ8j
DqQLNCxyom5fYOCydXKSZ7sh1Ay6IjQJcYVA6DGmSfZV9nWt5KLJaOOClq5WPRntTGOKPG6T1wLR
nEoJ49vyDvlp1BPT9KfdHaxen/3VJAXpHTDD8kGQ4wxRXG+KaEgxZ4x2sUOnxsEEcNuXzJbU1DGz
0ZkUuvImKHpsWaSqrXVdoMYHO1BH4JhXQytLje1OB1u66u3V++/mXHKET6YmyUgCSBilQHXOhqWe
Mc7gGXVErwFOol/VRFunj8ZNPhX0xRylORrDjp77wtz046ifHpPW6tbMm4qEUJHMQ0466PbZda0P
2s7SmRKNKm9eM7LSrojWW1oSYJtcOqHA7y/Fs3P3o9MzuLiLAfexGUrrZ6cZvQzifEuySVLabbAF
0nx6aphlOe3TICw8PuziCBylRWDAASuT440w6fWFsPp25grECq0PNG8k5kRKuuHvsXORrrIeAaLv
YV1fC8RHN4KVgCCKfeFC4m0IVawGRDqY8DrCOY80TEFCxAqzGhl5uoIpeY+xoHDTOH35ksNM9x2H
rlSiusuYWivKEKqsYkCHNSzQxZzq+Bko3jOGCeLoFNR7GSUg7zfbVapmLCne6W8fW8lsXua04bSQ
2uX9hfevj8YAz9V1WBUWMMKz0VRJ5SqMNa73MWZBvsihBbXlXG+LjqwT8WM016bhl6qXloz2E4YV
L0vhXohYZ5hJtXKARSjKNjjGt8dELobOqQ2j3utm9RvqPg5LAidtpM7FFu22C1cTb5EJjiOBJOp4
phg6CKjXS0Qi/ebqtqiZXwJHympk0tRYEsnQaOsZkUUDl4R67RlyILAQfUCC86maq+zWVn7Vph49
166x3Oagcw8jhfcmM9HyMQsqey3sxttUThdoJm/PUe4Y78AT41zBSF7fcWvNTtHNbC1HWxIcTjC3
11CO2w069ROtbMxl9fzC0PIfCT+ZkOIdwG4nbJ/vJGyc3KlqRLXHQIYlXEmTQnwWx7QyZ+UOQz81
KgsqWrStaU/dwBV/OPUM6bdru0JUup+UtBBCBkXo6o0YqVjSgHSN6nhDNltLSkysnzJfWv2TWMm3
Tj2R0qBwUspBQe+oaJZY9GvV+MUUQ/KQUVFtiwrDbRNHDUwCYDYnofycNwL5do2hXo1TByKlRR3E
jkrmw8nbW2pCCd/p4WSse5ptVDlqvMzcfqpK2E56LjfrTCjC71Kb521dd1OwrizD93fcP8MG7EgA
PMyEocWcZwMuwNQWfe59tPTxPUZONAUoXwJhmT1CfXXFGUiRm3jimbY53WyLD40kkQsVXCDQbbeI
oi/0iE6xvhATo9ElgTZgInvs9734dhptmrXhgfkp2uuCcfddnPIR3n8Stehen+cu8ZXkFcSJLnCa
O1uUkckItnW6felwGA+oryqpPraEGY83EYZQW89di2+mGzq+dMbswpmpyGvn1xfgaSWYF7BGxjm+
x3PnDEG+EjuNnClaJdr53sjo97s5nXCJ7OeXsrYKsNdxdjWgBQeNnRNy1uhjJ+pPVoaQ6KA7aOmv
LFPOLiZKDgMgezG/68ZwnS3Vk9bRfD3NH2htGBp9Plw0dzGUtierVtMAiyZ7SlNyrxeqxzerdu5a
Jw9tM5lf9Nzya907tqNINpa9WgFqjnTtI++Ffxh65Jr+2+ywIildADaZw7jx/Y/0j8wCqKtrQBzz
TE5lW73Fv5CuI7O6Mp3iat8wpDgNCApTjYQNJkJ1wjZc+3zaRNl6hVo3vmoJGQPCpAwP6qvTGGbV
B4BTrSe3nNYPuYpvjf2IyBv88r7+VjLR96OFWYSjF8v+/bt/G/dAqZJRsO91ytTzGmnotboraLzg
vWXujZD5ogoV2UI78tSNysPiQtR7kzzDeCQOSIoy+G8c7GcHYmx0IS5EVIK0tuvNUveoW6vJ/WkW
050+78BQaCS+gOQANIJOLHPOvnE3Equ9XYtx3c4CzLIBqnEpeJwflKebA68r2W8KNaT+/18f017c
NNWyMtsncSNpDXIPC2nEoKasuXor77/+f1xObXGQStKgmHhz7GS11TGIzPaTpVYtSkKLRkJldqwd
asdLGaR7XiFgX438FXQ3BWQDk3y2VuN2ZNrYJvE+jmMLWfLRJBaiJjqbXsCoycNNJCMjwbWOM4M0
9JBYE3rrhlaiBmU6Xyez8O5TOKK2HD50tjvvGru3N+Y0NruJPerTXelucrcuIaEuNvSSMjmWMvVA
q6B9max9GXQJvzwZWyV0qz0ktMOv0gFf8CrFwkKrBNwV160P1DBmvNUq6IgmitBbXcYjGrNTQEey
2bVRg9i1iOQ1WA6NiUr2oQMRj6iHI/eOkLxDo02OdqOlPl5R0QfEQbA4GrXRz0vX9Qck3hF61Z7R
p8Iia2qGB8yKRYDQZ4r9BJVaiDA5bUPs+JDZoK2eMKf2y6yQ1wBULXBgmZf6cMfLoKzN5HpI2xGD
EBNPgUkL5V462F56Cfeg1WFEf/dT3ZsfojgRPqIj3Y1r4xGWaavxfZg8ue/B8l/YaPI8UUeciiQM
r1TKVWB45+ahXtS0npZzyoOgcA+nukfmoEbKTmeyTS6VikL/UDdNCXVmMrdyXcydqNUHrLABgDuP
11cK+2PjtE6KVWH8MxephLrW4NDnTXiYsIB2i+biI0OA9E2ExAOGCCh9qbftylV7XKrJPHrq16dV
/6GPxaPlgDaZZhskiTXI3dAW5UGknXuh4XR+eAH7Y0Oxg8ljCDT62VIncqJi02RuELcr9oPLhhbR
hd17HjxPl3BAGCpJLijKCvv4V7CgCrNoBCgJ+Tmt/Wqk/Tri2+Vn9QoYBPVj3o12qSo6Twq4KLET
VhsddhU2ziJUhEliasetEzSV0+wYfrVbxIMbxm4ZIluSkZ4mre6qavVwiyR7d6GtZZzn9vhO0/JQ
THM6q5KOy+uHXpoih1dTIX5v19gJzGnH15arn6bqgqHlXdVejz21IR5pO2T73LTHz+9HzRMC7u/E
6HQPtMgRfXUB/SqA+N8vnm3TOkqaO0jtDIbp0nQHJPpbCnEdm7V2TDwoN3r3Y9bX8I4Xad5VM6hT
PAjdT1rmrH48Opi3IqQaDMXqPumd4FU2HdldjIFSFrcfJ4Q7r6zW4XF6FNabxrSPTj01XwQGIKVy
1kz2+CbcSyeqN/Go5ReSr5Nd+KtnJIHFWchGI5XGNWfz62dcYI+YDUdoMLCrjpOEGqPXkbH1xmq8
Pj2EN8T5vT5FzhFbFmPL4DHceigL+Tn2ONuVFMyX9CK2Mg6jgxfFru9Uqca+1rureRUvNViMgzba
QMhc/LuSSD5kopC7uk3G63WNu0Pe2C0IgNXd27MzMtXudpoFJUXRK3e53a8gfCo1Yy+1oKghoLeh
tYnqGDX8tunuZn4yqO0RiEUcfVw0S0N3Z8rvl7XG2wpTHVzrr61pUHY6ELSiJh5vReL0T1pV/np/
yZzMi89fJ014MJUOrWDIfK9fZ+15YbJSNwVR1tI7GbR266TjMYkQXCrMEENHE752D6UvsRfsCul4
oZBUu4fMxYkFTVwcHpgvQ9thm6XlGN80WaT/aJQXgr566w2/xT6OyIwzETbLA42kAUmu2N5n+qhU
nL0bqjx9q8xgGah0ZtCIpgTUJ9qtZldfhhwRITzaHgsa0n62tpcym3OqqUvMoOZmx0IaZAOf+Ph/
RasUKTtIsTm6kSOHNwZt8rvAcTjl0GIJdIMrdkPl9vt+mrVAaoUGEKeJb4y0dw+LmdQ+NmXDpsC0
8DPiu8A7ErZdtnZWtnGtFLn9qWZh2pHmt4DjfL1ljSCfgPh84qbbQXeN3YICBX6uWLQJ89M0yidT
M/LN4jmfwjj5Ra2DNjfzqZui15xDBGjjNioT974nn9zhWdbsvDGnHC/j2i+QT9/b9Ab2JiO/gMEk
C33kkrOXyws9nDdZmqolDTRFldQGBdFZyF3mJGZGydoZc+sFtoF7r/ZKO+D6AalpvNDGdd6cXErV
UYJQo5MrPOcczFwM9Kr0oSfCAqfy4YJ7TwDL4pt6LY2tvhZzIPUwvYvtPr4RbkvAa0m/jImXPo8N
Gbw7hVumiV9HLzxOkX0brrjOGKB8ZhuiKPawzcK+HlMgr/zdbU1O6Gse67JNOT7ExG4mbX+pumZ9
EBVgPqNZx9/4onaHQbIHaorCY9rp9i6LZBTEQOI/T7j6fGTgH/qGiEe8VZMVBTpwGplp0OKy12YX
aZQ2gLm8KyayDz38mIOXLUQOxIduC7vExwJ2xe2kE5a7OsuCTt0OE1MlKV+Mn62FtdWNHDNaDOdy
awm8AHGLYhf2WooDVaWb9Nb07zJUngOjwTg7jist8NqCtjPkwKDhRSJSadi7mF4QGSgbYr2QFfxj
tbBIlG4feHR1Sr6ONJ1t51kRgYp1W0A5uGimQVtbHE6oJfmOxYZ4P7S9vR5TRRDppFgU6tZ5lW5n
JcjgFZ3CHJMc5tvsBmBz3hWYI/cQrwjLv389421iSdmG1BUVLzB1RPnP9oMLvA3Bp8gMwDHJXbKA
DFXaikckyvt9uerxzYx9Bx5xNlIeQ4vKHOHCzjDtqgo2vzOVjAKwLcQ9lD95AweVPvKpYQ23gBKM
fl9jRg8Cs2o/4qgNMqZUh7sVtpw8SX6PSOOPRYURxAdDENcsOtvIf4BfRIPWBhWaVonmR/QmHyuX
w2613dt8VA5MKOU1FcTcdbJwM8kRSeHeNb2fg8UN1xv6WmJnDDONlap97FbWuqE8lU9Ha52RarVu
FD+BKJO7/8ncuS21jQRh+FUoLvYOlSVbllVbpCqBBEiWbCpLdi9TE+yyBT6ALJOYp9+vZySjMYIk
NLvRXCWR05ppzXT39OHvdEbCfUiSLzkinKY0RUtO2ILvFqDgv/ta9IqjRV+06Yw2FuMr7JLLDD2z
mtGehlrIW5BvkR/5bLX+Mr9FvtEWgKjQNVv8kg4Vx2QWo3suEbvLy6vrv2mQu/cGvtF8PmdCV0kC
Ls0cXZ/uTYgCrK/pNWyfTtnvGdj/b/JEGiwsyAyhmvPr9cE3UgterUXrXkyi5Ukvo0wzx+YhO+wr
9kDx7RYmflueTIrO4DS8JoC/mvLXtBgPjpcJJ3Q+4SedMRbE/HNaHC4XJH+T810c5QClvM9Csojo
UbJAL7DMvTi8eH+zd3t7eHUTLl+v1gsBI/mcnkSzDN7Rvvpoetv/1F8n5/ScCQ8up73ohNN58wc1
Nd3XSDB2cbweHN1cTzFZMsxoe9zTPuwj05Q37KEFrlIsHRpPE0RPuwWXdj6H3e3PXdH5X2DJlnOU
est7YLKg0josFnn6YZHNi7PF0370OKEfRqfFsBKbygPasvOy8LiPkZkaUHRXw9H+btQJBEyeQbhE
BgSni/m4fAzYFoEg/lXcGryoxp+HOPD44j7eA+29T8eb+fliNS9ywH7HhD/rta2k4P/Y2rco1NYe
BcQfYoBzHQc6kb/2VJDIufJhv9nBXfSXsMAMZ9n8MKPeIDsvPBZYIHcJb+n2QA80donScutxw+MD
VcNSF5fERJeqxy3jA7FZJQ/CmFrmOCby2ciDJA3SPtEicOgcC37VcfjeXsAu0O2FfoBfBfRpQO2q
j12TB2kv6GGE4IBxR6LTxjMhqHz4hXR8SAKuHvgAqG20w5cNaT8gyNrFg19yyfH9/xePD+4Hcs/U
cqGPfBQgRU5F015ANwBOw4ERXCBG684E0XDx3Gm3QhSQCgtiXvWtkTW1I5GE7BTxCwpGgozWHQnA
AtQ8iAGBIJcB/607Dr6ZMOAxsBJ9kqAss1t0DmQPkN+r3AOoB9QjuYUkn7nh74FeIKCKAK2VeyBu
GxuAAhC0D5VMDLEVKY7m+gml+gnoA7dMTBOA5I2sbJmBAHT+gMQEtUQMgZEF8CoF7sSOrWMANG2P
THJMyvZ9f8cBrV7sdgJwO4nTAitoBwTrWyEFR0ZcaNUxad9BwBWrNpLSAEQCXDGsrr549CW448S9
SuuodUZBiJtTKwq7YUAqQcwxaDwDSSL9TchTxA9nR/uYYG9NPS0fokFALgVgQFQ5NMgC+ED6DqVC
cWlIt48Pcbc02bbcGj/hPuh2A4n20tut8bqQxGImIyuqx+1jQqkZtPfHCJQs+pVJ5UGTXMRAIksJ
yQk+nx1OF7fITiKuq94NOJNiEpQFG9Gt0reUB1weI/LBcTO4E9M+5YDg0toIId4UogJRr/SrbXvU
uDlyYjCk23prkj69WjMh6jslQZikSTgO2CiE2WOyZdxGad3VMSTWot0JyARiigDnxs2+VXoSUNBD
tkEpO1vHBMRV353Rp2sIejII8jT+5S1LUXq0kINNjn7bbGUaRUZOUSmWnQbkMHekc0XTAUjEf0SC
SVS6E6XnTMuuTM63rNaLKD6cSCF4zk0qIeVCZcFqidm60UI+UAgj8VbV3RlZQN4tzkTp91e7MwC8
Sa1iJ6KpdkslIW4NqXpSrZ5bI+0T8J5HHPba6rEPcRoASAdimR2tE4HSLEa7epQh6T94jwijuOEz
gfgK9jO9rSg7kNE6WUDDcKmxUm0B9IAUrwpYoVul7zohwAJmtXDbPRWrqV0CsdsZlKrq6VohIqrA
R5ZM96adMEAnUnJHjKnkURuvS3QZxXbV7oYkwCbqA6Dri0O2AaU34mArxaEzRFt0TwrpPcUnegbb
kOQ2mrhLn6KaREQhSvE83pNyC7ROGNCGVOpLVMIAbcg9kPRtqUSprX6QBIBw9lPwjd1o3ert58eY
0TIANypVAtSDbLnSu9iFXB5juj/Y8RN+gh84JJsUloNJNh3a5JVstKx1U/7uD6rsjvsEyqyNk+H+
rqRmeD+UjnGO9Mj2b5a/v/BClzazpPawyjSx7yn/e7nA+6/23lWtqvrH42yUm/ycdr321eU0pb/m
/i4w6hP6N3/IzXC0nHipFTal4G5C+7vedGuf/1H6y6WZ1cm6qKyW7KtsYvI6WRfh05I9NvnazE2d
MImI4i1XU85m5nxipo2cdj5p7SvemtlstfObmV39vvPOLCezzOMQ/hZxb2nf8s7kc7K/Ln0mOa+R
mjb7dLpF2AbttIS/029xcyKftsdPzXCybj5Dzoeinf6fw4x2kdW3E/lS+iq1hD+shjRkGeX52iPu
jF098fmF+eITthcpLeGP5sIsi4nxkuHKa4qW9l8Z6a2ewCqtXi3hMzPLpjvvzXBV50jpX9IS/1QU
tL9oEOKlJ1NL/5/Rsth5NZqPzdSbvTOEtNRPDcIcgVXk3h4vnVBa6kerC6gX9XlvsmLUtBfejDeZ
Flq6P93cRCnBXuar+cPqCXvf5ZNpl3Wa3S5y3xwoLxPPoGHP8uxq5e+gu5uKduaHZoiVRHMZTvCY
o3ZsbkbTrL6n7sxi7bvkDdLHZos6uc5SX6alfmrmwqeKkDVWN0m0auKjMTaOWXunAs7I3Lnlack/
1kZdeQION82EgGStZnrHHMky187+AI01zNg9vpltuSMeNj39iSmKbHnvDXepP9pXWD1jLmUh1Xwt
j8o34KrQvuEtquBB+s+whc5GHK3xto1Pvm/p09HO/w8zhD8VH4Q5VCjg7SI5kKQQ/hB1JVtd+5pm
ebTzEgH14E6WUkLwPTmM+B3IX7HNjx+fSNN9c1MCcf8WWpU2NP03/4otvzifjkz+4l8AAAD//w==
</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1788541</xdr:colOff>
      <xdr:row>2</xdr:row>
      <xdr:rowOff>173077</xdr:rowOff>
    </xdr:to>
    <xdr:pic>
      <xdr:nvPicPr>
        <xdr:cNvPr id="2" name="Picture 6" descr="A picture containing text&#10;&#10;Description automatically generated">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a:extLst>
            <a:ext uri="{FF2B5EF4-FFF2-40B4-BE49-F238E27FC236}">
              <a16:creationId xmlns:lc="http://schemas.openxmlformats.org/drawingml/2006/lockedCanvas" xmlns="" xmlns:o="urn:schemas-microsoft-com:office:office" xmlns:v="urn:schemas-microsoft-com:vml" xmlns:w10="urn:schemas-microsoft-com:office:word" xmlns:w="http://schemas.openxmlformats.org/wordprocessingml/2006/main" xmlns:a14="http://schemas.microsoft.com/office/drawing/2010/main" xmlns:a16="http://schemas.microsoft.com/office/drawing/2014/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id="{6D40736F-2924-410C-B3DF-B4F5859004C3}"/>
            </a:ext>
          </a:extLst>
        </a:blip>
        <a:stretch>
          <a:fillRect/>
        </a:stretch>
      </xdr:blipFill>
      <xdr:spPr>
        <a:xfrm>
          <a:off x="0" y="0"/>
          <a:ext cx="1787236" cy="653676"/>
        </a:xfrm>
        <a:prstGeom prst="rect">
          <a:avLst/>
        </a:prstGeom>
      </xdr:spPr>
    </xdr:pic>
    <xdr:clientData/>
  </xdr:twoCellAnchor>
  <xdr:twoCellAnchor>
    <xdr:from>
      <xdr:col>4</xdr:col>
      <xdr:colOff>221816</xdr:colOff>
      <xdr:row>0</xdr:row>
      <xdr:rowOff>0</xdr:rowOff>
    </xdr:from>
    <xdr:to>
      <xdr:col>11</xdr:col>
      <xdr:colOff>169624</xdr:colOff>
      <xdr:row>22</xdr:row>
      <xdr:rowOff>208766</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A4063F31-4D10-4063-8E88-ED0CD000ED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71656" y="0"/>
              <a:ext cx="8924168" cy="57485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143408</xdr:colOff>
      <xdr:row>0</xdr:row>
      <xdr:rowOff>1</xdr:rowOff>
    </xdr:from>
    <xdr:to>
      <xdr:col>1</xdr:col>
      <xdr:colOff>1199029</xdr:colOff>
      <xdr:row>2</xdr:row>
      <xdr:rowOff>212913</xdr:rowOff>
    </xdr:to>
    <xdr:pic>
      <xdr:nvPicPr>
        <xdr:cNvPr id="2" name="Picture 1" descr="A picture containing text&#10;&#10;Description automatically generated">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FF2B5EF4-FFF2-40B4-BE49-F238E27FC236}">
              <a16:creationId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a16="http://schemas.microsoft.com/office/drawing/2014/main" xmlns:a14="http://schemas.microsoft.com/office/drawing/2010/main" xmlns:w="http://schemas.openxmlformats.org/wordprocessingml/2006/main" xmlns:w10="urn:schemas-microsoft-com:office:word" xmlns:v="urn:schemas-microsoft-com:vml" xmlns:o="urn:schemas-microsoft-com:office:office" xmlns="" xmlns:lc="http://schemas.openxmlformats.org/drawingml/2006/lockedCanvas" id="{6D40736F-2924-410C-B3DF-B4F5859004C3}"/>
            </a:ext>
          </a:extLst>
        </a:blip>
        <a:stretch>
          <a:fillRect/>
        </a:stretch>
      </xdr:blipFill>
      <xdr:spPr>
        <a:xfrm>
          <a:off x="378732" y="1"/>
          <a:ext cx="1055621" cy="9300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108857</xdr:rowOff>
    </xdr:from>
    <xdr:to>
      <xdr:col>0</xdr:col>
      <xdr:colOff>1051560</xdr:colOff>
      <xdr:row>2</xdr:row>
      <xdr:rowOff>108858</xdr:rowOff>
    </xdr:to>
    <xdr:pic>
      <xdr:nvPicPr>
        <xdr:cNvPr id="2" name="Picture 2" descr="Logo&#10;&#10;Description automatically generated with medium confidence">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08857"/>
          <a:ext cx="1051560" cy="1143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108857</xdr:rowOff>
    </xdr:from>
    <xdr:to>
      <xdr:col>0</xdr:col>
      <xdr:colOff>1051560</xdr:colOff>
      <xdr:row>2</xdr:row>
      <xdr:rowOff>108858</xdr:rowOff>
    </xdr:to>
    <xdr:pic>
      <xdr:nvPicPr>
        <xdr:cNvPr id="3" name="Picture 2" descr="Logo&#10;&#10;Description automatically generated with medium confidence">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8857"/>
          <a:ext cx="1051560" cy="1143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68035</xdr:colOff>
      <xdr:row>0</xdr:row>
      <xdr:rowOff>0</xdr:rowOff>
    </xdr:from>
    <xdr:to>
      <xdr:col>0</xdr:col>
      <xdr:colOff>2408464</xdr:colOff>
      <xdr:row>3</xdr:row>
      <xdr:rowOff>176892</xdr:rowOff>
    </xdr:to>
    <xdr:pic>
      <xdr:nvPicPr>
        <xdr:cNvPr id="2" name="Picture 1" descr="A picture containing text&#10;&#10;Description automatically generated">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extLst>
            <a:ext uri="{FF2B5EF4-FFF2-40B4-BE49-F238E27FC236}">
              <a16:creationId xmlns:lc="http://schemas.openxmlformats.org/drawingml/2006/lockedCanvas" xmlns="" xmlns:o="urn:schemas-microsoft-com:office:office" xmlns:v="urn:schemas-microsoft-com:vml" xmlns:w10="urn:schemas-microsoft-com:office:word" xmlns:w="http://schemas.openxmlformats.org/wordprocessingml/2006/main" xmlns:a14="http://schemas.microsoft.com/office/drawing/2010/main" xmlns:a16="http://schemas.microsoft.com/office/drawing/2014/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id="{6D40736F-2924-410C-B3DF-B4F5859004C3}"/>
            </a:ext>
          </a:extLst>
        </a:blip>
        <a:stretch>
          <a:fillRect/>
        </a:stretch>
      </xdr:blipFill>
      <xdr:spPr>
        <a:xfrm>
          <a:off x="68035" y="0"/>
          <a:ext cx="2340429" cy="9116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6</xdr:col>
      <xdr:colOff>0</xdr:colOff>
      <xdr:row>52</xdr:row>
      <xdr:rowOff>0</xdr:rowOff>
    </xdr:from>
    <xdr:ext cx="314325" cy="314325"/>
    <xdr:sp macro="" textlink="">
      <xdr:nvSpPr>
        <xdr:cNvPr id="2" name="Shape 3">
          <a:extLst>
            <a:ext uri="{FF2B5EF4-FFF2-40B4-BE49-F238E27FC236}">
              <a16:creationId xmlns:a16="http://schemas.microsoft.com/office/drawing/2014/main" id="{00000000-0008-0000-0400-000002000000}"/>
            </a:ext>
          </a:extLst>
        </xdr:cNvPr>
        <xdr:cNvSpPr/>
      </xdr:nvSpPr>
      <xdr:spPr>
        <a:xfrm>
          <a:off x="19964400" y="12706350"/>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6</xdr:col>
      <xdr:colOff>0</xdr:colOff>
      <xdr:row>18</xdr:row>
      <xdr:rowOff>0</xdr:rowOff>
    </xdr:from>
    <xdr:ext cx="314325" cy="314325"/>
    <xdr:sp macro="" textlink="">
      <xdr:nvSpPr>
        <xdr:cNvPr id="4" name="Shape 3">
          <a:extLst>
            <a:ext uri="{FF2B5EF4-FFF2-40B4-BE49-F238E27FC236}">
              <a16:creationId xmlns:a16="http://schemas.microsoft.com/office/drawing/2014/main" id="{00000000-0008-0000-0400-000004000000}"/>
            </a:ext>
          </a:extLst>
        </xdr:cNvPr>
        <xdr:cNvSpPr/>
      </xdr:nvSpPr>
      <xdr:spPr>
        <a:xfrm>
          <a:off x="19964400" y="7058025"/>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0</xdr:colOff>
      <xdr:row>52</xdr:row>
      <xdr:rowOff>0</xdr:rowOff>
    </xdr:from>
    <xdr:ext cx="314325" cy="314325"/>
    <xdr:sp macro="" textlink="">
      <xdr:nvSpPr>
        <xdr:cNvPr id="5" name="Shape 3">
          <a:extLst>
            <a:ext uri="{FF2B5EF4-FFF2-40B4-BE49-F238E27FC236}">
              <a16:creationId xmlns:a16="http://schemas.microsoft.com/office/drawing/2014/main" id="{00000000-0008-0000-0400-000005000000}"/>
            </a:ext>
          </a:extLst>
        </xdr:cNvPr>
        <xdr:cNvSpPr/>
      </xdr:nvSpPr>
      <xdr:spPr>
        <a:xfrm>
          <a:off x="19950545" y="12642273"/>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15</xdr:col>
      <xdr:colOff>0</xdr:colOff>
      <xdr:row>52</xdr:row>
      <xdr:rowOff>0</xdr:rowOff>
    </xdr:from>
    <xdr:ext cx="314325" cy="314325"/>
    <xdr:sp macro="" textlink="">
      <xdr:nvSpPr>
        <xdr:cNvPr id="6" name="Shape 3">
          <a:extLst>
            <a:ext uri="{FF2B5EF4-FFF2-40B4-BE49-F238E27FC236}">
              <a16:creationId xmlns:a16="http://schemas.microsoft.com/office/drawing/2014/main" id="{00000000-0008-0000-0400-000006000000}"/>
            </a:ext>
          </a:extLst>
        </xdr:cNvPr>
        <xdr:cNvSpPr/>
      </xdr:nvSpPr>
      <xdr:spPr>
        <a:xfrm>
          <a:off x="44213318" y="12642273"/>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6</xdr:col>
      <xdr:colOff>0</xdr:colOff>
      <xdr:row>54</xdr:row>
      <xdr:rowOff>0</xdr:rowOff>
    </xdr:from>
    <xdr:ext cx="314325" cy="314325"/>
    <xdr:sp macro="" textlink="">
      <xdr:nvSpPr>
        <xdr:cNvPr id="7" name="Shape 3">
          <a:extLst>
            <a:ext uri="{FF2B5EF4-FFF2-40B4-BE49-F238E27FC236}">
              <a16:creationId xmlns:a16="http://schemas.microsoft.com/office/drawing/2014/main" id="{00000000-0008-0000-0400-000007000000}"/>
            </a:ext>
          </a:extLst>
        </xdr:cNvPr>
        <xdr:cNvSpPr/>
      </xdr:nvSpPr>
      <xdr:spPr>
        <a:xfrm>
          <a:off x="17508682" y="11308773"/>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0</xdr:colOff>
      <xdr:row>54</xdr:row>
      <xdr:rowOff>0</xdr:rowOff>
    </xdr:from>
    <xdr:ext cx="314325" cy="314325"/>
    <xdr:sp macro="" textlink="">
      <xdr:nvSpPr>
        <xdr:cNvPr id="8" name="Shape 3">
          <a:extLst>
            <a:ext uri="{FF2B5EF4-FFF2-40B4-BE49-F238E27FC236}">
              <a16:creationId xmlns:a16="http://schemas.microsoft.com/office/drawing/2014/main" id="{00000000-0008-0000-0400-000008000000}"/>
            </a:ext>
          </a:extLst>
        </xdr:cNvPr>
        <xdr:cNvSpPr/>
      </xdr:nvSpPr>
      <xdr:spPr>
        <a:xfrm>
          <a:off x="32662091" y="11308773"/>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15</xdr:col>
      <xdr:colOff>0</xdr:colOff>
      <xdr:row>54</xdr:row>
      <xdr:rowOff>0</xdr:rowOff>
    </xdr:from>
    <xdr:ext cx="314325" cy="314325"/>
    <xdr:sp macro="" textlink="">
      <xdr:nvSpPr>
        <xdr:cNvPr id="9" name="Shape 3">
          <a:extLst>
            <a:ext uri="{FF2B5EF4-FFF2-40B4-BE49-F238E27FC236}">
              <a16:creationId xmlns:a16="http://schemas.microsoft.com/office/drawing/2014/main" id="{00000000-0008-0000-0400-000009000000}"/>
            </a:ext>
          </a:extLst>
        </xdr:cNvPr>
        <xdr:cNvSpPr/>
      </xdr:nvSpPr>
      <xdr:spPr>
        <a:xfrm>
          <a:off x="40195500" y="11308773"/>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editAs="oneCell">
    <xdr:from>
      <xdr:col>0</xdr:col>
      <xdr:colOff>86591</xdr:colOff>
      <xdr:row>0</xdr:row>
      <xdr:rowOff>51955</xdr:rowOff>
    </xdr:from>
    <xdr:to>
      <xdr:col>0</xdr:col>
      <xdr:colOff>2407227</xdr:colOff>
      <xdr:row>2</xdr:row>
      <xdr:rowOff>588818</xdr:rowOff>
    </xdr:to>
    <xdr:pic>
      <xdr:nvPicPr>
        <xdr:cNvPr id="10" name="Picture 9" descr="A picture containing text&#10;&#10;Description automatically generated">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1">
          <a:extLst>
            <a:ext uri="{FF2B5EF4-FFF2-40B4-BE49-F238E27FC236}">
              <a16:creationId xmlns:lc="http://schemas.openxmlformats.org/drawingml/2006/lockedCanvas" xmlns="" xmlns:o="urn:schemas-microsoft-com:office:office" xmlns:v="urn:schemas-microsoft-com:vml" xmlns:w10="urn:schemas-microsoft-com:office:word" xmlns:w="http://schemas.openxmlformats.org/wordprocessingml/2006/main" xmlns:a14="http://schemas.microsoft.com/office/drawing/2010/main" xmlns:a16="http://schemas.microsoft.com/office/drawing/2014/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id="{6D40736F-2924-410C-B3DF-B4F5859004C3}"/>
            </a:ext>
          </a:extLst>
        </a:blip>
        <a:stretch>
          <a:fillRect/>
        </a:stretch>
      </xdr:blipFill>
      <xdr:spPr>
        <a:xfrm>
          <a:off x="1056409" y="675410"/>
          <a:ext cx="2320636" cy="178377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60989</xdr:colOff>
      <xdr:row>0</xdr:row>
      <xdr:rowOff>1</xdr:rowOff>
    </xdr:from>
    <xdr:to>
      <xdr:col>1</xdr:col>
      <xdr:colOff>1868632</xdr:colOff>
      <xdr:row>3</xdr:row>
      <xdr:rowOff>291565</xdr:rowOff>
    </xdr:to>
    <xdr:pic>
      <xdr:nvPicPr>
        <xdr:cNvPr id="3" name="Picture 1" descr="A picture containing text&#10;&#10;Description automatically generated">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extLst>
            <a:ext uri="{FF2B5EF4-FFF2-40B4-BE49-F238E27FC236}">
              <a16:creationId xmlns:lc="http://schemas.openxmlformats.org/drawingml/2006/lockedCanvas" xmlns="" xmlns:o="urn:schemas-microsoft-com:office:office" xmlns:v="urn:schemas-microsoft-com:vml" xmlns:w10="urn:schemas-microsoft-com:office:word" xmlns:w="http://schemas.openxmlformats.org/wordprocessingml/2006/main" xmlns:a14="http://schemas.microsoft.com/office/drawing/2010/main" xmlns:a16="http://schemas.microsoft.com/office/drawing/2014/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id="{6D40736F-2924-410C-B3DF-B4F5859004C3}"/>
            </a:ext>
          </a:extLst>
        </a:blip>
        <a:stretch>
          <a:fillRect/>
        </a:stretch>
      </xdr:blipFill>
      <xdr:spPr>
        <a:xfrm>
          <a:off x="60989" y="1"/>
          <a:ext cx="2341043" cy="11256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11206</xdr:colOff>
      <xdr:row>5</xdr:row>
      <xdr:rowOff>22412</xdr:rowOff>
    </xdr:from>
    <xdr:to>
      <xdr:col>8</xdr:col>
      <xdr:colOff>2319617</xdr:colOff>
      <xdr:row>27</xdr:row>
      <xdr:rowOff>142875</xdr:rowOff>
    </xdr:to>
    <xdr:graphicFrame macro="">
      <xdr:nvGraphicFramePr>
        <xdr:cNvPr id="3" name="Chart 6">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2218764</xdr:colOff>
      <xdr:row>3</xdr:row>
      <xdr:rowOff>232321</xdr:rowOff>
    </xdr:to>
    <xdr:pic>
      <xdr:nvPicPr>
        <xdr:cNvPr id="4" name="Picture 3" descr="A picture containing text&#10;&#10;Description automatically generated">
          <a:extLst>
            <a:ext uri="{FF2B5EF4-FFF2-40B4-BE49-F238E27FC236}">
              <a16:creationId xmlns:a16="http://schemas.microsoft.com/office/drawing/2014/main" id="{00000000-0008-0000-0900-000004000000}"/>
            </a:ext>
          </a:extLst>
        </xdr:cNvPr>
        <xdr:cNvPicPr/>
      </xdr:nvPicPr>
      <xdr:blipFill>
        <a:blip xmlns:r="http://schemas.openxmlformats.org/officeDocument/2006/relationships" r:embed="rId2">
          <a:extLst>
            <a:ext uri="{FF2B5EF4-FFF2-40B4-BE49-F238E27FC236}">
              <a16:creationId xmlns:lc="http://schemas.openxmlformats.org/drawingml/2006/lockedCanvas" xmlns="" xmlns:o="urn:schemas-microsoft-com:office:office" xmlns:v="urn:schemas-microsoft-com:vml" xmlns:w10="urn:schemas-microsoft-com:office:word" xmlns:w="http://schemas.openxmlformats.org/wordprocessingml/2006/main" xmlns:a14="http://schemas.microsoft.com/office/drawing/2010/main" xmlns:a16="http://schemas.microsoft.com/office/drawing/2014/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id="{6D40736F-2924-410C-B3DF-B4F5859004C3}"/>
            </a:ext>
          </a:extLst>
        </a:blip>
        <a:stretch>
          <a:fillRect/>
        </a:stretch>
      </xdr:blipFill>
      <xdr:spPr>
        <a:xfrm>
          <a:off x="0" y="0"/>
          <a:ext cx="2218764" cy="838200"/>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26B63C-C4CF-46A1-9BFE-4F606AAF519C}" name="Table2" displayName="Table2" ref="A274:C307" totalsRowShown="0" headerRowDxfId="980">
  <autoFilter ref="A274:C307" xr:uid="{6D26B63C-C4CF-46A1-9BFE-4F606AAF519C}"/>
  <tableColumns count="3">
    <tableColumn id="1" xr3:uid="{6727D7B1-8D67-4B2B-A769-3283704E2A17}" name="States" dataDxfId="979"/>
    <tableColumn id="2" xr3:uid="{9D159CE0-7A47-43E2-B234-7397E6EC1283}" name="map values" dataDxfId="978">
      <calculatedColumnFormula>IF(B$10=Table2[[#This Row],[States]],1,0)</calculatedColumnFormula>
    </tableColumn>
    <tableColumn id="3" xr3:uid="{158F122B-AFBD-478D-B200-39EC3BB6237B}" name="Column1" dataDxfId="97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BA1351-40FF-41AF-88D3-250C54D71064}" name="Table1" displayName="Table1" ref="B167:D200" totalsRowShown="0" headerRowDxfId="976" headerRowBorderDxfId="975" tableBorderDxfId="974">
  <autoFilter ref="B167:D200" xr:uid="{51BA1351-40FF-41AF-88D3-250C54D71064}"/>
  <tableColumns count="3">
    <tableColumn id="1" xr3:uid="{9DA20E13-FE5F-4FFC-84C6-E5324027A124}" name="Project type" dataDxfId="973">
      <calculatedColumnFormula>C$231</calculatedColumnFormula>
    </tableColumn>
    <tableColumn id="2" xr3:uid="{F51AF76E-6A31-4C55-9D83-29C4EC4B5367}" name="Category" dataDxfId="972"/>
    <tableColumn id="3" xr3:uid="{07225ECE-62A1-4913-A6B1-B149FC19A9B5}" name="Options" dataDxfId="97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G25" dT="2025-12-26T06:38:55.62" personId="{00000000-0000-0000-0000-000000000000}" id="{D6599258-9C04-4789-8C68-15C041A144BD}">
    <text xml:space="preserve">For Tamilnadu use Conventional LA
</text>
  </threadedComment>
  <threadedComment ref="AK25" dT="2025-12-26T06:26:41.18" personId="{00000000-0000-0000-0000-000000000000}" id="{4000701A-BAFC-40AC-B636-775014ED4623}">
    <text xml:space="preserve">Railings are mandatory for tamilnadu and haryana for any module tilt
</text>
  </threadedComment>
  <threadedComment ref="AG26" dT="2025-12-26T06:38:50.99" personId="{00000000-0000-0000-0000-000000000000}" id="{B0ECAF2C-E2F3-4F06-9D74-E36817BA805E}">
    <text xml:space="preserve">For Tamilnadu use Conventional LA
</text>
  </threadedComment>
  <threadedComment ref="AK26" dT="2025-12-26T06:26:34.65" personId="{00000000-0000-0000-0000-000000000000}" id="{5129CE4A-8479-4617-A951-0C4E809D696E}">
    <text xml:space="preserve">Railings are mandatory for tamilnadu and haryana for any module tilt
</text>
  </threadedComment>
  <threadedComment ref="AG27" dT="2025-12-26T06:38:55.62" personId="{00000000-0000-0000-0000-000000000000}" id="{EA32CE80-2185-438A-8552-DA5DAE2C3959}">
    <text xml:space="preserve">For Tamilnadu use Conventional LA
</text>
  </threadedComment>
  <threadedComment ref="AK27" dT="2025-12-26T06:26:41.18" personId="{00000000-0000-0000-0000-000000000000}" id="{6C212231-F6EA-4F8A-9B33-C5D2E6DED5F1}">
    <text xml:space="preserve">Railings are mandatory for tamilnadu and haryana for any module tilt
</text>
  </threadedComment>
  <threadedComment ref="AG28" dT="2025-12-26T06:38:59.65" personId="{00000000-0000-0000-0000-000000000000}" id="{BEC48568-D78F-4E75-ADF6-50EDCA6FC02E}">
    <text xml:space="preserve">For Tamilnadu use Conventional LA
</text>
  </threadedComment>
  <threadedComment ref="AK28" dT="2025-12-26T06:26:46.98" personId="{00000000-0000-0000-0000-000000000000}" id="{F4204865-DB36-47BE-BDD7-A6EF08D91168}">
    <text xml:space="preserve">Railings are mandatory for tamilnadu and haryana for any module tilt
</text>
  </threadedComment>
  <threadedComment ref="AG29" dT="2025-12-26T06:39:04.04" personId="{00000000-0000-0000-0000-000000000000}" id="{A633D35E-C005-43B1-A3AD-76F8005E26DF}">
    <text xml:space="preserve">For Tamilnadu use Conventional LA
</text>
  </threadedComment>
  <threadedComment ref="AK29" dT="2025-12-26T06:26:52.66" personId="{00000000-0000-0000-0000-000000000000}" id="{BE405E7E-A851-4944-A38A-D657C54B82FA}">
    <text xml:space="preserve">Railings are mandatory for tamilnadu and haryana for any module tilt
</text>
  </threadedComment>
  <threadedComment ref="AG30" dT="2025-12-26T06:39:07.57" personId="{00000000-0000-0000-0000-000000000000}" id="{10D54846-866A-478E-85CD-8E8A4CE8B9F2}">
    <text xml:space="preserve">For Tamilnadu use Conventional LA
</text>
  </threadedComment>
  <threadedComment ref="AK30" dT="2025-12-26T06:26:57.28" personId="{00000000-0000-0000-0000-000000000000}" id="{E0621A54-9213-431C-871E-334C8B59DED9}">
    <text xml:space="preserve">Railings are mandatory for tamilnadu and haryana for any module tilt
</text>
  </threadedComment>
  <threadedComment ref="AG31" dT="2025-12-26T06:39:11.77" personId="{00000000-0000-0000-0000-000000000000}" id="{BC5F6C2E-807F-40BA-B5AA-FAAEED94D572}">
    <text xml:space="preserve">For Tamilnadu use Conventional LA
</text>
  </threadedComment>
  <threadedComment ref="AK31" dT="2025-12-26T06:27:05.19" personId="{00000000-0000-0000-0000-000000000000}" id="{779C4309-44F0-428F-BC47-D7E7306817C4}">
    <text xml:space="preserve">Railings are mandatory for tamilnadu and haryana for any module tilt
</text>
  </threadedComment>
  <threadedComment ref="AG32" dT="2025-12-26T06:39:16.36" personId="{00000000-0000-0000-0000-000000000000}" id="{EC086E8B-3EEE-456A-A643-77712B2808B4}">
    <text xml:space="preserve">For Tamilnadu use Conventional LA
</text>
  </threadedComment>
  <threadedComment ref="AK32" dT="2025-12-26T06:27:10.30" personId="{00000000-0000-0000-0000-000000000000}" id="{682B1A74-409A-491D-AC3A-2538BF8F9EB4}">
    <text xml:space="preserve">Railings are mandatory for tamilnadu and haryana for any module tilt
</text>
  </threadedComment>
  <threadedComment ref="AG33" dT="2025-12-26T06:39:20.40" personId="{00000000-0000-0000-0000-000000000000}" id="{69DEC130-B71F-401D-B96A-C2C52A5DF93D}">
    <text xml:space="preserve">For Tamilnadu use Conventional LA
</text>
  </threadedComment>
  <threadedComment ref="AK33" dT="2025-12-26T06:27:14.86" personId="{00000000-0000-0000-0000-000000000000}" id="{EB346258-3FDE-4308-920F-042AB1D1933D}">
    <text xml:space="preserve">Railings are mandatory for tamilnadu and haryana for any module tilt
</text>
  </threadedComment>
  <threadedComment ref="AG34" dT="2025-12-26T06:39:24.45" personId="{00000000-0000-0000-0000-000000000000}" id="{DE911CAF-3428-47DF-8BB8-EEAEEB230A49}">
    <text xml:space="preserve">For Tamilnadu use Conventional LA
</text>
  </threadedComment>
  <threadedComment ref="AK34" dT="2025-12-26T06:27:19.65" personId="{00000000-0000-0000-0000-000000000000}" id="{2D3E3116-40D0-43BF-8245-E14818FD589D}">
    <text xml:space="preserve">Railings are mandatory for tamilnadu and haryana for any module tilt
</text>
  </threadedComment>
  <threadedComment ref="AG35" dT="2025-12-26T06:39:29.09" personId="{00000000-0000-0000-0000-000000000000}" id="{67A5A968-A5CD-4023-A3C8-EE23321B94F9}">
    <text xml:space="preserve">For Tamilnadu use Conventional LA
</text>
  </threadedComment>
  <threadedComment ref="AK35" dT="2025-12-26T06:27:25.83" personId="{00000000-0000-0000-0000-000000000000}" id="{AA960A33-55AB-4D9F-A2B3-8D1D64C5E05C}">
    <text xml:space="preserve">Railings are mandatory for tamilnadu and haryana for any module tilt
</text>
  </threadedComment>
  <threadedComment ref="AG36" dT="2025-12-26T06:39:33.56" personId="{00000000-0000-0000-0000-000000000000}" id="{B14D5312-2BD0-478C-B32F-F49AE6B4727B}">
    <text xml:space="preserve">For Tamilnadu use Conventional LA
</text>
  </threadedComment>
  <threadedComment ref="AK36" dT="2025-12-26T06:27:30.91" personId="{00000000-0000-0000-0000-000000000000}" id="{278D637D-C34C-4E26-BDDB-4576410CB64D}">
    <text xml:space="preserve">Railings are mandatory for tamilnadu and haryana for any module tilt
</text>
  </threadedComment>
  <threadedComment ref="AG37" dT="2025-12-26T06:39:38.10" personId="{00000000-0000-0000-0000-000000000000}" id="{E90323F0-CF15-46A4-8E96-E8DCCD6EF475}">
    <text xml:space="preserve">For Tamilnadu use Conventional LA
</text>
  </threadedComment>
  <threadedComment ref="AK37" dT="2025-12-26T06:27:35.97" personId="{00000000-0000-0000-0000-000000000000}" id="{23609177-8EB2-4F31-88D4-5D268E20B55C}">
    <text xml:space="preserve">Railings are mandatory for tamilnadu and haryana for any module tilt
</text>
  </threadedComment>
  <threadedComment ref="AG38" dT="2025-12-26T06:39:50.13" personId="{00000000-0000-0000-0000-000000000000}" id="{4CEE076D-34CA-4835-998A-CE862FCE68B3}">
    <text xml:space="preserve">For Tamilnadu use Conventional LA
</text>
  </threadedComment>
  <threadedComment ref="AK38" dT="2025-12-26T06:27:46.41" personId="{00000000-0000-0000-0000-000000000000}" id="{C3237F6E-1509-4A5A-B256-38C210AF5A32}">
    <text xml:space="preserve">Railings are mandatory for tamilnadu and haryana for any module tilt
</text>
  </threadedComment>
  <threadedComment ref="AG39" dT="2025-12-26T06:39:54.39" personId="{00000000-0000-0000-0000-000000000000}" id="{14B1ED91-1E9D-4BF5-AD46-6E6A065DEB8F}">
    <text xml:space="preserve">For Tamilnadu use Conventional LA
</text>
  </threadedComment>
  <threadedComment ref="AK39" dT="2025-12-26T06:27:51.20" personId="{00000000-0000-0000-0000-000000000000}" id="{EE12517C-237B-4307-BF39-CBB895A4BCC5}">
    <text xml:space="preserve">Railings are mandatory for tamilnadu and haryana for any module tilt
</text>
  </threadedComment>
  <threadedComment ref="AG40" dT="2025-12-26T06:39:59.27" personId="{00000000-0000-0000-0000-000000000000}" id="{825074D9-828F-40DC-AF93-7BA0594BEB70}">
    <text xml:space="preserve">For Tamilnadu use Conventional LA
</text>
  </threadedComment>
  <threadedComment ref="AK40" dT="2025-12-26T06:27:55.23" personId="{00000000-0000-0000-0000-000000000000}" id="{BB50668A-9C2D-4A16-BB7D-A6A578A6979A}">
    <text xml:space="preserve">Railings are mandatory for tamilnadu and haryana for any module tilt
</text>
  </threadedComment>
  <threadedComment ref="AG41" dT="2025-12-26T06:40:08.55" personId="{00000000-0000-0000-0000-000000000000}" id="{B62BC692-EFB6-4AAA-B46B-44D5827D66D8}">
    <text xml:space="preserve">For Tamilnadu use Conventional LA
</text>
  </threadedComment>
  <threadedComment ref="AK41" dT="2025-12-26T06:28:01.34" personId="{00000000-0000-0000-0000-000000000000}" id="{CA590C99-05CE-4D4A-A79D-F7713201E0CD}">
    <text xml:space="preserve">Railings are mandatory for tamilnadu and haryana for any module tilt
</text>
  </threadedComment>
  <threadedComment ref="AG42" dT="2025-12-26T06:40:46.61" personId="{00000000-0000-0000-0000-000000000000}" id="{A63A4326-30B8-494C-B9B0-F588FAD8455A}">
    <text xml:space="preserve">For Tamilnadu use Conventional LA
</text>
  </threadedComment>
  <threadedComment ref="AK42" dT="2025-12-26T06:28:07.41" personId="{00000000-0000-0000-0000-000000000000}" id="{DBF422A7-A02A-40DF-8672-D3133C1871ED}">
    <text xml:space="preserve">Railings are mandatory for tamilnadu and haryana for any module tilt
</text>
  </threadedComment>
  <threadedComment ref="AG43" dT="2025-12-26T06:40:51.95" personId="{00000000-0000-0000-0000-000000000000}" id="{B487E3E6-90A6-470E-845F-9A1E74143A9D}">
    <text xml:space="preserve">For Tamilnadu use Conventional LA
</text>
  </threadedComment>
  <threadedComment ref="AK43" dT="2025-12-26T06:28:13.67" personId="{00000000-0000-0000-0000-000000000000}" id="{FF09736F-60C2-419A-8B5F-61EBE7D7B9A9}">
    <text xml:space="preserve">Railings are mandatory for tamilnadu and haryana for any module tilt
</text>
  </threadedComment>
  <threadedComment ref="AG44" dT="2025-12-26T06:40:57.06" personId="{00000000-0000-0000-0000-000000000000}" id="{A5301CD1-FA7C-4FDE-B33E-CB854CCF7830}">
    <text xml:space="preserve">For Tamilnadu use Conventional LA
</text>
  </threadedComment>
  <threadedComment ref="AK44" dT="2025-12-26T06:28:18.91" personId="{00000000-0000-0000-0000-000000000000}" id="{8421BBFC-004C-4E51-B756-3525ABF1C483}">
    <text xml:space="preserve">Railings are mandatory for tamilnadu and haryana for any module tilt
</text>
  </threadedComment>
  <threadedComment ref="AG45" dT="2025-12-26T06:41:01.89" personId="{00000000-0000-0000-0000-000000000000}" id="{38F0D9ED-0F7F-4A2A-8AB1-A131BF7FD927}">
    <text xml:space="preserve">For Tamilnadu use Conventional LA
</text>
  </threadedComment>
  <threadedComment ref="AK45" dT="2025-12-26T06:28:23.70" personId="{00000000-0000-0000-0000-000000000000}" id="{9CC19521-AA59-42C2-B83D-97AB79426ACA}">
    <text xml:space="preserve">Railings are mandatory for tamilnadu and haryana for any module tilt
</text>
  </threadedComment>
  <threadedComment ref="AG46" dT="2025-12-26T09:31:02.92" personId="{00000000-0000-0000-0000-000000000000}" id="{0A31CFB0-D812-42E5-81A4-0E506629778A}">
    <text>For Tamilnadu use Conventional LA</text>
  </threadedComment>
  <threadedComment ref="AK46" dT="2025-12-26T06:28:28.80" personId="{00000000-0000-0000-0000-000000000000}" id="{2EA6752B-9F68-42A8-A423-35A19B8DC371}">
    <text xml:space="preserve">Railings are mandatory for tamilnadu and haryana for any module tilt
</text>
  </threadedComment>
  <threadedComment ref="AG47" dT="2025-12-26T09:31:07.83" personId="{00000000-0000-0000-0000-000000000000}" id="{F8EE977A-018B-4825-86EB-F370B64AE1D7}">
    <text>For Tamilnadu use Conventional LA</text>
  </threadedComment>
  <threadedComment ref="AK47" dT="2025-12-26T06:28:34.16" personId="{00000000-0000-0000-0000-000000000000}" id="{C90D5D2F-F9EB-45A1-B277-6DA98F30BF90}">
    <text xml:space="preserve">Railings are mandatory for tamilnadu and haryana for any module tilt
</text>
  </threadedComment>
  <threadedComment ref="AG48" dT="2025-12-26T09:31:12.76" personId="{00000000-0000-0000-0000-000000000000}" id="{928F8469-E976-4532-95D3-1499D87AFEA5}">
    <text>For Tamilnadu use Conventional LA</text>
  </threadedComment>
  <threadedComment ref="AK48" dT="2025-12-26T06:28:39.23" personId="{00000000-0000-0000-0000-000000000000}" id="{708C654E-7B76-47AC-B117-D5426D466ACB}">
    <text xml:space="preserve">Railings are mandatory for tamilnadu and haryana for any module tilt
</text>
  </threadedComment>
  <threadedComment ref="AG49" dT="2025-12-26T09:31:16.90" personId="{00000000-0000-0000-0000-000000000000}" id="{05296876-F848-422F-9CCD-709D4C305D1C}">
    <text>For Tamilnadu use Conventional LA</text>
  </threadedComment>
  <threadedComment ref="AK49" dT="2025-12-26T06:28:43.84" personId="{00000000-0000-0000-0000-000000000000}" id="{C6E6A9D4-0000-42CB-80D3-7C8EC6962522}">
    <text xml:space="preserve">Railings are mandatory for tamilnadu and haryana for any module tilt
</text>
  </threadedComment>
  <threadedComment ref="AG50" dT="2025-12-26T09:31:22.85" personId="{00000000-0000-0000-0000-000000000000}" id="{BEA89CCC-2A0B-4B0A-9F92-D54F05C699C4}">
    <text>For Tamilnadu use Conventional LA</text>
  </threadedComment>
  <threadedComment ref="AK50" dT="2025-12-26T06:28:48.03" personId="{00000000-0000-0000-0000-000000000000}" id="{EBD91E7A-94F2-4A4A-BBEC-42E5CEE494C8}">
    <text xml:space="preserve">Railings are mandatory for tamilnadu and haryana for any module tilt
</text>
  </threadedComment>
  <threadedComment ref="AG51" dT="2025-12-26T09:31:27.75" personId="{00000000-0000-0000-0000-000000000000}" id="{BE51476E-7307-44E2-B83E-E2B99CA4ABBC}">
    <text>For Tamilnadu use Conventional LA</text>
  </threadedComment>
  <threadedComment ref="AK51" dT="2025-12-26T06:28:52.31" personId="{00000000-0000-0000-0000-000000000000}" id="{6BB85D2F-E638-4F14-A6F0-F4FC0D552073}">
    <text xml:space="preserve">Railings are mandatory for tamilnadu and haryana for any module tilt
</text>
  </threadedComment>
  <threadedComment ref="AG52" dT="2025-12-26T09:31:33.25" personId="{00000000-0000-0000-0000-000000000000}" id="{D3B649C9-C8F0-4E1B-BE43-C8070D51B529}">
    <text>For Tamilnadu use Conventional LA</text>
  </threadedComment>
  <threadedComment ref="AK52" dT="2025-12-26T06:28:57.76" personId="{00000000-0000-0000-0000-000000000000}" id="{D4FE4D06-10C8-4531-B6F9-1A1CBC90CBE8}">
    <text xml:space="preserve">Railings are mandatory for tamilnadu and haryana for any module tilt
</text>
  </threadedComment>
  <threadedComment ref="AG53" dT="2025-12-26T09:44:48.07" personId="{00000000-0000-0000-0000-000000000000}" id="{BD5FF8B9-A977-4330-9290-88A92B689317}">
    <text>For Tamilnadu use Conventional LA</text>
  </threadedComment>
  <threadedComment ref="AK53" dT="2025-12-26T06:29:03.72" personId="{00000000-0000-0000-0000-000000000000}" id="{DC10B56A-FA70-478C-9841-84D6F7ECEAE5}">
    <text xml:space="preserve">Railings are mandatory for tamilnadu and haryana for any module tilt
</text>
  </threadedComment>
  <threadedComment ref="AG54" dT="2025-12-26T09:44:53.11" personId="{00000000-0000-0000-0000-000000000000}" id="{C4E3DCC9-D21A-4303-A446-F4F52F9838AD}">
    <text>For Tamilnadu use Conventional LA</text>
  </threadedComment>
  <threadedComment ref="AK54" dT="2025-12-26T06:29:11.84" personId="{00000000-0000-0000-0000-000000000000}" id="{22E5C155-BC8F-445A-B306-BFF303454176}">
    <text xml:space="preserve">Railings are mandatory for tamilnadu and haryana for any module tilt
</text>
  </threadedComment>
</ThreadedComments>
</file>

<file path=xl/threadedComments/threadedComment2.xml><?xml version="1.0" encoding="utf-8"?>
<ThreadedComments xmlns="http://schemas.microsoft.com/office/spreadsheetml/2018/threadedcomments" xmlns:x="http://schemas.openxmlformats.org/spreadsheetml/2006/main">
  <threadedComment ref="A31" dT="2025-08-12T09:58:54.17" personId="{00000000-0000-0000-0000-000000000000}" id="{3DEDEAA6-EC40-468E-B903-EE80D571B23B}">
    <text xml:space="preserve">It will convert sunlight into electricity </text>
  </threadedComment>
  <threadedComment ref="A34" dT="2025-08-12T09:59:53.39" personId="{00000000-0000-0000-0000-000000000000}" id="{3FDAE8F5-D8FC-45CA-BAD6-C84410B23F46}">
    <text xml:space="preserve">It will convert the direct current (DC) electricity generated by solar panels into alternating current (AC) electricity </text>
  </threadedComment>
  <threadedComment ref="A35" dT="2025-08-12T09:59:59.38" personId="{00000000-0000-0000-0000-000000000000}" id="{67141248-0FEA-4E95-9479-DA003C3626F6}">
    <text xml:space="preserve">It will convert the direct current (DC) electricity generated by solar panels into alternating current (AC) electricity </text>
  </threadedComment>
  <threadedComment ref="A36" dT="2025-08-12T10:00:04.48" personId="{00000000-0000-0000-0000-000000000000}" id="{2204DBD1-2AAD-4FE0-93BE-6B8310B0335C}">
    <text xml:space="preserve">It will convert the direct current (DC) electricity generated by solar panels into alternating current (AC) electricity </text>
  </threadedComment>
  <threadedComment ref="A37" dT="2025-08-12T10:00:11.20" personId="{00000000-0000-0000-0000-000000000000}" id="{1D4AE063-553A-46A0-9CD7-251EFC37DD93}">
    <text xml:space="preserve">It will convert the direct current (DC) electricity generated by solar panels into alternating current (AC) electricity </text>
  </threadedComment>
  <threadedComment ref="A38" dT="2025-08-12T10:00:16.65" personId="{00000000-0000-0000-0000-000000000000}" id="{56324FED-E9A1-48AF-A521-BBDFB6520DBA}">
    <text xml:space="preserve">It will convert the direct current (DC) electricity generated by solar panels into alternating current (AC) electricity </text>
  </threadedComment>
  <threadedComment ref="A39" dT="2025-08-12T10:00:21.18" personId="{00000000-0000-0000-0000-000000000000}" id="{58BCF397-6C74-46D6-8347-1AB030ACADC2}">
    <text xml:space="preserve">It will convert the direct current (DC) electricity generated by solar panels into alternating current (AC) electricity </text>
  </threadedComment>
  <threadedComment ref="A40" dT="2025-08-12T10:00:25.77" personId="{00000000-0000-0000-0000-000000000000}" id="{22E4D226-1CB4-404E-B24B-ED4741A3172C}">
    <text xml:space="preserve">It will convert the direct current (DC) electricity generated by solar panels into alternating current (AC) electricity </text>
  </threadedComment>
  <threadedComment ref="A41" dT="2025-08-12T10:00:31.46" personId="{00000000-0000-0000-0000-000000000000}" id="{F0E570BD-EC9D-4E67-B231-946885FEF512}">
    <text xml:space="preserve">It will convert the direct current (DC) electricity generated by solar panels into alternating current (AC) electricity </text>
  </threadedComment>
  <threadedComment ref="A42" dT="2025-08-12T10:00:41.06" personId="{00000000-0000-0000-0000-000000000000}" id="{976DD6F5-280E-4990-91A0-6D97CE83E3C1}">
    <text xml:space="preserve">It will convert the direct current (DC) electricity generated by solar panels into alternating current (AC) electricity </text>
  </threadedComment>
  <threadedComment ref="A43" dT="2025-08-12T10:00:47.34" personId="{00000000-0000-0000-0000-000000000000}" id="{F85C2504-ABE1-4447-828A-738D90D83AD2}">
    <text xml:space="preserve">It will convert the direct current (DC) electricity generated by solar panels into alternating current (AC) electricity </text>
  </threadedComment>
  <threadedComment ref="A44" dT="2025-08-12T10:01:59.78" personId="{00000000-0000-0000-0000-000000000000}" id="{C73A9553-EE68-46E8-BE8F-944B422FD4BB}">
    <text>Warranty extended to 10 years</text>
  </threadedComment>
  <threadedComment ref="A47" dT="2025-08-12T10:02:26.77" personId="{00000000-0000-0000-0000-000000000000}" id="{7681D097-7041-4158-BB06-763A8E71AF52}">
    <text>MMS is securely supporting and positioning solar panels, ensuring they capture the maximum amount of sunlight for optimal energy generation</text>
  </threadedComment>
  <threadedComment ref="A48" dT="2025-08-12T10:02:51.40" personId="{00000000-0000-0000-0000-000000000000}" id="{62CF1AE8-291C-47E2-8064-79ED234AA611}">
    <text xml:space="preserve">MMS is securely supporting and positioning solar panels, ensuring they capture the maximum amount of sunlight for optimal energy generation </text>
  </threadedComment>
  <threadedComment ref="A49" dT="2025-08-12T10:03:10.25" personId="{00000000-0000-0000-0000-000000000000}" id="{C6DAEBA6-2572-4531-A237-191F950713A8}">
    <text xml:space="preserve">End clamps secure the ends of the solar panel array to the mounting rails, preventing them from sliding or shifting. Mid clamps, on the other hand, are used to secure adjacent panels to each other along the mounting rails, maintaining proper spacing and stability.  </text>
  </threadedComment>
  <threadedComment ref="A50" dT="2025-08-12T10:03:35.98" personId="{00000000-0000-0000-0000-000000000000}" id="{E60C9FCA-ACEE-4C98-9869-AE9D5A821AB1}">
    <text>MMS is securely supporting and positioning solar panels, ensuring they capture the maximum amount of sunlight for optimal energy generation</text>
  </threadedComment>
  <threadedComment ref="A51" dT="2025-08-12T10:08:47.17" personId="{00000000-0000-0000-0000-000000000000}" id="{01D81352-77EA-4B4B-8AB2-ED505FD63787}">
    <text xml:space="preserve">RCC mounted solar structures, also known as RCC roof mounts, are mounting systems that use reinforced cement concrete to securely support solar panels on rooftops. They are a popular choice for installations on buildings with flat RCC roofs, especially in commercial and industrial settings </text>
  </threadedComment>
  <threadedComment ref="A52" dT="2025-08-12T10:09:43.32" personId="{00000000-0000-0000-0000-000000000000}" id="{7291221C-89C1-42DF-A271-A1CF8DDD9248}">
    <text xml:space="preserve">RCC raised mounted solar structures are a type of elevated solar panel installation, where the solar panels are mounted on a Reinforced Cement Concrete structure built above a flat RCC roof. </text>
  </threadedComment>
  <threadedComment ref="A53" dT="2025-08-12T10:09:49.46" personId="{00000000-0000-0000-0000-000000000000}" id="{F4D12F2B-FEB1-4963-ADFE-65FE366E1393}">
    <text xml:space="preserve">RCC raised mounted solar structures are a type of elevated solar panel installation, where the solar panels are mounted on a Reinforced Cement Concrete structure built above a flat RCC roof. </text>
  </threadedComment>
  <threadedComment ref="A54" dT="2025-08-12T10:07:47.75" personId="{00000000-0000-0000-0000-000000000000}" id="{D7FFE3A5-B02C-463E-8CC4-9BC8839D8519}">
    <text xml:space="preserve">Ground-mounted solar structures are frameworks that hold solar panels securely on the ground, in contrast to rooftop or carport installations. These structures are crucial for ground-based solar installations, ensuring stability and optimal positioning for maximizing sunlight exposure. They are a popular choice for both residential and commercial projects, especially for those with large plots of land or challenging roof spaces </text>
  </threadedComment>
  <threadedComment ref="A55" dT="2025-08-12T10:05:54.33" personId="{00000000-0000-0000-0000-000000000000}" id="{854046ED-DCC6-4B98-A37F-B07791D7F9E3}">
    <text xml:space="preserve">Solar car parking structures, also known as solar carports, are innovative solutions that integrate solar panels into the design of car parking facilities, providing shade and generating clean electricity. These structures offer a wide array of benefits, both environmental and financial </text>
  </threadedComment>
  <threadedComment ref="A56" dT="2026-01-22T09:57:43.25" personId="{00000000-0000-0000-0000-000000000000}" id="{65F78B85-790B-4DDA-BF28-6C6FB5C0221D}">
    <text xml:space="preserve">Solar car parking structures, also known as solar carports, are innovative solutions that integrate solar panels into the design of car parking facilities, providing shade and generating clean electricity. These structures offer a wide array of benefits, both environmental and financial </text>
  </threadedComment>
  <threadedComment ref="A57" dT="2025-08-12T10:10:42.12" personId="{00000000-0000-0000-0000-000000000000}" id="{4CA3B31B-620A-4647-852D-4C2D8E96F1CF}">
    <text xml:space="preserve">Floating mounted solar structures, also known as floating photovoltaic (FPV) systems or floatovoltaics, represent an innovative approach to solar energy generation, deploying solar panels on the surface of water bodies such as lakes, reservoirs, and industrial ponds. This technology offers a compelling solution, especially in areas where land availability is scarce or expensive, combining energy production with water management benefits. </text>
  </threadedComment>
  <threadedComment ref="A58" dT="2025-08-12T10:12:17.44" personId="{00000000-0000-0000-0000-000000000000}" id="{35F5386A-DC08-48D0-B817-966BD1991443}">
    <text xml:space="preserve">Beyond the solar panels themselves, a crucial element of any solar power system is the hardware that secures and supports the panels. This "hardware," often referred to as the Module Mounting Structure (MMS) or racking system, comprises various components designed to ensure the stability, longevity, and optimal performance of the solar array.  </text>
  </threadedComment>
  <threadedComment ref="A61" dT="2025-08-12T10:13:25.68" personId="{00000000-0000-0000-0000-000000000000}" id="{3E3A563F-C7AB-4BF3-A351-617BFB315654}">
    <text xml:space="preserve">In solar photovoltaic (PV) systems, the Direct Current Distribution Box (DCDB) plays a crucial role in safely managing and distributing the DC power generated by the solar panels to the inverter. A key aspect of a well-designed DCDB is the inclusion of essential safety components like fuses and a Surge Protection Device (SPD). These elements work in tandem to protect the system from potential damage and ensure safe operation </text>
  </threadedComment>
  <threadedComment ref="A62" dT="2026-01-22T09:57:25.51" personId="{00000000-0000-0000-0000-000000000000}" id="{5F56B94F-BDD8-4A4F-9B7E-1BEE90D7943E}">
    <text xml:space="preserve">An ACDB with Breaker &amp; SPD is an Alternating Current Distribution Box, a safety enclosure for solar or grid power, containing Miniature Circuit Breakers (MCBs) to protect against overloads and Surge Protection Devices (SPDs) to divert excess voltage from lightning or grid issues, ensuring safe power flow from the inverter to your home's electrical system </text>
  </threadedComment>
  <threadedComment ref="A63" dT="2025-08-12T10:14:27.66" personId="{00000000-0000-0000-0000-000000000000}" id="{5FD7690C-DFC7-4B2A-AB8C-17464DEB048D}">
    <text xml:space="preserve">Optimizers utilize Maximum Power Point Tracking (MPPT) technology at the individual panel level. This means they constantly monitor the voltage and current of each panel, adjusting its electrical characteristics to ensure it operates at its peak power output, regardless of the performance of other panels in the array. </text>
  </threadedComment>
  <threadedComment ref="A64" dT="2025-08-12T10:17:15.50" personId="{00000000-0000-0000-0000-000000000000}" id="{35B2617D-9A04-4D70-B119-E0946AFBABB5}">
    <text xml:space="preserve">DC (Direct Current) fuses are specialized safety devices designed to protect solar photovoltaic (PV) systems, and other DC electrical circuits from damage caused by over currents and short circuits. These fuses are crucial for ensuring the safety and longevity of solar installations. </text>
  </threadedComment>
  <threadedComment ref="A65" dT="2025-08-12T10:18:15.64" personId="{00000000-0000-0000-0000-000000000000}" id="{31628424-3A30-442C-A963-A9377BCFB291}">
    <text>Used for convert the cu. Cable into Al cable without a breaker</text>
  </threadedComment>
  <threadedComment ref="A68" dT="2025-08-12T10:35:47.45" personId="{00000000-0000-0000-0000-000000000000}" id="{37EA6A96-204F-4FF3-BC0E-9C791F8BF0BE}">
    <text xml:space="preserve">"spare feeder extension" within an AC Distribution Box (ACDB) refers to the provision of extra space, terminals, and potentially even pre-installed but unutilized circuit breakers or switches within the ACDB, allowing for the future expansion or modification of the AC power distribution system.  </text>
  </threadedComment>
  <threadedComment ref="A69" dT="2025-08-12T10:36:17.25" personId="{00000000-0000-0000-0000-000000000000}" id="{F74B865B-9F04-4D25-9431-995810EA10D3}">
    <text>To combine the multiple inverters input into single out ( all the input &amp; out having dedicated breakers)</text>
  </threadedComment>
  <threadedComment ref="A70" dT="2025-08-12T10:38:14.87" personId="{00000000-0000-0000-0000-000000000000}" id="{DC94F34C-75D6-4D58-9E39-0DEAC8387AE0}">
    <text xml:space="preserve">An UVR is a safety device designed to trip a circuit breaker automatically when the voltage in the circuit drops below a predetermined safe level. This is critical for protecting equipment from damage that can occur due to low voltage conditions. </text>
  </threadedComment>
  <threadedComment ref="A71" dT="2026-01-22T10:00:55.13" personId="{00000000-0000-0000-0000-000000000000}" id="{C50CB0DC-095A-4C7F-ACF3-0416989E4DEB}">
    <text>A contactor panel is an electrical control box housing heavy-duty, electrically operated switches (contactors) that safely control solar ACCB Panel</text>
  </threadedComment>
  <threadedComment ref="A72" dT="2025-08-12T10:40:33.33" personId="{00000000-0000-0000-0000-000000000000}" id="{C8613979-DFD9-486E-8F1F-D87AE2E5CE81}">
    <text xml:space="preserve">An isolation panel essentially houses one or more isolator switches, which are manually operated mechanical switches designed to create a visible break in an electrical circuit, ensuring that no power passes through it. This physical separation is vital for protecting individuals and equipment during work on the system. </text>
  </threadedComment>
  <threadedComment ref="A75" dT="2025-08-12T10:41:00.97" personId="{00000000-0000-0000-0000-000000000000}" id="{69915C89-879B-453B-AC2A-79C7756E8045}">
    <text>Transmit direct current (DC) electricity within a solar power system, specifically connecting solar panels to Inverters</text>
  </threadedComment>
  <threadedComment ref="A76" dT="2025-08-12T10:41:07.24" personId="{00000000-0000-0000-0000-000000000000}" id="{B897670C-2F29-4544-B2FB-570B1B9E2B18}">
    <text>Transmit direct current (DC) electricity within a solar power system, specifically connecting solar panels to Inverters</text>
  </threadedComment>
  <threadedComment ref="A79" dT="2025-08-12T10:44:07.61" personId="{00000000-0000-0000-0000-000000000000}" id="{E7BE89CE-ED58-44EE-9713-E62642B40FDD}">
    <text>Cable used for inverter to ACJB box. We can’t use AL cable to the small inverters so we are using cu. Cable for short distance then it will convert into AL cable.</text>
  </threadedComment>
  <threadedComment ref="A80" dT="2025-08-12T10:44:12.90" personId="{00000000-0000-0000-0000-000000000000}" id="{E2C0AF5B-B842-401D-BB8A-BCFB851D7E52}">
    <text>Cable used for inverter to ACJB box. We can’t use AL cable to the small inverters so we are using cu. Cable for short distance then it will convert into AL cable.</text>
  </threadedComment>
  <threadedComment ref="A83" dT="2025-08-12T10:46:24.21" personId="{00000000-0000-0000-0000-000000000000}" id="{90E34BB8-0DE7-49C7-8CC1-E4C6C8978D11}">
    <text>Cable used from Inverter to ACCB Panel it having insulation material is XLPE</text>
  </threadedComment>
  <threadedComment ref="A84" dT="2025-08-12T10:46:33.00" personId="{00000000-0000-0000-0000-000000000000}" id="{0535D744-9F3D-45A2-901B-7DC104D3D058}">
    <text>Cable used from Inverter to ACCB Panel it having insulation material is XLPE</text>
  </threadedComment>
  <threadedComment ref="A85" dT="2025-08-12T10:46:36.76" personId="{00000000-0000-0000-0000-000000000000}" id="{3E5D7022-3737-4981-BAFD-912207D7AE07}">
    <text>Cable used from Inverter to ACCB Panel it having insulation material is XLPE</text>
  </threadedComment>
  <threadedComment ref="A86" dT="2025-08-12T10:46:40.96" personId="{00000000-0000-0000-0000-000000000000}" id="{3CA45C2D-76CA-4E67-BF12-539E6D803AE7}">
    <text>Cable used from Inverter to ACCB Panel it having insulation material is XLPE</text>
  </threadedComment>
  <threadedComment ref="A87" dT="2025-08-12T10:46:45.08" personId="{00000000-0000-0000-0000-000000000000}" id="{DE102F09-3DA0-4A39-A8E3-AE0224F11F79}">
    <text>Cable used from Inverter to ACCB Panel it having insulation material is XLPE</text>
  </threadedComment>
  <threadedComment ref="A88" dT="2025-08-12T10:46:48.64" personId="{00000000-0000-0000-0000-000000000000}" id="{D140ADA6-CDDB-4F71-80C2-8431E134453C}">
    <text>Cable used from Inverter to ACCB Panel it having insulation material is XLPE</text>
  </threadedComment>
  <threadedComment ref="A89" dT="2025-08-12T10:46:53.20" personId="{00000000-0000-0000-0000-000000000000}" id="{8458DD98-6B74-4A22-B761-D435B307A0DE}">
    <text>Cable used from Inverter to ACCB Panel it having insulation material is XLPE</text>
  </threadedComment>
  <threadedComment ref="A90" dT="2025-08-12T10:46:57.94" personId="{00000000-0000-0000-0000-000000000000}" id="{A3A7A863-0482-4268-A585-CC0A632D90E7}">
    <text>Cable used from Inverter to ACCB Panel it having insulation material is XLPE</text>
  </threadedComment>
  <threadedComment ref="A91" dT="2025-08-12T10:47:02.49" personId="{00000000-0000-0000-0000-000000000000}" id="{02464A8C-EC35-4592-8F5A-00BEF8C661A2}">
    <text>Cable used from Inverter to ACCB Panel it having insulation material is XLPE</text>
  </threadedComment>
  <threadedComment ref="A92" dT="2025-08-12T10:47:06.18" personId="{00000000-0000-0000-0000-000000000000}" id="{9B8E3345-5509-4A4A-93D5-A597ECB42F5E}">
    <text>Cable used from Inverter to ACCB Panel it having insulation material is XLPE</text>
  </threadedComment>
  <threadedComment ref="A93" dT="2025-08-12T10:47:11.30" personId="{00000000-0000-0000-0000-000000000000}" id="{B71E93F9-4F8B-4907-ADC5-053050350796}">
    <text>Cable used from Inverter to ACCB Panel it having insulation material is XLPE</text>
  </threadedComment>
  <threadedComment ref="A96" dT="2025-08-12T10:48:26.44" personId="{00000000-0000-0000-0000-000000000000}" id="{CC960461-73C3-4E64-81EF-0BF0BF4E9973}">
    <text>Cable used for Solar ACCB Panel to Client termination cable having XLPE protection.</text>
  </threadedComment>
  <threadedComment ref="A97" dT="2025-08-12T10:48:30.53" personId="{00000000-0000-0000-0000-000000000000}" id="{693E1961-872D-405F-91B3-2FA0E01AB7E7}">
    <text>Cable used for Solar ACCB Panel to Client termination cable having XLPE protection.</text>
  </threadedComment>
  <threadedComment ref="A98" dT="2025-08-12T10:48:41.34" personId="{00000000-0000-0000-0000-000000000000}" id="{D0569A18-F6E2-4DB7-AF5B-F4EEA8BF1992}">
    <text>Cable used for Solar ACCB Panel to Client termination cable having XLPE protection.</text>
  </threadedComment>
  <threadedComment ref="A99" dT="2025-08-12T10:48:49.33" personId="{00000000-0000-0000-0000-000000000000}" id="{5169D907-14B2-4910-959A-AC2ADDA11191}">
    <text>Cable used for Solar ACCB Panel to Client termination cable having XLPE protection.</text>
  </threadedComment>
  <threadedComment ref="A100" dT="2025-08-12T10:48:53.58" personId="{00000000-0000-0000-0000-000000000000}" id="{9EE03152-02B7-410D-AB39-1B5FD72C224F}">
    <text>Cable used for Solar ACCB Panel to Client termination cable having XLPE protection.</text>
  </threadedComment>
  <threadedComment ref="A101" dT="2025-08-12T10:49:09.82" personId="{00000000-0000-0000-0000-000000000000}" id="{2924A1AE-88EB-4EE7-85CC-5C0B7E3819EA}">
    <text>Cable used for Solar ACCB Panel to Client termination cable having XLPE protection.</text>
  </threadedComment>
  <threadedComment ref="A102" dT="2025-08-12T10:49:14.04" personId="{00000000-0000-0000-0000-000000000000}" id="{B90653A0-2BA2-4C26-AD6C-414CF4C8BEF5}">
    <text>Cable used for Solar ACCB Panel to Client termination cable having XLPE protection.</text>
  </threadedComment>
  <threadedComment ref="A103" dT="2025-08-12T10:49:18.13" personId="{00000000-0000-0000-0000-000000000000}" id="{B0D62563-E5D1-4A64-90CD-84B1A3A4B212}">
    <text>Cable used for Solar ACCB Panel to Client termination cable having XLPE protection.</text>
  </threadedComment>
  <threadedComment ref="A104" dT="2025-08-12T10:49:22.15" personId="{00000000-0000-0000-0000-000000000000}" id="{DA9C7FA7-689E-4736-8D62-A82FA5E7D058}">
    <text>Cable used for Solar ACCB Panel to Client termination cable having XLPE protection.</text>
  </threadedComment>
  <threadedComment ref="A105" dT="2025-08-12T10:49:25.67" personId="{00000000-0000-0000-0000-000000000000}" id="{ECEBDA59-A8BA-4F9E-A9B1-6AA2367FBE20}">
    <text>Cable used for Solar ACCB Panel to Client termination cable having XLPE protection.</text>
  </threadedComment>
  <threadedComment ref="A106" dT="2025-08-12T10:49:29.43" personId="{00000000-0000-0000-0000-000000000000}" id="{64BF4606-A75A-4085-B59B-125179543450}">
    <text>Cable used for Solar ACCB Panel to Client termination cable having XLPE protection.</text>
  </threadedComment>
  <threadedComment ref="A109" dT="2025-08-12T10:50:47.43" personId="{00000000-0000-0000-0000-000000000000}" id="{06A2DCFE-20D2-460B-9C46-4CDC1AE2E797}">
    <text xml:space="preserve">Module frame earthing, also known as array earthing or grounding, is a critical safety and performance measure in solar PV systems. It involves securely connecting the metallic frames of the solar panels and their mounting structures to the overall earthing system of the solar installation. 
</text>
  </threadedComment>
  <threadedComment ref="A110" dT="2025-08-12T10:52:33.44" personId="{00000000-0000-0000-0000-000000000000}" id="{AE00ED10-6725-4831-889D-68413FFF0FC5}">
    <text xml:space="preserve">Ensuring the inverter is properly earthed or grounded is paramount for safety and system protection. The inverter earthing cable is the dedicated conductor that connects the metallic chassis of the inverter to the main earthing system of the installation. </text>
  </threadedComment>
  <threadedComment ref="A111" dT="2025-08-12T10:52:36.96" personId="{00000000-0000-0000-0000-000000000000}" id="{38A35F67-969A-4C90-9649-74E59247CA9E}">
    <text xml:space="preserve">Ensuring the inverter is properly earthed or grounded is paramount for safety and system protection. The inverter earthing cable is the dedicated conductor that connects the metallic chassis of the inverter to the main earthing system of the installation. </text>
  </threadedComment>
  <threadedComment ref="A112" dT="2025-08-12T10:52:40.48" personId="{00000000-0000-0000-0000-000000000000}" id="{792203E3-0DD4-4680-A493-23FEB59C78C1}">
    <text xml:space="preserve">Ensuring the inverter is properly earthed or grounded is paramount for safety and system protection. The inverter earthing cable is the dedicated conductor that connects the metallic chassis of the inverter to the main earthing system of the installation. </text>
  </threadedComment>
  <threadedComment ref="A113" dT="2025-08-12T10:52:53.02" personId="{00000000-0000-0000-0000-000000000000}" id="{70ED7E53-5B21-4923-A08F-144AB4A9BB05}">
    <text xml:space="preserve">Ensuring the inverter is properly earthed or grounded is paramount for safety and system protection. The inverter earthing cable is the dedicated conductor that connects the metallic chassis of the inverter to the main earthing system of the installation. </text>
  </threadedComment>
  <threadedComment ref="A114" dT="2025-08-12T10:52:58.37" personId="{00000000-0000-0000-0000-000000000000}" id="{31BBF793-78DA-4B24-BF38-2D93A81C148B}">
    <text xml:space="preserve">Ensuring the inverter is properly earthed or grounded is paramount for safety and system protection. The inverter earthing cable is the dedicated conductor that connects the metallic chassis of the inverter to the main earthing system of the installation. </text>
  </threadedComment>
  <threadedComment ref="A115" dT="2025-08-12T10:53:58.25" personId="{00000000-0000-0000-0000-000000000000}" id="{15A525BD-0061-45B2-9C1A-4AFA609F98BB}">
    <text>Cable used for DGPD &amp; ZFD control and power supply.</text>
  </threadedComment>
  <threadedComment ref="A116" dT="2025-08-12T10:54:37.61" personId="{00000000-0000-0000-0000-000000000000}" id="{3F8724EF-6354-4320-B38C-5E40B76917DF}">
    <text>Used for power supply to the water pump single phase supply</text>
  </threadedComment>
  <threadedComment ref="A117" dT="2025-08-12T10:54:54.94" personId="{00000000-0000-0000-0000-000000000000}" id="{5142F52B-EFAA-4557-AAFA-71E7927387B3}">
    <text>Used for power supply to the water pump for three phase supply</text>
  </threadedComment>
  <threadedComment ref="A118" dT="2025-08-12T10:55:56.67" personId="{00000000-0000-0000-0000-000000000000}" id="{DBFD6E7F-6AA1-4FEE-81DC-47DF5D613620}">
    <text>Used for take a communication signal from inverter to RMS device</text>
  </threadedComment>
  <threadedComment ref="A119" dT="2025-08-12T10:56:11.34" personId="{00000000-0000-0000-0000-000000000000}" id="{7502BC86-D7D7-4B79-8BAC-526FAEFCC752}">
    <text>Used for take a communication signal from inverter to RMS device</text>
  </threadedComment>
  <threadedComment ref="A120" dT="2025-08-12T10:56:47.45" personId="{00000000-0000-0000-0000-000000000000}" id="{6889EB8C-D3F8-41F2-B1DF-FE10A3C3A9F9}">
    <text>Used for Periphery lighting system power supply cable.</text>
  </threadedComment>
  <threadedComment ref="A123" dT="2025-08-12T10:57:16.50" personId="{00000000-0000-0000-0000-000000000000}" id="{333DEEAC-8AA9-4116-8027-E4A1C76D331D}">
    <text xml:space="preserve">Early Streamer Emission (ESE) lightning arresters represent an advanced form of lightning protection system that aims to proactively intercept lightning strikes before they can reach a protected structure  &amp;  This ionization process creates a path of highly conductive, ionized air, which functions as an "early streamer" that extends upward from the ESE arrester towards the downward leader of an approaching lightning strike. 
</text>
  </threadedComment>
  <threadedComment ref="A124" dT="2025-08-12T10:57:36.42" personId="{00000000-0000-0000-0000-000000000000}" id="{E60CD07C-D777-40B0-906C-DAC6A41A60C1}">
    <text xml:space="preserve">In the context of lightning protection, an "Air Terminal," also commonly known as a lightning rod, is the initial point of contact for a lightning strike within an external lightning protection system. It is designed to intercept lightning strikes before they can directly hit and potentially damage a structure, such as a building or a solar installation.  
</text>
  </threadedComment>
  <threadedComment ref="A125" dT="2025-08-12T10:58:06.09" personId="{00000000-0000-0000-0000-000000000000}" id="{563C1D3E-E6BF-49AF-A029-8138B46ADB5A}">
    <text>Utilizing a 3-meter GI (Galvanized Iron) chemical earthing electrode is a common and effective practice for grounding solar panel installations, particularly rooftop systems &amp; ground mounted</text>
  </threadedComment>
  <threadedComment ref="A126" dT="2025-08-12T10:58:34.42" personId="{00000000-0000-0000-0000-000000000000}" id="{3534EEF9-82B2-4842-B285-DFB6E32C9C09}">
    <text xml:space="preserve">It's designed to protect the earthing connection, facilitate maintenance and testing, and ensure the overall safety and integrity of the electrical installation </text>
  </threadedComment>
  <threadedComment ref="A127" dT="2025-08-12T10:58:57.12" personId="{00000000-0000-0000-0000-000000000000}" id="{264413A6-36DB-4E78-8E45-10EA49B706F9}">
    <text>Bentonite powder, commonly packaged in 25 kg bags, is a highly effective and widely used backfill material in earthing or grounding systems, especially in areas with high soil resistivity. Its unique properties make it an ideal choice for enhancing the conductivity of the surrounding soil, ensuring a low-resistance path for fault currents and voltage surges to safely dissipate into the ground</text>
  </threadedComment>
  <threadedComment ref="A128" dT="2025-08-12T10:59:18.02" personId="{00000000-0000-0000-0000-000000000000}" id="{FCA87E1B-A525-4DFA-A593-77B3257A785E}">
    <text xml:space="preserve">GI (Galvanized Iron) earthing strips are flat conductors used in earthing or grounding systems. They are made from steel strips that have been hot-dip galvanized, meaning they are coated with a layer of zinc. This zinc coating provides corrosion resistance, making the strips more durable and suitable for use in various environments, including outdoor installations and burial underground 
</text>
  </threadedComment>
  <threadedComment ref="A129" dT="2025-08-12T10:59:22.45" personId="{00000000-0000-0000-0000-000000000000}" id="{FD953484-FDCF-4F97-ADD6-98D571AD5FE6}">
    <text xml:space="preserve">GI (Galvanized Iron) earthing strips are flat conductors used in earthing or grounding systems. They are made from steel strips that have been hot-dip galvanized, meaning they are coated with a layer of zinc. This zinc coating provides corrosion resistance, making the strips more durable and suitable for use in various environments, including outdoor installations and burial underground 
</text>
  </threadedComment>
  <threadedComment ref="A130" dT="2025-08-12T10:59:30.28" personId="{00000000-0000-0000-0000-000000000000}" id="{2452F541-CD30-4673-B9A6-57EB9D8A9A2A}">
    <text xml:space="preserve">GI (Galvanized Iron) earthing strips are flat conductors used in earthing or grounding systems. They are made from steel strips that have been hot-dip galvanized, meaning they are coated with a layer of zinc. This zinc coating provides corrosion resistance, making the strips more durable and suitable for use in various environments, including outdoor installations and burial underground 
</text>
  </threadedComment>
  <threadedComment ref="A131" dT="2025-08-12T10:59:34.48" personId="{00000000-0000-0000-0000-000000000000}" id="{E53EE02F-D2AF-4452-AFC2-7374621E6839}">
    <text xml:space="preserve">GI (Galvanized Iron) earthing strips are flat conductors used in earthing or grounding systems. They are made from steel strips that have been hot-dip galvanized, meaning they are coated with a layer of zinc. This zinc coating provides corrosion resistance, making the strips more durable and suitable for use in various environments, including outdoor installations and burial underground 
</text>
  </threadedComment>
  <threadedComment ref="A134" dT="2025-08-12T11:00:05.48" personId="{00000000-0000-0000-0000-000000000000}" id="{E30AFE90-7A6D-4B61-AB41-B2F9835D7BE3}">
    <text xml:space="preserve">Walkways in solar power plants enhance safety by providing stable paths for workers, reducing accident risks </text>
  </threadedComment>
  <threadedComment ref="A135" dT="2025-08-12T11:00:24.97" personId="{00000000-0000-0000-0000-000000000000}" id="{88A5E21F-42EF-4BC0-8BE6-61AB02CC77C5}">
    <text xml:space="preserve">Safety: Step walkways, especially with an inclination and non-slip surfaces, minimize the risk of slips, trips, and falls for workers accessing solar panels on sloped roofs </text>
  </threadedComment>
  <threadedComment ref="A136" dT="2025-08-12T11:00:42.66" personId="{00000000-0000-0000-0000-000000000000}" id="{747A4832-CE59-4F22-AA7D-60ACC224B71B}">
    <text xml:space="preserve">A 0-degree walkway provides a level surface for technicians to safely walk across a solar installation, reducing the risk of slips, trips, and falls associated with uneven terrain or sloped surfaces. </text>
  </threadedComment>
  <threadedComment ref="A139" dT="2025-08-12T11:01:35.77" personId="{00000000-0000-0000-0000-000000000000}" id="{1A7B931F-F0B2-4CD4-BBF2-657C0BD06E09}">
    <text>DC cable trays are structural elements used to support, organize, and protect the DC (direct current) cables that connect solar panels to inverters</text>
  </threadedComment>
  <threadedComment ref="A143" dT="2025-08-12T11:01:55.31" personId="{00000000-0000-0000-0000-000000000000}" id="{3A49D7C6-A4D1-4AB5-898F-0DCC52E2DD95}">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44" dT="2025-08-12T11:02:01.13" personId="{00000000-0000-0000-0000-000000000000}" id="{4724941C-96E7-44BB-AFA4-CA830F37B342}">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45" dT="2025-08-12T11:02:07.53" personId="{00000000-0000-0000-0000-000000000000}" id="{EBBC7A36-3E3C-42FC-95E4-A034F550675B}">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46" dT="2025-08-12T11:02:13.64" personId="{00000000-0000-0000-0000-000000000000}" id="{4E5FE8F4-8C02-42F3-ABD7-CABF041A418A}">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47" dT="2025-08-12T11:02:20.33" personId="{00000000-0000-0000-0000-000000000000}" id="{818DDD78-7C53-4EE4-BF1D-98FC2542F3A9}">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48" dT="2025-08-12T11:02:33.18" personId="{00000000-0000-0000-0000-000000000000}" id="{DC4AEF63-1C4B-48B6-80B2-7BAE67106A6B}">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49" dT="2025-08-12T11:02:39.77" personId="{00000000-0000-0000-0000-000000000000}" id="{B4EECDD7-1420-4247-936F-56A0953F5977}">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52" dT="2025-08-12T11:02:45.85" personId="{00000000-0000-0000-0000-000000000000}" id="{9DA3616A-D1BB-4182-8554-C5F5CCD372C4}">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53" dT="2025-08-12T11:02:51.09" personId="{00000000-0000-0000-0000-000000000000}" id="{0516A87E-AD22-4F35-8BC3-0ADE3429CFA0}">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54" dT="2025-08-12T11:02:56.49" personId="{00000000-0000-0000-0000-000000000000}" id="{24E6E15F-30A6-4EEF-B129-4D317FC3DFF2}">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55" dT="2025-08-12T11:03:03.32" personId="{00000000-0000-0000-0000-000000000000}" id="{E26B2E4A-2AFA-4F5F-806F-E35A4FD3B7DA}">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56" dT="2025-08-12T11:03:08.20" personId="{00000000-0000-0000-0000-000000000000}" id="{AB567019-35C9-47A9-BB54-4993FF2820D5}">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57" dT="2025-08-12T11:03:13.01" personId="{00000000-0000-0000-0000-000000000000}" id="{8DE1AF78-BA14-4870-AE1B-1A2647A75B12}">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58" dT="2025-08-12T11:03:19.97" personId="{00000000-0000-0000-0000-000000000000}" id="{23E9E86A-A111-45B5-A623-D10AD10ED916}">
    <text xml:space="preserve">AC cable trays are a vital part of managing the alternating current (AC) wiring generated by inverters in a solar power system.  AC cable trays facilitate the safe and organized routing of these AC cables, offering numerous benefits </text>
  </threadedComment>
  <threadedComment ref="A161" dT="2025-08-12T11:03:43.40" personId="{00000000-0000-0000-0000-000000000000}" id="{064CBF46-84B8-44FD-82F4-699268487FAE}">
    <text xml:space="preserve">"Monkey ladder" is a term commonly used to refer to a type of ladder designed for accessing challenging or elevated areas, and it finds the solar power plants </text>
  </threadedComment>
  <threadedComment ref="A162" dT="2025-08-12T11:03:58.73" personId="{00000000-0000-0000-0000-000000000000}" id="{13C5C99D-7730-4C2D-9A4D-BB0DA7701EAA}">
    <text xml:space="preserve">Staircase-step ladders, specifically designed for rooftop access in solar installations and other industries, are a form of fixed ladder with treads or steps rather than rungs, providing a more comfortable and secure climbing experience compared to traditional vertical ladders. They are an essential part of a comprehensive safety system for rooftop work, particularly for accessing PV panels for maintenance and inspection. 
</text>
  </threadedComment>
  <threadedComment ref="A163" dT="2026-01-22T09:56:28.11" personId="{00000000-0000-0000-0000-000000000000}" id="{A9B36759-A1BB-4611-A0C3-D068AEDF448C}">
    <text>Typically used for raised structures to cleaning the modules</text>
  </threadedComment>
  <threadedComment ref="A164" dT="2025-08-12T11:08:34.12" personId="{00000000-0000-0000-0000-000000000000}" id="{7550A42D-6548-47DA-ABD7-FBEE64117C1E}">
    <text>n architectural and industrial contexts, a roof monitor is a raised structure that runs along the ridge of a double-pitched roof, featuring its own roof parallel to the main one.  Will arrange the crossover plate form to the structure.</text>
  </threadedComment>
  <threadedComment ref="A165" dT="2025-08-12T11:09:18.58" personId="{00000000-0000-0000-0000-000000000000}" id="{44BD982E-BD86-4CB5-9261-4408E4C49249}">
    <text>We will access the lower plant to upper plant by using ladder</text>
  </threadedComment>
  <threadedComment ref="A166" dT="2025-08-12T11:10:24.84" personId="{00000000-0000-0000-0000-000000000000}" id="{D1CACC86-90A1-42D5-BDE8-8EFD8C076F69}">
    <text xml:space="preserve">Rooftop solar panel installations necessitate robust safety measures, and roof edge railings are paramount among them. The presence of numerous panels on the roof often reduces walking space and increases the likelihood of accidental falls, highlighting the crucial need for adequate fall protection 
</text>
  </threadedComment>
  <threadedComment ref="A167" dT="2025-08-12T11:10:38.32" personId="{00000000-0000-0000-0000-000000000000}" id="{F8185D27-9765-4193-AD74-404C4C854449}">
    <text xml:space="preserve">Skylight mesh protection systems are crucial safety barriers designed to prevent falls through skylights and roof openings. These systems, typically constructed from robust materials like galvanized steel or aluminum, are engineered to withstand significant weight and impact, ensuring a secure environment for individuals working or moving on rooftops. 
</text>
  </threadedComment>
  <threadedComment ref="A168" dT="2025-08-12T11:10:42.57" personId="{00000000-0000-0000-0000-000000000000}" id="{3BE75C3D-8276-4960-87F7-B0B2B00EFC07}">
    <text xml:space="preserve">Skylight mesh protection systems are crucial safety barriers designed to prevent falls through skylights and roof openings. These systems, typically constructed from robust materials like galvanized steel or aluminum, are engineered to withstand significant weight and impact, ensuring a secure environment for individuals working or moving on rooftops. 
</text>
  </threadedComment>
  <threadedComment ref="A169" dT="2025-08-12T11:10:46.69" personId="{00000000-0000-0000-0000-000000000000}" id="{FF3B6BE0-C6AC-4A9E-A069-BA8B58EE7624}">
    <text xml:space="preserve">Skylight mesh protection systems are crucial safety barriers designed to prevent falls through skylights and roof openings. These systems, typically constructed from robust materials like galvanized steel or aluminum, are engineered to withstand significant weight and impact, ensuring a secure environment for individuals working or moving on rooftops. 
</text>
  </threadedComment>
  <threadedComment ref="A170" dT="2025-08-12T11:10:51.13" personId="{00000000-0000-0000-0000-000000000000}" id="{05A350C0-FAAA-44B6-823D-6B2D9BAE56E7}">
    <text xml:space="preserve">Skylight mesh protection systems are crucial safety barriers designed to prevent falls through skylights and roof openings. These systems, typically constructed from robust materials like galvanized steel or aluminum, are engineered to withstand significant weight and impact, ensuring a secure environment for individuals working or moving on rooftops. 
</text>
  </threadedComment>
  <threadedComment ref="A171" dT="2026-01-22T09:56:01.44" personId="{00000000-0000-0000-0000-000000000000}" id="{4631713F-AC09-4C74-A1DD-859E9263956B}">
    <text xml:space="preserve">Turbo vent cover mesh protection systems are crucial safety barriers designed to prevent falls through skylights and roof openings. These systems, typically constructed from robust materials like galvanized steel or aluminum, are engineered to withstand significant weight and impact, ensuring a secure environment for individuals working or moving on rooftops. 
</text>
  </threadedComment>
  <threadedComment ref="A172" dT="2025-08-12T11:11:08.38" personId="{00000000-0000-0000-0000-000000000000}" id="{E5F0A052-5369-4818-8376-1A4360D5973B}">
    <text xml:space="preserve">Lifelines, also known as horizontal lifeline systems or safety line systems, are crucial components of fall protection for workers installing, maintaining, or inspecting solar panels on rooftops. These systems are particularly important given the inherent fall hazards associated with working on rooftops, often at considerable heights, and the presence of numerous solar panels that can limit movement and access. 
</text>
  </threadedComment>
  <threadedComment ref="A173" dT="2025-08-12T11:11:27.06" personId="{00000000-0000-0000-0000-000000000000}" id="{6B9AA279-E7B7-4151-AD60-28050F062B49}">
    <text xml:space="preserve">These posts act as strong, strategically placed anchor points to which the lifeline cable is attached, allowing workers to move freely and safely across the rooftop during installation, maintenance, or inspections </text>
  </threadedComment>
  <threadedComment ref="A174" dT="2025-08-12T11:12:17.81" personId="{00000000-0000-0000-0000-000000000000}" id="{8738F8B9-8685-448E-AE22-07A17426E5DF}">
    <text xml:space="preserve">It's a device that connects a worker's safety harness to the lifeline (a cable or rope), allowing them to move freely along the line while remaining continuously connected and protected against falls </text>
  </threadedComment>
  <threadedComment ref="A175" dT="2025-08-12T11:13:30.04" personId="{00000000-0000-0000-0000-000000000000}" id="{89500E29-70B8-4285-AB37-E19112026814}">
    <text>A vertical lifeline system is a crucial fall protection solution designed for workers who need to ascend or descend ladders, stairways, or other vertical structures at height.</text>
  </threadedComment>
  <threadedComment ref="A176" dT="2025-08-12T11:14:36.57" personId="{00000000-0000-0000-0000-000000000000}" id="{023DD345-054B-4AD7-B34A-5635C7447470}">
    <text xml:space="preserve">Gutters help direct rainwater runoff from the roof and the solar panels away from the building's foundation, preventing potential damage to walls, foundations, and landscaping. </text>
  </threadedComment>
  <threadedComment ref="A177" dT="2025-08-12T11:15:29.75" personId="{00000000-0000-0000-0000-000000000000}" id="{703EA7A7-0950-4F0C-9C61-10C9C24778E7}">
    <text xml:space="preserve">Downspout drop outlet, is the component that connects a rain gutter to a downspout, directing rainwater runoff from the roof and, by extension, the solar panels, into the drainage system. </text>
  </threadedComment>
  <threadedComment ref="A180" dT="2025-08-12T11:16:16.11" personId="{00000000-0000-0000-0000-000000000000}" id="{00E9CAE0-122C-4823-AB0C-48D50AC598EB}">
    <text xml:space="preserve">A remote monitoring system in the context of solar energy is a technology-driven solution that allows users to track, measure, and analyze the performance of their solar power system from a remote location, without needing to be physically present at the site. These systems, often based on the Internet of Things (IoT), are a blend of hardware and software designed to provide real-time insights and facilitate proactive management of solar installations </text>
  </threadedComment>
  <threadedComment ref="A181" dT="2025-08-12T11:16:43.24" personId="{00000000-0000-0000-0000-000000000000}" id="{42751DAC-9F5C-4D4A-A7E4-DC4D564ADACA}">
    <text xml:space="preserve">A cloud-based SCADA (Supervisory Control and Data Acquisition) system combines the functionalities of traditional SCADA systems with the scalability, flexibility, and accessibility offered by cloud computing platforms </text>
  </threadedComment>
  <threadedComment ref="A182" dT="2025-08-14T07:02:27.30" personId="{00000000-0000-0000-0000-000000000000}" id="{E21300A9-0CF1-4CEF-B143-05C54028C537}">
    <text xml:space="preserve"> Irradiance sensors are essential for monitoring the actual power generation of solar panels and identifying issues impacting efficiency. </text>
  </threadedComment>
  <threadedComment ref="A183" dT="2025-08-12T11:17:09.11" personId="{00000000-0000-0000-0000-000000000000}" id="{D8F2652E-FC41-41F7-8041-CD21A08E1B51}">
    <text xml:space="preserve">A pyranometer is an instrument used to measure solar irradiance, or the power of sunlight hey are essential for designing, optimizing, and monitoring solar power systems, including photovoltaic (PV) plants, by assessing the available solar resource and panel performance (lobal horizontal irradiance (GHI) )
</text>
  </threadedComment>
  <threadedComment ref="A184" dT="2025-08-14T06:37:35.55" personId="{00000000-0000-0000-0000-000000000000}" id="{2ACD9447-3EF3-4A86-B621-2F4348B40289}">
    <text xml:space="preserve">A pyranometer is an instrument used to measure solar irradiance, or the power of sunlight hey are essential for designing, optimizing, and monitoring solar power systems, including photovoltaic (PV) plants, by assessing the available solar resource and panel performance (lobal horizontal irradiance (GHI) )
</text>
  </threadedComment>
  <threadedComment ref="A185" dT="2025-08-12T11:17:26.70" personId="{00000000-0000-0000-0000-000000000000}" id="{10A8A3BC-EF5C-4B71-8563-352401BEDE38}">
    <text xml:space="preserve">A thermistor-based solar module temperature sensor is specifically designed to measure the surface or cell temperature of photovoltaic (PV) modules, playing a crucial role in optimizing their performance and extending their lifespan 
</text>
  </threadedComment>
  <threadedComment ref="A186" dT="2025-08-12T11:17:45.67" personId="{00000000-0000-0000-0000-000000000000}" id="{5452A269-49BD-4373-94CE-2151DAF09AB5}">
    <text xml:space="preserve">An ambient temperature sensor for solar installations measures the temperature of the air surrounding the solar panels, distinct from the temperature of the panel surface itself. This data is crucial for understanding the overall environmental conditions influencing the solar system's performance. 
</text>
  </threadedComment>
  <threadedComment ref="A187" dT="2025-08-12T11:17:59.69" personId="{00000000-0000-0000-0000-000000000000}" id="{B0B66076-D6E5-4CDD-96EA-70C6458285CA}">
    <text xml:space="preserve">An anemometer is an instrument used to measure wind speed and, sometimes, wind direction. While often associated with wind energy, anemometers are also vital in solar power installations, contributing significantly to both system performance and safety. 
</text>
  </threadedComment>
  <threadedComment ref="A188" dT="2025-08-12T11:18:44.89" personId="{00000000-0000-0000-0000-000000000000}" id="{B45E7C34-C26E-46C4-B2E0-E46EB7427D47}">
    <text xml:space="preserve">A rain gauge sensor is an instrument specifically designed to measure and record the amount of liquid precipitation (rainfall) over a set period. </text>
  </threadedComment>
  <threadedComment ref="A189" dT="2025-08-12T11:19:49.76" personId="{00000000-0000-0000-0000-000000000000}" id="{FCB1C652-A16B-4514-AF8C-A7C2042F518F}">
    <text xml:space="preserve">A weather station tripod mounting stand is a structure specifically designed to securely install and position the various sensors of a weather station for accurate and reliable data collection. These stands are crucial in applications where precise weather data is required, such as in solar power plants and environmental monitoring. </text>
  </threadedComment>
  <threadedComment ref="A190" dT="2025-08-12T11:20:07.29" personId="{00000000-0000-0000-0000-000000000000}" id="{315A670B-F7C1-4F75-B1C9-197E54899CB0}">
    <text xml:space="preserve">A solar data logger, also known as a data recorder or data acquisition system, is an electronic device that automatically collects, records, and stores data from various sensors and components within a solar PV (photovoltaic) power system. This stored data can then be analyzed to monitor and optimize the performance of the solar installation. 
</text>
  </threadedComment>
  <threadedComment ref="A191" dT="2025-08-12T11:20:21.39" personId="{00000000-0000-0000-0000-000000000000}" id="{459ACEAE-FBF6-473B-8307-5AB8087054CC}">
    <text xml:space="preserve">A humidity sensor, often bundled with an ambient temperature sensor and sometimes housed in a radiation shield, plays a vital role in solar PV (photovoltaic) power plants by providing data about the amount of moisture in the surrounding atmosphere 
</text>
  </threadedComment>
  <threadedComment ref="A192" dT="2025-08-12T11:21:53.57" personId="{00000000-0000-0000-0000-000000000000}" id="{7448CDEA-E3DC-4471-9672-5D5570E34A2C}">
    <text xml:space="preserve">A zero feeding device, more commonly known as a Zero Export Device (ZED) or Zero Export Controller, is a smart energy management tool used in grid-tied solar photovoltaic (PV) systems to prevent the export of excess solar power back into the utility grid. Its primary function is to ensure that all solar energy generated is either consumed by local loads within the premises. thereby preventing any surplus energy from being fed into the grid. </text>
  </threadedComment>
  <threadedComment ref="A193" dT="2025-08-12T11:23:42.11" personId="{00000000-0000-0000-0000-000000000000}" id="{E5D6E100-BF38-4D11-BFA0-700DC957111A}">
    <text xml:space="preserve">A DG protection device, in the context of solar energy, specifically refers to a control and protection system designed to safeguard a Diesel Generator (DG) that operates in conjunction with a solar PV (photovoltaic) system. These devices, often called DG-PV synchronizers or zero export devices when combined with the zero export function, are essential for ensuring the safe, efficient, and reliable integration of solar power with existing diesel generator backup systems. </text>
  </threadedComment>
  <threadedComment ref="A196" dT="2025-08-12T11:24:27.90" personId="{00000000-0000-0000-0000-000000000000}" id="{63197088-39CE-4DB3-9E24-95BEEA4373C8}">
    <text xml:space="preserve">The robust precast wall and fencing system protects solar panels, inverters, cabling, and other sensitive equipment from physical damage due to intrusion or vandalism. </text>
  </threadedComment>
  <threadedComment ref="A197" dT="2025-08-13T07:04:14.42" personId="{00000000-0000-0000-0000-000000000000}" id="{65E73021-0385-4C30-BCAA-C45194694C10}">
    <text xml:space="preserve">The main gate is a critical component of the solar plant's perimeter security system, deterring unauthorized access and protecting valuable assets like solar panels, inverters, cables, and other electrical equipment from theft and vandalism. </text>
  </threadedComment>
  <threadedComment ref="A198" dT="2025-08-12T11:25:03.16" personId="{00000000-0000-0000-0000-000000000000}" id="{285FC060-E530-4D14-8F40-B04C86D06C7E}">
    <text xml:space="preserve">olar power plants contain valuable equipment (solar panels, inverters, cabling), making them attractive targets for theft and vandalism. Well-placed and adequately bright street lights deter intruders and facilitate surveillance, especially in remote locations or during nighttime hours </text>
  </threadedComment>
  <threadedComment ref="A199" dT="2025-08-12T11:25:19.22" personId="{00000000-0000-0000-0000-000000000000}" id="{C10802A9-A755-41F6-BC59-DFC4F3CD137C}">
    <text>Solar power plants contain valuable equipment (solar panels, inverters, cabling), making them attractive targets for theft and vandalism. Well-placed and adequately bright street lights deter intruders and facilitate surveillance, especially in remote locations or during nighttime hours</text>
  </threadedComment>
  <threadedComment ref="A203" dT="2025-08-12T11:25:36.48" personId="{00000000-0000-0000-0000-000000000000}" id="{33BCE1C9-FA89-4AC0-A646-6DD1E45FA3CB}">
    <text xml:space="preserve">Lord Chemical, now a part of Parker Hannifin, offers high-performance adhesive solutions specifically designed for solar rooftop installations. Their focus is on providing non-penetrating solutions, meaning these adhesives allow for the mounting of solar panels without drilling or bolting onto the roof, thereby eliminating potential leakage points and preserving the roof's integrity and warranty </text>
  </threadedComment>
  <threadedComment ref="A204" dT="2025-08-12T11:25:41.39" personId="{00000000-0000-0000-0000-000000000000}" id="{141AF281-3829-4B97-9275-D23EEDC750B3}">
    <text xml:space="preserve">Lord Chemical, now a part of Parker Hannifin, offers high-performance adhesive solutions specifically designed for solar rooftop installations. Their focus is on providing non-penetrating solutions, meaning these adhesives allow for the mounting of solar panels without drilling or bolting onto the roof, thereby eliminating potential leakage points and preserving the roof's integrity and warranty </text>
  </threadedComment>
  <threadedComment ref="A205" dT="2025-08-12T11:27:00.50" personId="{00000000-0000-0000-0000-000000000000}" id="{A29BB4D3-144E-4B37-91F5-02809B261DF8}">
    <text>To fixing the earth strip in the wall or any other fixing location</text>
  </threadedComment>
  <threadedComment ref="A206" dT="2025-08-12T11:27:37.90" personId="{00000000-0000-0000-0000-000000000000}" id="{96E53B46-B69E-4DD4-A6B1-51BC99FEE8BD}">
    <text>Used for fixing the earth strip into the wall.</text>
  </threadedComment>
  <threadedComment ref="A207" dT="2025-08-12T11:28:29.86" personId="{00000000-0000-0000-0000-000000000000}" id="{68C28857-6E15-4424-9EEC-895245E4D3D9}">
    <text>Hardware use for fixing the earthstrip joint and DC cable tray fixing</text>
  </threadedComment>
  <threadedComment ref="A208" dT="2025-08-12T11:29:15.56" personId="{00000000-0000-0000-0000-000000000000}" id="{8AF0984F-6665-401F-85B0-B02F986E00A6}">
    <text>It will holding the DC cable tray from the ground level</text>
  </threadedComment>
  <threadedComment ref="A211" dT="2025-08-12T11:29:53.31" personId="{00000000-0000-0000-0000-000000000000}" id="{29F6163A-5162-4BAE-9065-3CB3B5C5B774}">
    <text>To Fix the walkways.</text>
  </threadedComment>
  <threadedComment ref="A212" dT="2025-08-12T11:30:51.37" personId="{00000000-0000-0000-0000-000000000000}" id="{0A07C722-410A-4926-9CC1-4950410AE0CE}">
    <text xml:space="preserve">The "SSP 1045 Profile 75mm" refers to a specific type of section or rail used within the Walkways support of a solar power plant </text>
  </threadedComment>
  <threadedComment ref="A213" dT="2025-08-12T11:31:07.88" personId="{00000000-0000-0000-0000-000000000000}" id="{AEDB60AD-D54B-4698-99F0-9A81213DE5ED}">
    <text xml:space="preserve">The "SSP 5 Profile 50mm" refers to a specific type of section or rail used within the Walkways support of a solar power plant </text>
  </threadedComment>
  <threadedComment ref="A214" dT="2025-08-12T11:31:27.99" personId="{00000000-0000-0000-0000-000000000000}" id="{E1A2D0CC-037E-4A3E-A272-0F3EA80AC915}">
    <text xml:space="preserve">Walkway jointers, also referred to as walkway connectors or joining plates, are crucial components used to securely link individual walkway sections together, creating a continuous and stable pathway across the installation 
</text>
  </threadedComment>
  <threadedComment ref="A215" dT="2025-08-12T11:31:51.95" personId="{00000000-0000-0000-0000-000000000000}" id="{3A76B931-3FBD-4E4F-A380-29B96647987A}">
    <text xml:space="preserve">By providing designated pathways, walkways prevent foot traffic directly on the solar panels and the roof surface, minimizing potential damage and reducing wear and tear on the roofing system itself. </text>
  </threadedComment>
  <threadedComment ref="A216" dT="2025-08-12T11:32:08.85" personId="{00000000-0000-0000-0000-000000000000}" id="{EA5A313F-9916-4547-9814-DF703279D972}">
    <text xml:space="preserve">By providing robust mechanical support, clamps ensure the stability of the cable tray system, even when loaded with numerous cables or exposed to environmental factors like wind. </text>
  </threadedComment>
  <threadedComment ref="A217" dT="2025-08-12T11:32:25.34" personId="{00000000-0000-0000-0000-000000000000}" id="{3CCDC649-D1C8-4818-A932-8ECB074F2BB3}">
    <text xml:space="preserve">The flexible pipes shield the cables from physical damage, including potential impacts, crushing, and wear and tear. Flexible conduit protects against UV rays, water, temperature changes, rodents, vermin, vandalism, and cable theft.
</text>
  </threadedComment>
  <threadedComment ref="A219" dT="2025-08-12T11:33:15.72" personId="{00000000-0000-0000-0000-000000000000}" id="{CA171657-8E7A-4E9A-ABC7-ED4E2CC2CA96}">
    <text xml:space="preserve">An industrial wall socket box with an integrated Single-phase, Two-pole MCB (Miniature Circuit Breaker) is a vital component for ensuring safe and reliable power distribution in booster pump systems
</text>
  </threadedComment>
  <threadedComment ref="A220" dT="2025-08-12T11:32:55.38" personId="{00000000-0000-0000-0000-000000000000}" id="{38E1BA9E-280E-4DBF-A613-BE563F424EBF}">
    <text>An industrial wall socket box with an integrated Three-phase, Four-pole MCB (Miniature Circuit Breaker) is a vital component for ensuring safe and reliable power distribution in booster pump systems</text>
  </threadedComment>
  <threadedComment ref="A221" dT="2025-08-12T11:33:40.44" personId="{00000000-0000-0000-0000-000000000000}" id="{4A6EE2E7-0707-40FD-889B-1F1C6AA938D2}">
    <text xml:space="preserve">Module water drainage clips, also known as solar panel drain clips or water guide clamps, are small, yet highly effective accessories designed to improve the performance and lifespan of solar panels by facilitating efficient water drainage from the module's surface and frame. 
</text>
  </threadedComment>
  <threadedComment ref="A222" dT="2025-08-12T11:33:44.43" personId="{00000000-0000-0000-0000-000000000000}" id="{B46AFC9C-1F5F-43A4-BCB7-DD8090F9DF59}">
    <text xml:space="preserve">Module water drainage clips, also known as solar panel drain clips or water guide clamps, are small, yet highly effective accessories designed to improve the performance and lifespan of solar panels by facilitating efficient water drainage from the module's surface and frame. 
</text>
  </threadedComment>
  <threadedComment ref="A223" dT="2025-08-12T11:34:05.72" personId="{00000000-0000-0000-0000-000000000000}" id="{0DE77EEF-44B1-43A3-9AD7-FB86843F525F}">
    <text xml:space="preserve">Nylon cable ties, particularly in the 150mm length, are a widely used solution for bundling and securing cables in solar power installations </text>
  </threadedComment>
  <threadedComment ref="A224" dT="2025-08-12T11:34:24.38" personId="{00000000-0000-0000-0000-000000000000}" id="{61BBCEC0-AAEF-4DB5-866F-6943120252EC}">
    <text xml:space="preserve">Nylon cable ties, particularly in the 200mm length, are a widely used solution for bundling and securing cables in solar power installations </text>
  </threadedComment>
  <threadedComment ref="A225" dT="2025-08-12T11:34:32.70" personId="{00000000-0000-0000-0000-000000000000}" id="{4A7F34E8-EDFA-4089-A9DF-38F89EBA4E42}">
    <text xml:space="preserve">Nylon cable ties, particularly in the 300mm length, are a widely used solution for bundling and securing cables in solar power installations </text>
  </threadedComment>
  <threadedComment ref="A226" dT="2025-08-12T11:34:40.23" personId="{00000000-0000-0000-0000-000000000000}" id="{65E0F956-05C8-4958-A4D1-C07E369E9FB5}">
    <text xml:space="preserve">Nylon cable ties, particularly in the 450mm length, are a widely used solution for bundling and securing cables in solar power installations </text>
  </threadedComment>
  <threadedComment ref="A227" dT="2025-08-12T11:34:58.24" personId="{00000000-0000-0000-0000-000000000000}" id="{F4A12F57-CB50-479A-8817-3776DB587D46}">
    <text>Stainless steel (SS) cable ties, particularly in the 200mm length, are a suitable solution for securing and organizing electrical cables in solar power installations option for outdoor application</text>
  </threadedComment>
  <threadedComment ref="A228" dT="2025-08-12T11:35:06.76" personId="{00000000-0000-0000-0000-000000000000}" id="{1C7BD685-2F9E-47F5-A6FE-7EE81C9274E8}">
    <text xml:space="preserve">Stainless steel (SS) cable ties, particularly in the 300mm length, are a suitable solution for securing and organizing electrical cables in solar power installations option for outdoor application
</text>
  </threadedComment>
  <threadedComment ref="A229" dT="2025-08-12T11:35:19.21" personId="{00000000-0000-0000-0000-000000000000}" id="{175EACA0-CC3B-4014-8D3F-A010880A423B}">
    <text>Stainless steel (SS) cable ties, particularly in the 500mm length, are a suitable solution for securing and organizing electrical cables in solar power installations option for outdoor application</text>
  </threadedComment>
  <threadedComment ref="A230" dT="2025-08-12T11:38:08.17" personId="{00000000-0000-0000-0000-000000000000}" id="{51B4E762-1D7B-4E41-B719-C42B413B5947}">
    <text xml:space="preserve">3-meter galvanized iron (GI) pipe used as a mounting support for the Lightning Arrester, providing required height for effective lightning protection and ensuring corrosion-resistant durability. </text>
  </threadedComment>
  <threadedComment ref="A231" dT="2025-08-12T11:38:29.62" personId="{00000000-0000-0000-0000-000000000000}" id="{B4E80D41-FA22-4058-822C-77839984E8EB}">
    <text xml:space="preserve">Galvanized iron (GI) wire used to support the Lightning Arrester (LA) structure, ensuring stability and proper earthing connection. Provides mechanical strength and corrosion resistance for long-term safety. </text>
  </threadedComment>
  <threadedComment ref="A232" dT="2025-08-12T11:36:51.06" personId="{00000000-0000-0000-0000-000000000000}" id="{E72D96B9-1D2D-47D5-9CBF-F41F064BD018}">
    <text xml:space="preserve">MC4 connectors are the industry standard for connecting solar panels in photovoltaic (PV) systems. They are specifically designed for outdoor DC applications, providing a secure, weatherproof, and durable connection between solar panels and other components like inverters or charge controllers.  </text>
  </threadedComment>
  <threadedComment ref="A233" dT="2025-08-12T11:37:12.18" personId="{00000000-0000-0000-0000-000000000000}" id="{AB066979-7447-46E9-98AD-CE44BF674F05}">
    <text xml:space="preserve">In-line DC fuse holders with male and female connectors are essential safety devices used in solar photovoltaic (PV) installations, particularly for protecting individual strings of solar panels or DC circuits from overcurrent conditions. These components provide a compact, reliable, and easily accessible method for integrating fuse protection directly into the wiring of a solar system </text>
  </threadedComment>
  <threadedComment ref="A234" dT="2025-08-12T11:37:36.94" personId="{00000000-0000-0000-0000-000000000000}" id="{B91A684E-9304-4AC3-AC62-54CC3F5C9322}">
    <text>Clamps secure DC cables, preventing them from hanging loosely or rubbing against sharp edges, which can lead to abrasion, damage, or even short circuits. They also protect cables from potential damage from wind, snow, animals (e.g., rodents), and other environmental factors</text>
  </threadedComment>
  <threadedComment ref="A235" dT="2025-08-12T11:38:49.73" personId="{00000000-0000-0000-0000-000000000000}" id="{77E7C008-8EE7-407F-9AF5-54F7E4FA507F}">
    <text>CO₂ fire extinguisher is used for electrical and flammable liquid fires. Displaces oxygen to extinguish fire without damaging electrical equipment; mandatory in control rooms and HT panel areas</text>
  </threadedComment>
  <threadedComment ref="A236" dT="2025-08-12T11:39:42.99" personId="{00000000-0000-0000-0000-000000000000}" id="{AF49F91A-2D09-48F5-ABA4-12304F04E6C9}">
    <text xml:space="preserve">Multipurpose fire extinguisher (Class A, B, C) suitable for solid, liquid, and electrical fires. Essential for quick response to diverse fire types and mandatory for safety compliance in solar plants </text>
  </threadedComment>
  <threadedComment ref="A237" dT="2025-08-12T11:39:17.47" personId="{00000000-0000-0000-0000-000000000000}" id="{311AD978-1519-41DE-9D29-10F85FA71CC6}">
    <text xml:space="preserve">To provide immediate fire-fighting capability for small fires. Fire buckets (filled with sand/water) with stand and canopy are placed in accessible locations to meet safety compliance and control fire emergencies quickly. </text>
  </threadedComment>
  <threadedComment ref="A238" dT="2025-08-12T11:40:08.24" personId="{00000000-0000-0000-0000-000000000000}" id="{179BC619-155E-44A7-B57A-ABDE145F2879}">
    <text xml:space="preserve">Solvent cement chemically fuses the surfaces of PVC/CPVC pipes and fittings, creating a solid, permanent bond that effectively prevents leaks and protects electrical wiring from moisture and dust, crucial for outdoor solar applications. 
</text>
  </threadedComment>
  <threadedComment ref="A239" dT="2025-08-12T11:40:28.45" personId="{00000000-0000-0000-0000-000000000000}" id="{14CF3DF6-31CB-4725-BB87-866CB484EE6C}">
    <text xml:space="preserve">They shield the conduit interiors from dust, dirt, and other debris that can accumulate and potentially affect cable insulation or performance. 
</text>
  </threadedComment>
  <threadedComment ref="A240" dT="2025-08-12T11:40:47.76" personId="{00000000-0000-0000-0000-000000000000}" id="{35A463BC-F6B8-45B0-B03C-0F79B25B8B55}">
    <text xml:space="preserve">The primary purpose of heat shrink sleeves is to provide electrical insulation around wires, cables, and connectors, preventing short circuits and electrical hazards. This is crucial for power cables, which carry higher currents and voltages. 
</text>
  </threadedComment>
  <threadedComment ref="A241" dT="2025-08-12T11:40:52.14" personId="{00000000-0000-0000-0000-000000000000}" id="{05E36344-74AD-40CD-A2F3-A7E1951C2F0B}">
    <text xml:space="preserve">The primary purpose of heat shrink sleeves is to provide electrical insulation around wires, cables, and connectors, preventing short circuits and electrical hazards. This is crucial for power cables, which carry higher currents and voltages. 
</text>
  </threadedComment>
  <threadedComment ref="A242" dT="2025-08-12T11:41:53.44" personId="{00000000-0000-0000-0000-000000000000}" id="{B56FA78A-7CC7-44B2-A23C-7C7B137D48A0}">
    <text xml:space="preserve">The primary function is to provide electrical insulation for wire joints, splices, and other connections, preventing electrical leakage, short circuits, and potential hazards like electric shock or fire. </text>
  </threadedComment>
  <threadedComment ref="A243" dT="2025-08-12T11:42:09.60" personId="{00000000-0000-0000-0000-000000000000}" id="{2C123561-F4E8-4AE4-84BD-5B69FC3B4DDC}">
    <text>Cable Marking Ferrules: As mentioned in a previous response, ferrules are used to identify cables, often with pre-printed or custom-printed legends (numbers, letters, or symbols).</text>
  </threadedComment>
  <threadedComment ref="A244" dT="2025-08-12T11:43:24.50" personId="{00000000-0000-0000-0000-000000000000}" id="{16A05F0E-BF76-4A45-B52E-E40CA70D91CF}">
    <text xml:space="preserve">Copper ring lugs are indispensable components for ensuring the safe and reliable earthing of solar panel module frames. In a solar installation, proper grounding of the module frames is critical to prevent electric shock hazards and protect the entire system from potential damage due to lightning strikes or electrical faults </text>
  </threadedComment>
  <threadedComment ref="A245" dT="2025-08-12T11:44:11.80" personId="{00000000-0000-0000-0000-000000000000}" id="{CE6047FB-489F-400A-A778-78365F980BAE}">
    <text>Hardware used for walkways fixing</text>
  </threadedComment>
  <threadedComment ref="A246" dT="2025-08-12T11:44:47.60" personId="{00000000-0000-0000-0000-000000000000}" id="{4ADC5538-AEC8-422D-9BEC-B775D6D9837B}">
    <text>Used for module cleaning tap to the module  nearest area</text>
  </threadedComment>
  <threadedComment ref="A247" dT="2025-08-12T11:46:05.70" personId="{00000000-0000-0000-0000-000000000000}" id="{10B56ECE-4D1A-4071-A423-302ACC72B128}">
    <text>Used for internal water piping system for solar plant area.</text>
  </threadedComment>
  <threadedComment ref="A248" dT="2025-08-12T11:46:43.45" personId="{00000000-0000-0000-0000-000000000000}" id="{F32752A0-1C3B-4DA2-96C2-7B8A8CFDB0E1}">
    <text>To connect the water pipe system where T junction is needed</text>
  </threadedComment>
  <threadedComment ref="A249" dT="2025-08-12T11:46:53.82" personId="{00000000-0000-0000-0000-000000000000}" id="{589762EB-3212-46F5-B3F6-B3FCF7EA2FA9}">
    <text>To connect the water pipe system where L junction is needed</text>
  </threadedComment>
  <threadedComment ref="A250" dT="2025-08-12T11:47:30.10" personId="{00000000-0000-0000-0000-000000000000}" id="{9981C2FB-4712-4028-9A37-045EAEBF17AC}">
    <text>To connect the water pipe system where water outlet is needed</text>
  </threadedComment>
  <threadedComment ref="A251" dT="2025-08-12T11:48:07.99" personId="{00000000-0000-0000-0000-000000000000}" id="{743C74CB-DDA9-4511-8B18-530609AA80E1}">
    <text>Used to connect the straight pipe line continuations.</text>
  </threadedComment>
  <threadedComment ref="A252" dT="2025-08-12T11:48:52.65" personId="{00000000-0000-0000-0000-000000000000}" id="{0ADEE3FD-852E-4C3F-B8F6-FE733BE6F734}">
    <text>To fix the junction, L, T and coupler connection.</text>
  </threadedComment>
  <threadedComment ref="A253" dT="2025-08-12T11:49:26.84" personId="{00000000-0000-0000-0000-000000000000}" id="{F154F121-DC0B-4D00-AFA2-0845F0A25D72}">
    <text>To fix the water pipeline in mechanically.</text>
  </threadedComment>
  <threadedComment ref="A254" dT="2025-08-12T11:50:09.06" personId="{00000000-0000-0000-0000-000000000000}" id="{3113D789-DEAF-45B3-BE20-EB2BF4F8DA4C}">
    <text xml:space="preserve">It is used on end water connection. </text>
  </threadedComment>
  <threadedComment ref="A255" dT="2025-08-12T11:51:04.22" personId="{00000000-0000-0000-0000-000000000000}" id="{A24A3C98-B5B3-415E-8B6F-688B73461834}">
    <text xml:space="preserve">An MTA features external, outward-facing threads. It is designed to be inserted into a component with internal, inward-facing threads to create a secure connection. </text>
  </threadedComment>
  <threadedComment ref="A256" dT="2025-08-12T11:52:51.19" personId="{00000000-0000-0000-0000-000000000000}" id="{FAC18862-D518-4D91-A136-1F1F8C4C5C7C}">
    <text xml:space="preserve">Making it easier to remove components like valves or filters for servicing. </text>
  </threadedComment>
  <threadedComment ref="A257" dT="2025-08-12T11:54:00.39" personId="{00000000-0000-0000-0000-000000000000}" id="{63883764-36DE-46B8-AC54-D9E3C9985A94}">
    <text>Used to give the continues supply to the Wattmon even when power supply disconnected till one hour</text>
  </threadedComment>
  <threadedComment ref="A258" dT="2026-01-22T09:55:03.49" personId="{00000000-0000-0000-0000-000000000000}" id="{8B44C3D3-06A6-4134-B001-F18078ECAD17}">
    <text>To protect the Wattmon and sensors from the surge</text>
  </threadedComment>
  <threadedComment ref="A259" dT="2025-08-12T11:55:52.18" personId="{00000000-0000-0000-0000-000000000000}" id="{26ED1B2D-C242-4C50-9D15-E8EB7BCF8723}">
    <text xml:space="preserve">An earth pit nameplate, or identification plate, is a crucial component for any earthing or grounding system, providing vital information for inspection, maintenance, and safety. It serves as a permanent label on or near the earth pit cover, enabling clear identification and tracking of the earthing system, thereby enhancing the overall safety and reliability of the electrical installation 
</text>
  </threadedComment>
  <threadedComment ref="A260" dT="2025-08-12T11:56:41.60" personId="{00000000-0000-0000-0000-000000000000}" id="{84AD27D3-09F5-4C77-BFAF-03C72B37EF1F}">
    <text>Sign boards and charts highlight specific risks associated with solar power systems, including electrical hazards (high voltage, shock risk), fall hazards (working at heights), fire hazards, and chemical hazards</text>
  </threadedComment>
  <threadedComment ref="A261" dT="2025-08-12T11:57:29.03" personId="{00000000-0000-0000-0000-000000000000}" id="{79900BC4-BA78-43B6-9C43-65C4C86CA9E2}">
    <text xml:space="preserve">Company name bord fixed on main area </text>
  </threadedComment>
  <threadedComment ref="A262" dT="2025-08-12T11:57:55.06" personId="{00000000-0000-0000-0000-000000000000}" id="{A274AABC-C24A-4D75-AD9E-34B549F58CCF}">
    <text>To indicate the underground route of LT cables for easy identification and to prevent accidental damage during excavation. Used along cable paths at regular intervals for safety and maintenance reference.</text>
  </threadedComment>
  <threadedComment ref="A263" dT="2025-08-12T11:58:17.95" personId="{00000000-0000-0000-0000-000000000000}" id="{49099673-10E8-49CC-BC2D-BA9C27BFE9EF}">
    <text xml:space="preserve">To protect personnel from electric shock while working near LT equipment. ISI-marked insulating mat as per IS 15652 is mandatory in LT panel/switchgear areas for safety compliance 
</text>
  </threadedComment>
  <threadedComment ref="A264" dT="2025-08-13T06:26:35.75" personId="{00000000-0000-0000-0000-000000000000}" id="{C2728DB6-7146-4B65-B8A4-5564BB7E4C52}">
    <text>Used for Underground cable transmission through road crossing area</text>
  </threadedComment>
  <threadedComment ref="A265" dT="2025-08-13T06:27:55.02" personId="{00000000-0000-0000-0000-000000000000}" id="{D89C79D7-DE08-4A6F-96DC-2767F5E148EA}">
    <text>Double-Wall Corrugated (DWC) pipes, typically used for DC cabling for ground mounted plant.</text>
  </threadedComment>
  <threadedComment ref="A266" dT="2025-08-13T06:28:35.99" personId="{00000000-0000-0000-0000-000000000000}" id="{AE02179A-88FC-43D5-8633-5AF2DE54FB28}">
    <text>Double-Wall Corrugated (DWC) pipes, typically used for DC cabling for ground mounted plant. Where ever T junction are needed.</text>
  </threadedComment>
  <threadedComment ref="A267" dT="2025-08-13T06:28:53.88" personId="{00000000-0000-0000-0000-000000000000}" id="{34F2D8C1-5B44-45BA-92E5-70309523C7ED}">
    <text>Double-Wall Corrugated (DWC) pipes, typically used for DC cabling for ground mounted plant. Where ever L  Bends are needed.</text>
  </threadedComment>
  <threadedComment ref="A268" dT="2025-08-13T06:29:18.30" personId="{00000000-0000-0000-0000-000000000000}" id="{7C37BF6B-CED9-4624-A189-1B861CE510B5}">
    <text>Double-Wall Corrugated (DWC) pipes, typically used for DC cabling for ground mounted plant. Where ever pipe extension is needed</text>
  </threadedComment>
  <threadedComment ref="A269" dT="2025-08-13T06:34:19.96" personId="{00000000-0000-0000-0000-000000000000}" id="{2782A030-8288-4736-B77A-A57A70D30031}">
    <text xml:space="preserve">Used to store the water for module cleaning </text>
  </threadedComment>
  <threadedComment ref="A270" dT="2025-08-13T06:34:28.51" personId="{00000000-0000-0000-0000-000000000000}" id="{C3B6CFC9-3705-4D76-AE7A-DAABDF125E4C}">
    <text xml:space="preserve">Used to store the water for module cleaning </text>
  </threadedComment>
  <threadedComment ref="A271" dT="2025-08-13T06:35:51.55" personId="{00000000-0000-0000-0000-000000000000}" id="{99C3E4C8-5603-4589-B432-FD82B60260CB}">
    <text>To pump the water from ground level to rooftop or solar plant area with sufficient water pressure to clean the solar modules.</text>
  </threadedComment>
  <threadedComment ref="A272" dT="2025-08-13T06:35:57.21" personId="{00000000-0000-0000-0000-000000000000}" id="{114359B8-CE69-47A6-8FE7-E8457FCF0FED}">
    <text>To pump the water from ground level to rooftop or solar plant area with sufficient water pressure to clean the solar modules.</text>
  </threadedComment>
  <threadedComment ref="A273" dT="2025-08-13T06:36:11.48" personId="{00000000-0000-0000-0000-000000000000}" id="{990FFCA6-7486-4D23-B7DB-B988956A7C42}">
    <text>To pump the water from ground level to rooftop or solar plant area with sufficient water Extra pressure to clean the solar modules.</text>
  </threadedComment>
  <threadedComment ref="A274" dT="2025-08-13T06:38:19.42" personId="{00000000-0000-0000-0000-000000000000}" id="{9F1EB2C5-348B-427B-B56C-D445990FC792}">
    <text>Water flow meters are essential devices for measuring the amount of water flowing through pipelines to measure the amount of water we are utilized in particular plant.</text>
  </threadedComment>
  <threadedComment ref="A275" dT="2025-08-13T06:39:27.89" personId="{00000000-0000-0000-0000-000000000000}" id="{E67DA542-90AF-47E9-BFB1-4A4CE2E487A7}">
    <text xml:space="preserve">Pressure relief valves (PRVs) are crucial safety devices in water pipelines and systems, particularly those using UPVC/CPVC pipes. They are designed to automatically open and release excess pressure when it exceeds a predetermined safe limit, protecting the system from potential damage and ensuring operational safety. </text>
  </threadedComment>
  <threadedComment ref="A276" dT="2025-08-13T06:40:03.06" personId="{00000000-0000-0000-0000-000000000000}" id="{7F801F1C-853A-43F6-8D0F-F903E457E1D6}">
    <text xml:space="preserve">Copper ring lugs are indispensable components for ensuring the safe and reliable earthing of solar panel module frames. In a solar installation, proper grounding of the module frames is critical to prevent electric shock hazards and protect the entire system from potential damage due to lightning strikes or electrical faults </text>
  </threadedComment>
  <threadedComment ref="A277" dT="2025-08-13T06:40:09.08" personId="{00000000-0000-0000-0000-000000000000}" id="{3F79FF41-2BD9-4929-9227-089CE70BDEFA}">
    <text xml:space="preserve">Copper ring lugs are indispensable components for ensuring the safe and reliable earthing of solar panel module frames. In a solar installation, proper grounding of the module frames is critical to prevent electric shock hazards and protect the entire system from potential damage due to lightning strikes or electrical faults </text>
  </threadedComment>
  <threadedComment ref="A278" dT="2025-08-13T06:41:16.68" personId="{00000000-0000-0000-0000-000000000000}" id="{89D09C64-89E8-447B-A5EB-4573F94DC388}">
    <text>Bimetallic lugs are specialized electrical connectors used to create a secure and electrically sound connection between two conductors made of different metals, typically aluminum and copper</text>
  </threadedComment>
  <threadedComment ref="A279" dT="2025-08-13T06:41:20.12" personId="{00000000-0000-0000-0000-000000000000}" id="{96955ED9-A3E0-4BEE-B656-888B377857AF}">
    <text>Bimetallic lugs are specialized electrical connectors used to create a secure and electrically sound connection between two conductors made of different metals, typically aluminum and copper</text>
  </threadedComment>
  <threadedComment ref="A280" dT="2025-08-13T06:41:24.05" personId="{00000000-0000-0000-0000-000000000000}" id="{464CBF0D-7977-4CBB-AC03-CD4DCCF62F9E}">
    <text>Bimetallic lugs are specialized electrical connectors used to create a secure and electrically sound connection between two conductors made of different metals, typically aluminum and copper</text>
  </threadedComment>
  <threadedComment ref="A281" dT="2025-08-13T06:41:31.44" personId="{00000000-0000-0000-0000-000000000000}" id="{6C52D2F2-644F-498B-9D2C-609DF3C57F82}">
    <text>Bimetallic lugs are specialized electrical connectors used to create a secure and electrically sound connection between two conductors made of different metals, typically aluminum and copper</text>
  </threadedComment>
  <threadedComment ref="A282" dT="2025-08-13T06:41:35.91" personId="{00000000-0000-0000-0000-000000000000}" id="{7060191D-12AD-4358-A515-87B3C29CB092}">
    <text>Bimetallic lugs are specialized electrical connectors used to create a secure and electrically sound connection between two conductors made of different metals, typically aluminum and copper</text>
  </threadedComment>
  <threadedComment ref="A283" dT="2025-08-13T06:41:52.33" personId="{00000000-0000-0000-0000-000000000000}" id="{24F23B8F-14F9-4B7B-A04F-F778B35D7A36}">
    <text>Bimetallic lugs are specialized electrical connectors used to create a secure and electrically sound connection between two conductors made of different metals, typically aluminum and copper</text>
  </threadedComment>
  <threadedComment ref="A284" dT="2025-08-13T06:41:56.10" personId="{00000000-0000-0000-0000-000000000000}" id="{7924E1D2-1A08-4EA2-BCDE-A8ECFA508B37}">
    <text>Bimetallic lugs are specialized electrical connectors used to create a secure and electrically sound connection between two conductors made of different metals, typically aluminum and copper</text>
  </threadedComment>
  <threadedComment ref="A285" dT="2025-08-13T06:41:59.72" personId="{00000000-0000-0000-0000-000000000000}" id="{87A35785-C006-49EB-A266-03AD2AB2363C}">
    <text>Bimetallic lugs are specialized electrical connectors used to create a secure and electrically sound connection between two conductors made of different metals, typically aluminum and copper</text>
  </threadedComment>
  <threadedComment ref="A286" dT="2025-08-13T06:42:03.17" personId="{00000000-0000-0000-0000-000000000000}" id="{2AA36E2C-8969-4939-8A71-53CCC0992C20}">
    <text>Bimetallic lugs are specialized electrical connectors used to create a secure and electrically sound connection between two conductors made of different metals, typically aluminum and copper</text>
  </threadedComment>
  <threadedComment ref="A287" dT="2025-08-13T06:42:06.98" personId="{00000000-0000-0000-0000-000000000000}" id="{D145DA17-DD85-4714-8519-3506A4C746DC}">
    <text>Bimetallic lugs are specialized electrical connectors used to create a secure and electrically sound connection between two conductors made of different metals, typically aluminum and copper</text>
  </threadedComment>
  <threadedComment ref="A288" dT="2025-08-13T06:42:10.43" personId="{00000000-0000-0000-0000-000000000000}" id="{2E690DF4-BD25-4F63-A29F-BC8465C4866B}">
    <text>Bimetallic lugs are specialized electrical connectors used to create a secure and electrically sound connection between two conductors made of different metals, typically aluminum and copper</text>
  </threadedComment>
  <threadedComment ref="A290" dT="2025-08-13T06:42:14.60" personId="{00000000-0000-0000-0000-000000000000}" id="{654ECE5A-0FFB-40D4-BEFC-73550CB24189}">
    <text>Bimetallic lugs are specialized electrical connectors used to create a secure and electrically sound connection between two conductors made of different metals, typically aluminum and copper</text>
  </threadedComment>
  <threadedComment ref="A291" dT="2025-08-13T06:42:18.60" personId="{00000000-0000-0000-0000-000000000000}" id="{B24BDDBA-D9F8-43F4-8B00-9DD310E075E9}">
    <text>Bimetallic lugs are specialized electrical connectors used to create a secure and electrically sound connection between two conductors made of different metals, typically aluminum and copper</text>
  </threadedComment>
  <threadedComment ref="A293" dT="2025-08-13T06:42:39.31" personId="{00000000-0000-0000-0000-000000000000}" id="{C61C0F79-0889-4F75-8287-9474325C342A}">
    <text xml:space="preserve">Aluminum lugs are electrical connectors specifically designed to terminate and connect aluminum conductors to various electrical devices, equipment, or other conductors </text>
  </threadedComment>
  <threadedComment ref="A294" dT="2025-08-13T06:42:46.86" personId="{00000000-0000-0000-0000-000000000000}" id="{E65C477B-C67A-4F44-9D06-C0AA4BA65DCE}">
    <text xml:space="preserve">Aluminum lugs are electrical connectors specifically designed to terminate and connect aluminum conductors to various electrical devices, equipment, or other conductors </text>
  </threadedComment>
  <threadedComment ref="A295" dT="2025-08-13T06:42:53.72" personId="{00000000-0000-0000-0000-000000000000}" id="{1B60A7A1-7879-4F08-A817-DC735E24354D}">
    <text xml:space="preserve">Aluminum lugs are electrical connectors specifically designed to terminate and connect aluminum conductors to various electrical devices, equipment, or other conductors </text>
  </threadedComment>
  <threadedComment ref="A296" dT="2025-08-13T06:43:00.26" personId="{00000000-0000-0000-0000-000000000000}" id="{47543B7D-F2F7-4A78-A251-EC956ABB607F}">
    <text xml:space="preserve">Aluminum lugs are electrical connectors specifically designed to terminate and connect aluminum conductors to various electrical devices, equipment, or other conductors </text>
  </threadedComment>
  <threadedComment ref="A297" dT="2025-08-13T06:43:08.65" personId="{00000000-0000-0000-0000-000000000000}" id="{AA9FD239-D6B7-4D73-8F91-59B6CB89F15F}">
    <text xml:space="preserve">Aluminum lugs are electrical connectors specifically designed to terminate and connect aluminum conductors to various electrical devices, equipment, or other conductors </text>
  </threadedComment>
  <threadedComment ref="A298" dT="2025-08-13T06:46:06.83" personId="{00000000-0000-0000-0000-000000000000}" id="{E12B69C7-C12B-436F-8E07-D87F40EA7560}">
    <text xml:space="preserve">Aluminum lugs are electrical connectors specifically designed to terminate and connect aluminum conductors to various electrical devices, equipment, or other conductors </text>
  </threadedComment>
  <threadedComment ref="A299" dT="2025-08-13T06:46:13.73" personId="{00000000-0000-0000-0000-000000000000}" id="{7103A711-D198-4F34-8BEC-2565D8711ED4}">
    <text xml:space="preserve">Aluminum lugs are electrical connectors specifically designed to terminate and connect aluminum conductors to various electrical devices, equipment, or other conductors </text>
  </threadedComment>
  <threadedComment ref="A300" dT="2025-08-13T06:46:18.48" personId="{00000000-0000-0000-0000-000000000000}" id="{C4D4BB20-E23B-41FC-9183-76318951E4F6}">
    <text xml:space="preserve">Aluminum lugs are electrical connectors specifically designed to terminate and connect aluminum conductors to various electrical devices, equipment, or other conductors </text>
  </threadedComment>
  <threadedComment ref="A301" dT="2025-08-13T06:46:23.76" personId="{00000000-0000-0000-0000-000000000000}" id="{18441BC0-419A-456B-893E-66B169884D7F}">
    <text xml:space="preserve">Aluminum lugs are electrical connectors specifically designed to terminate and connect aluminum conductors to various electrical devices, equipment, or other conductors </text>
  </threadedComment>
  <threadedComment ref="A302" dT="2025-08-13T06:46:29.40" personId="{00000000-0000-0000-0000-000000000000}" id="{57E4906D-8E65-4EAD-8770-B67B99CDBEFB}">
    <text xml:space="preserve">Aluminum lugs are electrical connectors specifically designed to terminate and connect aluminum conductors to various electrical devices, equipment, or other conductors </text>
  </threadedComment>
  <threadedComment ref="A303" dT="2025-08-13T06:46:35.99" personId="{00000000-0000-0000-0000-000000000000}" id="{65751C38-A729-4F61-AB18-5DF8E4CB46DE}">
    <text xml:space="preserve">Aluminum lugs are electrical connectors specifically designed to terminate and connect aluminum conductors to various electrical devices, equipment, or other conductors </text>
  </threadedComment>
  <threadedComment ref="A304" dT="2025-08-13T06:47:07.16" personId="{00000000-0000-0000-0000-000000000000}" id="{0754E234-D1F8-420C-A2C3-323D4F73AABC}">
    <text>BOS material Loading and transport through the road and it will reach to the site. All type of approvals and permission included</text>
  </threadedComment>
  <threadedComment ref="A307" dT="2025-08-13T06:47:19.84" personId="{00000000-0000-0000-0000-000000000000}" id="{20DB08CB-9FB1-4060-B980-A3306A9BE897}">
    <text xml:space="preserve">Maintaining a well-stocked spare parts inventory is crucial for ensuring the reliability, efficiency, and continuous operation of a solar power plant. </text>
  </threadedComment>
  <threadedComment ref="A308" dT="2025-08-13T06:47:34.36" personId="{00000000-0000-0000-0000-000000000000}" id="{F7621670-B8F3-4901-BE81-2436DDD519E2}">
    <text xml:space="preserve">Total plant insurance, often referred to as specialized renewable energy insurance, is a critical component for safeguarding solar power plants against a wide range of risks. It provides comprehensive coverage for the entire facility, including both the solar modules and the Balance of System (BOS) components (inverters, structures, cabling, substation, etc. )
</text>
  </threadedComment>
  <threadedComment ref="A311" dT="2026-01-22T09:13:14.18" personId="{00000000-0000-0000-0000-000000000000}" id="{211B9A56-3D98-47B0-8F67-66DE2C8393A4}">
    <text xml:space="preserve">Thermography uses infrared cameras to detect "hot spots" (excess heat) in electrical systems, identifying issues like loose connections or insulation failure for predictive maintenance, while a Power Analyzer precisely measures electrical parameters (voltage, current, power, harmonics) to quantify energy use, quality, and efficiency </text>
  </threadedComment>
  <threadedComment ref="A312" dT="2026-01-22T09:14:27.10" personId="{00000000-0000-0000-0000-000000000000}" id="{D6C7D917-AFC4-427D-9267-EC56C86A0631}">
    <text xml:space="preserve">Galvanized Iron (GI) conduits are essential for protecting electrical cables in solar power plants, offering durability against harsh environmental conditions </text>
  </threadedComment>
  <threadedComment ref="A313" dT="2026-01-22T09:15:58.73" personId="{00000000-0000-0000-0000-000000000000}" id="{F223FC82-B43E-4378-B8D2-9E8C6DCCF02F}">
    <text>Kind of Bank grandee</text>
  </threadedComment>
  <threadedComment ref="A314" dT="2026-01-22T09:16:51.93" personId="{00000000-0000-0000-0000-000000000000}" id="{BC224335-85FD-4D57-B7B5-FD0280BDC7BC}">
    <text xml:space="preserve">Module frame earthing, also known as array earthing or grounding, is a critical safety and performance measure in solar PV systems. It involves securely connecting the metallic frames of the solar panels and their mounting structures to the overall earthing system of the solar installation. </text>
  </threadedComment>
  <threadedComment ref="A315" dT="2026-01-22T09:52:23.68" personId="{00000000-0000-0000-0000-000000000000}" id="{A3E9A49C-A6CC-4B1C-9303-60DF8E663ACE}">
    <text>ETAP Load Flow Analysis is a power system simulation using ETAP software to analyze the steady-state performance of electrical networks, calculating bus voltages, line loadings, power flows, and losses to identify issues like voltage violations or overloaded equipment, crucial for system planning and operation.</text>
    <extLst>
      <x:ext xmlns:xltc2="http://schemas.microsoft.com/office/spreadsheetml/2020/threadedcomments2" uri="{F7C98A9C-CBB3-438F-8F68-D28B6AF4A901}">
        <xltc2:checksum>1447572093</xltc2:checksum>
        <xltc2:hyperlink startIndex="0" length="23" url="https://www.google.com/search?q=ETAP+Load+Flow+Analysis&amp;sca_esv=06655e5bf07ee195&amp;sxsrf=ANbL-n5C4XqBogiRIO7GLtoXKw-ycf-5_g%3A1769075420339&amp;ei=3PJxab-2FKDVseMP_MGnsAc&amp;ved=2ahUKEwjb1J_o756SAxUpWHADHW9tG74QgK4QegQIARAD&amp;uact=5&amp;oq=what+is+Load+flow+ananlysys+by+ETAP&amp;gs_lp=Egxnd3Mtd2l6LXNlcnAiI3doYXQgaXMgTG9hZCBmbG93IGFuYW5seXN5cyBieSBFVEFQSNkhUOQIWN8ccAJ4AZABAJgBlQOgAaQLqgEHMC44LjQtMbgBA8gBAPgBAZgCCKAC1QjCAgoQABiwAxjWBBhHwgIHECMYsAIYJ8ICBRAAGO8FwgIIEAAYgAQYogTCAggQABiiBBiJBcICBBAhGAqYAwDiAwUSATEgQIgGAZAGCJIHBzIuNS40LTGgB64msgcHMC41LjQtMbgHxQjCBwcwLjQuMy4xyAccgAgA&amp;sclient=gws-wiz-serp"/>
        <xltc2:hyperlink startIndex="59" length="13" url="https://etap.com/product/load-flow-software"/>
      </x:ext>
    </extLst>
  </threadedComment>
  <threadedComment ref="A316" dT="2026-01-22T09:53:40.94" personId="{00000000-0000-0000-0000-000000000000}" id="{F21CA5BA-EC28-4427-AEFB-69D04BB4D281}">
    <text>To display the current value of plant performance.</text>
  </threadedComment>
  <threadedComment ref="A319" dT="2025-08-12T11:10:08.65" personId="{00000000-0000-0000-0000-000000000000}" id="{7C2EA71C-4094-47AC-A798-1E9117A28587}">
    <text>This having 1.5 mtrs height ladder used to clean the RCC mounted installation modules</text>
  </threadedComment>
  <threadedComment ref="A320" dT="2025-08-12T11:04:35.00" personId="{00000000-0000-0000-0000-000000000000}" id="{93425971-556F-4629-A333-138DB3289FAE}">
    <text xml:space="preserve">Movable ladders in parking structures serve various crucial purposes, mainly focusing on maintenance, accessibility, and safety within these often large and complex environments. </text>
  </threadedComment>
  <threadedComment ref="A321" dT="2026-01-22T09:12:11.80" personId="{00000000-0000-0000-0000-000000000000}" id="{747F0219-909C-4BBC-91D6-619A6461E19A}">
    <text>Structural Stability (Mechanical): Focuses on the mounting system and building integration, checking against wind loads, snow, and seismic events.</text>
  </threadedComment>
  <threadedComment ref="A333" dT="2025-08-13T06:48:14.96" personId="{00000000-0000-0000-0000-000000000000}" id="{5699149E-43FC-4ABE-AD72-CA74E9FEAEF5}">
    <text xml:space="preserve">In the context of solar installations, project management is crucial for successfully installing and commissioning solar power plants, whether on rooftops or as large-scale solar farms 
</text>
  </threadedComment>
  <threadedComment ref="A334" dT="2025-08-13T06:48:31.64" personId="{00000000-0000-0000-0000-000000000000}" id="{CEA4A493-679A-4EDD-9E7B-0C5B15F6D329}">
    <text xml:space="preserve">A Safety Officer, also known as an EHS (Environmental, Health, and Safety) Officer, plays a critical and multifaceted role in ensuring safety, regulatory compliance, and a secure working environment throughout the entire lifecycle  </text>
  </threadedComment>
  <threadedComment ref="A335" dT="2025-08-13T06:48:48.40" personId="{00000000-0000-0000-0000-000000000000}" id="{065D1254-6DB3-43FC-8EA1-BC25D10E8D90}">
    <text xml:space="preserve">Setting up a solar shed on a rooftop involves a combination of civil engineering and the installation and commissioning (I&amp;C) of the solar power system. This process ensures the structure is sound, the solar panels are securely mounted, and the electrical system is properly connected and functioning. 
</text>
  </threadedComment>
  <threadedComment ref="A336" dT="2025-08-13T06:49:04.63" personId="{00000000-0000-0000-0000-000000000000}" id="{3972B33E-08BA-4B4F-9D93-78950F91416C}">
    <text xml:space="preserve">Setting up a solar RCC on a rooftop involves a combination of civil engineering and the installation and commissioning (I&amp;C) of the solar power system. This process ensures the structure is sound, the solar panels are securely mounted, and the electrical system is properly connected and functioning. 
</text>
  </threadedComment>
  <threadedComment ref="A337" dT="2025-08-13T06:49:22.64" personId="{00000000-0000-0000-0000-000000000000}" id="{A1498D9F-AD18-4342-818D-7BAA5E083C06}">
    <text xml:space="preserve">Setting up a solar RCC raised (2.5mtrs) on a rooftop involves a combination of civil engineering and the installation and commissioning (I&amp;C) of the solar power system. This process ensures the structure is sound, the solar panels are securely mounted, and the electrical system is properly connected and functioning. </text>
  </threadedComment>
  <threadedComment ref="A338" dT="2025-08-13T06:49:41.51" personId="{00000000-0000-0000-0000-000000000000}" id="{1D108F0F-5346-4E09-AC00-F4FDB523DE9A}">
    <text xml:space="preserve">Setting up a solar RCC raised (2.5mtrs) on a rooftop involves a combination of civil engineering and the installation and commissioning (I&amp;C) of the solar power system. This process ensures the structure is sound, the solar panels are securely mounted, and the electrical system is properly connected and functioning. </text>
  </threadedComment>
  <threadedComment ref="A339" dT="2025-08-13T06:51:15.72" personId="{00000000-0000-0000-0000-000000000000}" id="{E902A892-54FA-4F01-9B6B-4DC00848D550}">
    <text xml:space="preserve">Setting up a solar RCC raised on the exiting pillar (2.5mtrs) on a rooftop involves a combination of civil engineering and the installation and commissioning (I&amp;C) of the solar power system. This process ensures the structure is sound, the solar panels are securely mounted, and the electrical system is properly connected and functioning. 
</text>
  </threadedComment>
  <threadedComment ref="A340" dT="2025-08-13T06:49:55.85" personId="{00000000-0000-0000-0000-000000000000}" id="{E9750EF8-A627-4DF8-8593-62866BE9D636}">
    <text xml:space="preserve">Setting up a solar Ground involves a combination of civil engineering and the installation and commissioning (I&amp;C) of the solar power system. This process ensures the structure is sound, the solar panels are securely mounted, and the electrical system is properly connected and functioning. </text>
  </threadedComment>
  <threadedComment ref="A341" dT="2026-01-22T09:09:36.98" personId="{00000000-0000-0000-0000-000000000000}" id="{AECBC3AD-4D45-4015-A438-A27513AC7CB4}">
    <text xml:space="preserve">Setting up a solar Ground raised 3 mtrs height involves a combination of civil engineering and the installation and commissioning (I&amp;C) of the solar power system. This process ensures the structure is sound, the solar panels are securely mounted, and the electrical system is properly connected and functioning. </text>
  </threadedComment>
  <threadedComment ref="A342" dT="2026-01-22T09:09:47.94" personId="{00000000-0000-0000-0000-000000000000}" id="{41739647-EE2B-4950-AFD6-BA230AF9045E}">
    <text xml:space="preserve">Setting up a solar Ground raised 6 mtrs height involves a combination of civil engineering and the installation and commissioning (I&amp;C) of the solar power system. This process ensures the structure is sound, the solar panels are securely mounted, and the electrical system is properly connected and functioning. 
</text>
  </threadedComment>
  <threadedComment ref="A343" dT="2025-08-13T06:51:50.11" personId="{00000000-0000-0000-0000-000000000000}" id="{7BB176BB-8CB0-4B6C-8D5E-4FE389879012}">
    <text>Setting up a solar Floating involves a combination of civil engineering and the installation and commissioning (I&amp;C) of the solar power system. This process ensures the structure is sound, the solar panels are securely mounted, and the electrical system is properly connected and functioning.</text>
  </threadedComment>
  <threadedComment ref="A344" dT="2025-08-13T06:52:10.48" personId="{00000000-0000-0000-0000-000000000000}" id="{633ED09B-CFD9-4407-928D-0A1ECA55CFA1}">
    <text xml:space="preserve">Providing a dedicated stand with a protective canopy for the inverter is a critical step in ensuring the longevity, performance, and safety of a solar power system </text>
  </threadedComment>
  <threadedComment ref="A345" dT="2026-01-22T09:08:34.06" personId="{00000000-0000-0000-0000-000000000000}" id="{1120E6FC-0695-4AFC-B5EE-CAE6EFD26E42}">
    <text xml:space="preserve">Providing a dedicated stand with a protective canopy for the inverter is a critical step in ensuring the longevity, performance, and safety of a solar power system </text>
  </threadedComment>
  <threadedComment ref="A346" dT="2025-08-13T06:53:41.83" personId="{00000000-0000-0000-0000-000000000000}" id="{8189E509-2902-41FA-9120-FF019E2FC745}">
    <text xml:space="preserve">Soil trenching for electrical cables is a process that involves digging a trench in the ground to lay electrical cables. This method provides physical protection for the cables and helps to maintain a consistent temperature, which is important for the performance and lifespan of the cables </text>
  </threadedComment>
  <threadedComment ref="A348" dT="2025-08-13T06:56:14.04" personId="{00000000-0000-0000-0000-000000000000}" id="{82525476-0049-4019-BDB2-E3C5D4925D57}">
    <text xml:space="preserve">This involves digging a trench across the road, laying the cable within the trench, and then backfilling. </text>
  </threadedComment>
  <threadedComment ref="A349" dT="2025-08-13T06:57:13.77" personId="{00000000-0000-0000-0000-000000000000}" id="{47FFE7AA-9A8A-4514-A4E5-7CDD3276B1D3}">
    <text>A cable gantry is a structure that supports and organizes electrical cables, particularly in areas where overhead routing is necessary or preferable to underground trenching. While the term "gantry" is most commonly associated with gantry cranes used for heavy lifting, it also refers to structures that support cables, especially in industrial Rooftops</text>
  </threadedComment>
  <threadedComment ref="A351" dT="2025-08-13T06:57:30.90" personId="{00000000-0000-0000-0000-000000000000}" id="{502A9DC3-942B-413D-A6D3-544BB7D87E36}">
    <text xml:space="preserve">Accurate knowledge of soil properties like bearing capacity, cohesion, and compressibility is crucial for designing a strong and stable foundation that can support the panel and associated infrastructure without excessive settlement, cracks, or potential collapse. 
</text>
  </threadedComment>
  <threadedComment ref="A352" dT="2025-08-13T06:57:46.37" personId="{00000000-0000-0000-0000-000000000000}" id="{A21BC9E6-7401-4587-B1AB-4B4BB6F063AB}">
    <text>Reshaping the land to achieve a flat or uniformly sloped surface suitable for solar panel installation and the associated infrastructure.</text>
  </threadedComment>
  <threadedComment ref="A353" dT="2026-01-22T09:10:28.92" personId="{00000000-0000-0000-0000-000000000000}" id="{236A34A0-4F85-433F-82D6-4FEB294D07B3}">
    <text xml:space="preserve">A bathymetry test (or survey) measures the depth and shape of the underwater terrain (seafloor, lakebeds) using technologies like sonar (multibeam echo sounders) and Lidar, creating detailed maps for navigation, engineering, and environmental studies, analogous to topography for land. These surveys help create nautical charts, map underwater features, study water quality, and assess risks like scour, involving precise positioning and data processing to understand underwater landscapes.  </text>
    <extLst>
      <x:ext xmlns:xltc2="http://schemas.microsoft.com/office/spreadsheetml/2020/threadedcomments2" uri="{F7C98A9C-CBB3-438F-8F68-D28B6AF4A901}">
        <xltc2:checksum>3945016547</xltc2:checksum>
        <xltc2:hyperlink startIndex="130" length="5" url="https://www.google.com/search?q=sonar&amp;oq=Bathymetry+test&amp;gs_lcrp=EgZjaHJvbWUyBggAEEUYOTIICAEQABgWGB4yCAgCEAAYFhgeMg0IAxAAGIYDGIAEGIoFMg0IBBAAGIYDGIAEGIoFMgoIBRAAGIAEGKIEMgoIBhAAGIAEGKIEMgoIBxAAGIAEGKIEMgoICBAAGIAEGKIEMgoICRAAGIAEGKIE0gEJMTU2MmowajE1qAIJsAIB8QU82-h3ItTYBQ&amp;sourceid=chrome&amp;ie=UTF-8&amp;ved=2ahUKEwi62b-_5p6SAxW_WHADHR_4EJYQgK4QegQIARAE"/>
        <xltc2:hyperlink startIndex="137" length="23" url="https://www.google.com/search?q=multibeam+echo+sounders&amp;oq=Bathymetry+test&amp;gs_lcrp=EgZjaHJvbWUyBggAEEUYOTIICAEQABgWGB4yCAgCEAAYFhgeMg0IAxAAGIYDGIAEGIoFMg0IBBAAGIYDGIAEGIoFMgoIBRAAGIAEGKIEMgoIBhAAGIAEGKIEMgoIBxAAGIAEGKIEMgoICBAAGIAEGKIEMgoICRAAGIAEGKIE0gEJMTU2MmowajE1qAIJsAIB8QU82-h3ItTYBQ&amp;sourceid=chrome&amp;ie=UTF-8&amp;ved=2ahUKEwi62b-_5p6SAxW_WHADHR_4EJYQgK4QegQIARAF"/>
        <xltc2:hyperlink startIndex="166" length="5" url="https://www.google.com/search?q=Lidar&amp;oq=Bathymetry+test&amp;gs_lcrp=EgZjaHJvbWUyBggAEEUYOTIICAEQABgWGB4yCAgCEAAYFhgeMg0IAxAAGIYDGIAEGIoFMg0IBBAAGIYDGIAEGIoFMgoIBRAAGIAEGKIEMgoIBhAAGIAEGKIEMgoIBxAAGIAEGKIEMgoICBAAGIAEGKIEMgoICRAAGIAEGKIE0gEJMTU2MmowajE1qAIJsAIB8QU82-h3ItTYBQ&amp;sourceid=chrome&amp;ie=UTF-8&amp;ved=2ahUKEwi62b-_5p6SAxW_WHADHR_4EJYQgK4QegQIARAG"/>
      </x:ext>
    </extLst>
  </threadedComment>
  <threadedComment ref="A354" dT="2026-01-22T09:11:06.16" personId="{00000000-0000-0000-0000-000000000000}" id="{ECE930FC-28F7-48FE-B09B-88AA69642729}">
    <text xml:space="preserve">CFD analysis (Computational Fluid Dynamics) uses numerical methods and computer simulations to study and predict how liquids and gases (fluids) flow and interact with objects or systems </text>
    <extLst>
      <x:ext xmlns:xltc2="http://schemas.microsoft.com/office/spreadsheetml/2020/threadedcomments2" uri="{F7C98A9C-CBB3-438F-8F68-D28B6AF4A901}">
        <xltc2:checksum>18526068</xltc2:checksum>
        <xltc2:hyperlink startIndex="14" length="28" url="https://www.google.com/search?sca_esv=09c39867cfb36e18&amp;sxsrf=ANbL-n68cRbGlA9Kha3EbjLKy9IoDyV_cg%3A1769073038741&amp;q=Computational+Fluid+Dynamics&amp;sa=X&amp;ved=2ahUKEwil_LjQ5p6SAxWAZWwGHWf3MUgQxccNegQIMBAB&amp;mstk=AUtExfAHfI4RXjw3ijOPjOfLPjcVjfNh7eg0SDhA2DIHb2WQonBDJtCnMJktEq--OA8JHIze5TpFkqx_0oJpusOGQjQyS834ATQ2i77_BkeNvIAZ6809U2xKTyWGDNqVvAxL_ibmySufsJq8WNIkNc6-rbji-J3dyTQt-waH4-uWHaKN-__9QWfvI8YKHBDy7e4rxP7sOamE8bpmjXizktIdyZHefR4zktEpQVNdMkoKYMtvUai7Qo6DMFTe73-r3A5h2o0gKAB9A84-tEMw8D_4CGDd&amp;csui=3"/>
      </x:ext>
    </extLst>
  </threadedComment>
  <threadedComment ref="A355" dT="2025-08-13T06:58:39.21" personId="{00000000-0000-0000-0000-000000000000}" id="{97206377-914C-46D3-8BE6-31E3B4BEE8E8}">
    <text>To approach the Plant from exiting road</text>
  </threadedComment>
  <threadedComment ref="A356" dT="2025-08-13T06:58:58.37" personId="{00000000-0000-0000-0000-000000000000}" id="{74046293-FF3F-411B-BCA5-F335D85569EC}">
    <text>Providing access for routine maintenance tasks like cleaning, inspections, and repairs of the solar panels and associated equipment.</text>
  </threadedComment>
  <threadedComment ref="A357" dT="2025-08-13T06:59:17.65" personId="{00000000-0000-0000-0000-000000000000}" id="{9354B6B9-FA08-4757-93E6-A4CD3788DFE5}">
    <text xml:space="preserve">Peripheral roads facilitate security patrols and surveillance activities, helping prevent theft and vandalism. Regular patrols along these roads allow for quicker detection of unauthorized entry or suspicious activities. </text>
  </threadedComment>
  <threadedComment ref="A358" dT="2025-08-13T07:00:45.60" personId="{00000000-0000-0000-0000-000000000000}" id="{B4D467F0-2262-433D-9C6C-A40E8A74E1B7}">
    <text>Stormwater drainage systems are essential infrastructure designed to manage excess rainwater and melted snow from various surfaces, primarily impervious one solar plant area ground mounted locations.</text>
  </threadedComment>
  <threadedComment ref="A359" dT="2025-08-13T07:02:45.65" personId="{00000000-0000-0000-0000-000000000000}" id="{867354C8-AF5E-4EFD-A98B-1AE087DFDB99}">
    <text>Many inverter control rooms are prefabricated, built using lightweight and insulated sandwich panels  to keep the other electronics device like battery LT panel etc.</text>
  </threadedComment>
  <threadedComment ref="A365" dT="2025-08-13T07:04:38.28" personId="{00000000-0000-0000-0000-000000000000}" id="{7049A4D8-6772-4DD4-B938-B10F35689B15}">
    <text>CEIG liaisoning cost covers expenses related to obtaining approvals, inspections, and certifications from the Chief Electrical Inspector to Government for electrical installations.</text>
  </threadedComment>
  <threadedComment ref="A366" dT="2025-08-13T07:05:20.30" personId="{00000000-0000-0000-0000-000000000000}" id="{EADDC402-095B-4F81-BF19-504F1B58E1A9}">
    <text xml:space="preserve">NOC (No Objection Certificate) from DISCOMs is a crucial requirement for setting up solar power plants in India. This certificate ensures that your solar system complies with the DISCOM's grid connection and safety standards. Without an NOC, you cannot proceed with your solar installation. </text>
  </threadedComment>
  <threadedComment ref="A367" dT="2025-08-13T07:06:14.39" personId="{00000000-0000-0000-0000-000000000000}" id="{EE1886DB-455E-4929-9379-85DD796437DC}">
    <text xml:space="preserve">Net metering is a crucial mechanism that allows owners of solar PV systems to send surplus electricity generated back to the grid and receive credits for it, effectively reducing their overall electricity bills. In India, this process often involves the use of ABT (Availability Based Tariff) meters, particularly for larger installations or high-tension consumers </text>
  </threadedComment>
  <threadedComment ref="A368" dT="2025-08-13T07:06:51.90" personId="{00000000-0000-0000-0000-000000000000}" id="{4EDB48FC-7A81-4CA2-9021-83962FE71DF2}">
    <text xml:space="preserve">In India, installing a solar power plant, especially an on-grid or net-metered system, involves a variety of statutory fees and charges levied by different government bodies and agencies. These fees can vary significantly based on factors such as the size and type of the plant (e.g., residential rooftop vs. utility-scale), the specific state, and the local electricity distribution company (DISCOM).  </text>
  </threadedComment>
  <threadedComment ref="A369" dT="2025-08-13T07:07:52.83" personId="{00000000-0000-0000-0000-000000000000}" id="{E0B3DC3D-2B46-458D-BA64-0568B83F1FB6}">
    <text xml:space="preserve">Metering cubicles are vital for businesses and infrastructure projects that rely on efficient and accurate energy management. They are used in applications like substations, industrial plants, and utility installations to monitor and record electricity usage for billing, monitoring, and optimization </text>
  </threadedComment>
  <threadedComment ref="A371" dT="2026-01-22T09:07:04.72" personId="{00000000-0000-0000-0000-000000000000}" id="{313AF158-C5E4-4A1B-BC6B-560D22882059}">
    <text>Applicable for Tamil nadu state</text>
  </threadedComment>
  <threadedComment ref="A372" dT="2026-01-22T09:07:26.61" personId="{00000000-0000-0000-0000-000000000000}" id="{9E118BF4-2F86-40A1-A0AE-7BE6A60CD4E0}">
    <text>Applicable for Tamil nadu state</text>
  </threadedComment>
  <threadedComment ref="A373" dT="2025-08-13T07:12:24.61" personId="{00000000-0000-0000-0000-000000000000}" id="{5FDAFA6F-0D0E-497F-8126-BC3CEFC8FCFC}">
    <text xml:space="preserve">It measures the amount of electricity generated by the solar system (in kWh) and how much of it is sent to your load (and possibly to the grid). </text>
  </threadedComment>
  <threadedComment ref="A375" dT="2025-08-13T07:13:22.06" personId="{00000000-0000-0000-0000-000000000000}" id="{F998792A-2760-439F-AABA-F25A81C94ED2}">
    <text xml:space="preserve">The Renewable Purchase Obligation (RPO) is a critical regulatory mechanism in India designed to promote the generation and consumption of electricity from renewable energy (RE) sources. Mandated by the Electricity Act, 2003, and subsequently elaborated upon by the Central and State Electricity Regulatory Commissions (CERC/SERCs), the RPO framework requires certain obligated entities to procure a specified percentage of their electricity from RE sources </text>
  </threadedComment>
  <threadedComment ref="A376" dT="2026-01-22T09:06:12.67" personId="{00000000-0000-0000-0000-000000000000}" id="{D3AD6D28-7FEB-444D-87A7-BD0ABC8B7331}">
    <text>Applicable only on MP state</text>
  </threadedComment>
  <threadedComment ref="A377" dT="2026-01-22T09:06:47.98" personId="{00000000-0000-0000-0000-000000000000}" id="{B02405BC-5419-4136-AC6E-D45E726ABB66}">
    <text>Running cost for MP State</text>
  </threadedComment>
  <threadedComment ref="A378" dT="2025-08-13T07:16:35.85" personId="{00000000-0000-0000-0000-000000000000}" id="{42CF554A-CAAA-4FC5-A2B8-AA86672E3E41}">
    <text xml:space="preserve">the solar capacity in AP exceeds 1 MW, you must go through a special approval process, and you’ll incur higher application charges MW as per the draft APERC regulations </text>
  </threadedComment>
  <threadedComment ref="A379" dT="2025-08-13T07:19:30.19" personId="{00000000-0000-0000-0000-000000000000}" id="{8997DF15-C67F-454B-ADC4-9B7892BAEE18}">
    <text xml:space="preserve">The seamless communication between Remote Terminal Units (RTUs) at solar power plants and the State Load Despatch Centres (SLDCs) is critical for efficient grid integration, monitoring, and control of renewable energy (RE) generation. This communication ensures grid stability, optimizes power flow, and helps manage the intermittent nature of solar power.## I. Importance of communication </text>
  </threadedComment>
  <threadedComment ref="A380" dT="2025-08-13T07:20:39.01" personId="{00000000-0000-0000-0000-000000000000}" id="{A954FDCB-413A-4E06-98BF-DD8506F0C85F}">
    <text>In India, the term "DISCOM meter" refers to the electricity meter provided and managed by the local Distribution Company (DISCOM). This meter plays a crucial role in the financial accounting and operation of solar power plants, particularly those connected to the grid. There are two primary types of metering arrangements employed by DISCOMs for solar rooftop plants: net metering and gross metering. </text>
  </threadedComment>
  <threadedComment ref="A386" dT="2025-08-13T07:20:59.40" personId="{00000000-0000-0000-0000-000000000000}" id="{763581FD-06C8-4783-B815-FF03DB829D3C}">
    <text xml:space="preserve">EPC Margin represents the profit margin added by the Engineering, Procurement, and Construction contractor for managing and executing the complete project scope efficiently and successfully. </text>
  </threadedComment>
  <threadedComment ref="A387" dT="2025-08-13T07:21:16.57" personId="{00000000-0000-0000-0000-000000000000}" id="{BD8A64CA-C39F-4F35-99BA-4DCCC03FF596}">
    <text>Marketing commission is the fee paid to agents or agencies for promoting and securing project orders, contributing to business growth and client acquisition.</text>
  </threadedComment>
  <threadedComment ref="A391" dT="2025-08-13T07:21:39.23" personId="{00000000-0000-0000-0000-000000000000}" id="{98353CFC-56B6-40B0-AE6D-83EA5332A484}">
    <text xml:space="preserve">Annual Maintenance Contract (AMC) covers scheduled servicing, repairs, and technical support to ensure reliable operation and longevity of equipment throughout the year. </text>
  </threadedComment>
  <threadedComment ref="A392" dT="2026-01-22T09:08:04.38" personId="{00000000-0000-0000-0000-000000000000}" id="{FD727342-9C0B-4A58-B3B9-374A259EC088}">
    <text>Applicable for ITC Projects</text>
  </threadedComment>
  <threadedComment ref="A395" dT="2025-08-13T07:22:37.10" personId="{00000000-0000-0000-0000-000000000000}" id="{4B0BD874-238C-4CF4-B260-A273EFE45FB7}">
    <text xml:space="preserve">Solar CAPEX (Capital Expenditure) costs refer to the upfront investment required to purchase, install, and commission a solar energy system. Essentially, it's the initial capital outlay a business or individual makes to own the solar power plant outright. </text>
  </threadedComment>
  <threadedComment ref="A397" dT="2025-08-13T07:22:51.27" personId="{00000000-0000-0000-0000-000000000000}" id="{424E2458-40C9-4C6D-A0D5-E67BC33C879B}">
    <text xml:space="preserve">A BG is a financial instrument issued by a bank that ensures the fulfillment of contractual or financial obligations. If a party fails to meet their obligations, the bank will step in and cover the losses up to the guaranteed amount. </text>
  </threadedComment>
  <threadedComment ref="A399" dT="2025-08-13T07:23:04.85" personId="{00000000-0000-0000-0000-000000000000}" id="{2C613DE7-B1D8-4A97-8EC8-F485C5311620}">
    <text>Capex cost including BG Value</text>
  </threadedComment>
  <threadedComment ref="A401" dT="2025-08-13T07:23:28.58" personId="{00000000-0000-0000-0000-000000000000}" id="{02937FB3-F055-4B69-89C0-75132677DE1C}">
    <text xml:space="preserve">In India, the Goods and Services Tax (GST) applies to solar power projects, though with specific rates and regulations designed to balance tax revenue with the promotion of renewable energy. </text>
  </threadedComment>
  <threadedComment ref="A403" dT="2025-08-13T07:23:45.14" personId="{00000000-0000-0000-0000-000000000000}" id="{0A2A12EE-5C97-4D5F-92A1-5AFB9505D616}">
    <text xml:space="preserve">OPEX or Operating Expenditure refers to the ongoing costs incurred to run and maintain a solar power plant throughout its operational lifetime. </text>
  </threadedComment>
  <threadedComment ref="A591" dT="2025-08-12T10:14:27.66" personId="{00000000-0000-0000-0000-000000000000}" id="{CE9AD8CA-85EF-44B0-97A2-4EE2F5628BDF}">
    <text xml:space="preserve">Optimizers utilize Maximum Power Point Tracking (MPPT) technology at the individual panel level. This means they constantly monitor the voltage and current of each panel, adjusting its electrical characteristics to ensure it operates at its peak power output, regardless of the performance of other panels in the array.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B2A98-F003-4580-99E1-222992EFD490}">
  <sheetPr codeName="Sheet1">
    <tabColor rgb="FFCC00CC"/>
  </sheetPr>
  <dimension ref="A1:AE307"/>
  <sheetViews>
    <sheetView showGridLines="0" topLeftCell="A13" zoomScale="70" zoomScaleNormal="70" workbookViewId="0">
      <selection activeCell="B33" sqref="B33"/>
    </sheetView>
  </sheetViews>
  <sheetFormatPr defaultColWidth="9.44140625" defaultRowHeight="18"/>
  <cols>
    <col min="1" max="1" width="64.33203125" style="173" bestFit="1" customWidth="1"/>
    <col min="2" max="2" width="40.6640625" style="173" customWidth="1"/>
    <col min="3" max="3" width="19.6640625" style="173" customWidth="1"/>
    <col min="4" max="4" width="23.33203125" style="173" customWidth="1"/>
    <col min="5" max="5" width="37.44140625" style="173" bestFit="1" customWidth="1"/>
    <col min="6" max="6" width="25.6640625" style="173" customWidth="1"/>
    <col min="7" max="7" width="15.33203125" style="173" bestFit="1" customWidth="1"/>
    <col min="8" max="8" width="19" style="173" customWidth="1"/>
    <col min="9" max="10" width="9.44140625" style="173"/>
    <col min="11" max="11" width="14.5546875" style="173" customWidth="1"/>
    <col min="12" max="12" width="11.6640625" style="173" customWidth="1"/>
    <col min="13" max="13" width="14.6640625" style="173" customWidth="1"/>
    <col min="14" max="14" width="12.6640625" style="173" customWidth="1"/>
    <col min="15" max="15" width="0" style="173" hidden="1" customWidth="1"/>
    <col min="16" max="16" width="19.5546875" style="173" hidden="1" customWidth="1"/>
    <col min="17" max="17" width="17.33203125" style="173" hidden="1" customWidth="1"/>
    <col min="18" max="18" width="10.44140625" style="173" hidden="1" customWidth="1"/>
    <col min="19" max="19" width="16.6640625" style="173" hidden="1" customWidth="1"/>
    <col min="20" max="20" width="17.6640625" style="173" hidden="1" customWidth="1"/>
    <col min="21" max="21" width="13.33203125" style="173" hidden="1" customWidth="1"/>
    <col min="22" max="22" width="17.33203125" style="173" hidden="1" customWidth="1"/>
    <col min="23" max="23" width="19.5546875" style="173" hidden="1" customWidth="1"/>
    <col min="24" max="24" width="17.33203125" style="173" customWidth="1"/>
    <col min="25" max="16384" width="9.44140625" style="173"/>
  </cols>
  <sheetData>
    <row r="1" spans="1:23" ht="18.75" customHeight="1">
      <c r="A1" s="2451"/>
      <c r="B1" s="2452"/>
      <c r="C1" s="2457" t="s">
        <v>1952</v>
      </c>
      <c r="D1" s="2458"/>
    </row>
    <row r="2" spans="1:23">
      <c r="A2" s="2453"/>
      <c r="B2" s="2454"/>
      <c r="C2" s="2459" t="s">
        <v>1951</v>
      </c>
      <c r="D2" s="2460"/>
      <c r="P2" s="173" t="s">
        <v>0</v>
      </c>
      <c r="Q2" s="173" t="s">
        <v>0</v>
      </c>
      <c r="R2" s="173" t="s">
        <v>1</v>
      </c>
      <c r="S2" s="173" t="s">
        <v>2</v>
      </c>
      <c r="T2" s="173" t="s">
        <v>3</v>
      </c>
      <c r="U2" s="173" t="s">
        <v>4</v>
      </c>
      <c r="V2" s="173" t="s">
        <v>0</v>
      </c>
      <c r="W2" s="173" t="s">
        <v>0</v>
      </c>
    </row>
    <row r="3" spans="1:23" ht="18.600000000000001" thickBot="1">
      <c r="A3" s="2455"/>
      <c r="B3" s="2456"/>
      <c r="C3" s="2461" t="s">
        <v>5</v>
      </c>
      <c r="D3" s="2462"/>
      <c r="P3" s="173" t="s">
        <v>6</v>
      </c>
      <c r="Q3" s="173" t="s">
        <v>7</v>
      </c>
      <c r="R3" s="173" t="s">
        <v>8</v>
      </c>
      <c r="S3" s="173" t="s">
        <v>0</v>
      </c>
      <c r="T3" s="173" t="s">
        <v>9</v>
      </c>
      <c r="U3" s="173" t="s">
        <v>10</v>
      </c>
      <c r="V3" s="173" t="s">
        <v>11</v>
      </c>
      <c r="W3" s="173" t="s">
        <v>12</v>
      </c>
    </row>
    <row r="4" spans="1:23" ht="20.399999999999999" thickBot="1">
      <c r="A4" s="2463" t="s">
        <v>13</v>
      </c>
      <c r="B4" s="2464"/>
      <c r="C4" s="2464"/>
      <c r="D4" s="2465"/>
      <c r="P4" s="173" t="s">
        <v>14</v>
      </c>
      <c r="Q4" s="173" t="s">
        <v>12</v>
      </c>
      <c r="S4" s="173" t="s">
        <v>6</v>
      </c>
      <c r="V4" s="173" t="s">
        <v>12</v>
      </c>
      <c r="W4" s="173" t="s">
        <v>7</v>
      </c>
    </row>
    <row r="5" spans="1:23" ht="18.600000000000001" thickBot="1">
      <c r="A5" s="2485" t="s">
        <v>15</v>
      </c>
      <c r="B5" s="2486"/>
      <c r="C5" s="2487" t="s">
        <v>16</v>
      </c>
      <c r="D5" s="2488" t="s">
        <v>16</v>
      </c>
      <c r="P5" s="173" t="s">
        <v>2</v>
      </c>
      <c r="V5" s="173" t="s">
        <v>7</v>
      </c>
    </row>
    <row r="6" spans="1:23">
      <c r="A6" s="1062" t="s">
        <v>17</v>
      </c>
      <c r="B6" s="1063" t="s">
        <v>1970</v>
      </c>
      <c r="C6" s="2489"/>
      <c r="D6" s="2490"/>
    </row>
    <row r="7" spans="1:23">
      <c r="A7" s="1044" t="s">
        <v>18</v>
      </c>
      <c r="B7" s="1040">
        <v>9551062519</v>
      </c>
      <c r="C7" s="2419"/>
      <c r="D7" s="2420"/>
    </row>
    <row r="8" spans="1:23">
      <c r="A8" s="1044" t="s">
        <v>19</v>
      </c>
      <c r="B8" s="1055" t="s">
        <v>1971</v>
      </c>
      <c r="C8" s="2419"/>
      <c r="D8" s="2420"/>
    </row>
    <row r="9" spans="1:23">
      <c r="A9" s="1044" t="s">
        <v>20</v>
      </c>
      <c r="B9" s="1056"/>
      <c r="C9" s="2419"/>
      <c r="D9" s="2420"/>
    </row>
    <row r="10" spans="1:23" s="898" customFormat="1">
      <c r="A10" s="1048" t="s">
        <v>21</v>
      </c>
      <c r="B10" s="1047" t="s">
        <v>22</v>
      </c>
      <c r="C10" s="2471" t="str">
        <f>IF(B10&lt;&gt;"","","Please fill the State to access further details")</f>
        <v/>
      </c>
      <c r="D10" s="2472"/>
    </row>
    <row r="11" spans="1:23" s="363" customFormat="1">
      <c r="A11" s="1048" t="s">
        <v>23</v>
      </c>
      <c r="B11" s="2160" t="s">
        <v>1978</v>
      </c>
      <c r="C11" s="2473"/>
      <c r="D11" s="2474"/>
    </row>
    <row r="12" spans="1:23" s="898" customFormat="1">
      <c r="A12" s="1048" t="s">
        <v>24</v>
      </c>
      <c r="B12" s="1057" t="s">
        <v>25</v>
      </c>
      <c r="C12" s="2475"/>
      <c r="D12" s="2476"/>
    </row>
    <row r="13" spans="1:23" s="898" customFormat="1" ht="51.75" customHeight="1">
      <c r="A13" s="1064" t="s">
        <v>26</v>
      </c>
      <c r="B13" s="1058" t="s">
        <v>1973</v>
      </c>
      <c r="C13" s="2419"/>
      <c r="D13" s="2420"/>
    </row>
    <row r="14" spans="1:23" s="898" customFormat="1">
      <c r="A14" s="1048" t="s">
        <v>27</v>
      </c>
      <c r="B14" s="1040" t="s">
        <v>1972</v>
      </c>
      <c r="C14" s="2419"/>
      <c r="D14" s="2420"/>
    </row>
    <row r="15" spans="1:23" ht="18.75" customHeight="1">
      <c r="A15" s="1044" t="s">
        <v>28</v>
      </c>
      <c r="B15" s="1047" t="s">
        <v>151</v>
      </c>
      <c r="C15" s="2479" t="str">
        <f>IF(B15&lt;&gt;"","","Further details to RFP/RFQ can be accessed only if RFP/RFQ details are filled")</f>
        <v/>
      </c>
      <c r="D15" s="2480"/>
      <c r="E15" s="2437"/>
      <c r="F15" s="2438"/>
      <c r="G15" s="2438"/>
      <c r="H15" s="2438"/>
      <c r="I15" s="2438"/>
      <c r="J15" s="2438"/>
      <c r="K15" s="2438"/>
    </row>
    <row r="16" spans="1:23">
      <c r="A16" s="1044" t="s">
        <v>29</v>
      </c>
      <c r="B16" s="1041" t="s">
        <v>30</v>
      </c>
      <c r="C16" s="2481"/>
      <c r="D16" s="2482"/>
    </row>
    <row r="17" spans="1:4">
      <c r="A17" s="1044" t="s">
        <v>31</v>
      </c>
      <c r="B17" s="1040">
        <v>400</v>
      </c>
      <c r="C17" s="2481"/>
      <c r="D17" s="2482"/>
    </row>
    <row r="18" spans="1:4">
      <c r="A18" s="1044" t="s">
        <v>32</v>
      </c>
      <c r="B18" s="1040">
        <v>1</v>
      </c>
      <c r="C18" s="2483"/>
      <c r="D18" s="2484"/>
    </row>
    <row r="19" spans="1:4">
      <c r="A19" s="1044" t="s">
        <v>33</v>
      </c>
      <c r="B19" s="1040" t="s">
        <v>411</v>
      </c>
      <c r="C19" s="2419"/>
      <c r="D19" s="2420"/>
    </row>
    <row r="20" spans="1:4" ht="18.75" customHeight="1">
      <c r="A20" s="1048" t="s">
        <v>34</v>
      </c>
      <c r="B20" s="1042" t="s">
        <v>1975</v>
      </c>
      <c r="C20" s="2419"/>
      <c r="D20" s="2420"/>
    </row>
    <row r="21" spans="1:4" ht="18.75" customHeight="1">
      <c r="A21" s="1048" t="s">
        <v>35</v>
      </c>
      <c r="B21" s="1042" t="s">
        <v>1976</v>
      </c>
      <c r="C21" s="2419"/>
      <c r="D21" s="2420"/>
    </row>
    <row r="22" spans="1:4" ht="18.75" customHeight="1">
      <c r="A22" s="1048" t="s">
        <v>36</v>
      </c>
      <c r="B22" s="1042" t="s">
        <v>1977</v>
      </c>
      <c r="C22" s="2419"/>
      <c r="D22" s="2420"/>
    </row>
    <row r="23" spans="1:4" ht="18.75" customHeight="1">
      <c r="A23" s="1048" t="s">
        <v>38</v>
      </c>
      <c r="B23" s="1059"/>
      <c r="C23" s="2419"/>
      <c r="D23" s="2420"/>
    </row>
    <row r="24" spans="1:4" ht="18.75" customHeight="1">
      <c r="A24" s="1044" t="s">
        <v>39</v>
      </c>
      <c r="B24" s="1047"/>
      <c r="C24" s="2439" t="str">
        <f>B16 &amp; " Model"</f>
        <v>Capex Model</v>
      </c>
      <c r="D24" s="2440"/>
    </row>
    <row r="25" spans="1:4" ht="18.75" customHeight="1">
      <c r="A25" s="1044" t="s">
        <v>40</v>
      </c>
      <c r="B25" s="1069"/>
      <c r="C25" s="2439" t="str">
        <f>C24</f>
        <v>Capex Model</v>
      </c>
      <c r="D25" s="2440"/>
    </row>
    <row r="26" spans="1:4" ht="18.75" customHeight="1">
      <c r="A26" s="1044" t="s">
        <v>41</v>
      </c>
      <c r="B26" s="1060"/>
      <c r="C26" s="2466" t="str">
        <f>C25</f>
        <v>Capex Model</v>
      </c>
      <c r="D26" s="2467"/>
    </row>
    <row r="27" spans="1:4" ht="18.75" customHeight="1">
      <c r="A27" s="1044" t="s">
        <v>42</v>
      </c>
      <c r="B27" s="1061"/>
      <c r="C27" s="2466" t="str">
        <f>C26</f>
        <v>Capex Model</v>
      </c>
      <c r="D27" s="2467"/>
    </row>
    <row r="28" spans="1:4" ht="18.75" customHeight="1">
      <c r="A28" s="1048" t="s">
        <v>43</v>
      </c>
      <c r="B28" s="1065">
        <v>0</v>
      </c>
      <c r="C28" s="1875">
        <f>'Bidcell BOM (LTS)'!F387</f>
        <v>0</v>
      </c>
      <c r="D28" s="2110" t="s">
        <v>44</v>
      </c>
    </row>
    <row r="29" spans="1:4" ht="18.75" customHeight="1" thickBot="1">
      <c r="A29" s="1049" t="s">
        <v>45</v>
      </c>
      <c r="B29" s="1066">
        <v>0.1</v>
      </c>
      <c r="C29" s="1876">
        <f>'Bidcell BOM (LTS)'!F386</f>
        <v>3.5242261549985003</v>
      </c>
      <c r="D29" s="2111" t="s">
        <v>44</v>
      </c>
    </row>
    <row r="30" spans="1:4" ht="18.600000000000001" thickBot="1"/>
    <row r="31" spans="1:4" s="1038" customFormat="1" ht="21.6" thickBot="1">
      <c r="A31" s="2468" t="s">
        <v>46</v>
      </c>
      <c r="B31" s="2469"/>
      <c r="C31" s="2469" t="s">
        <v>16</v>
      </c>
      <c r="D31" s="2470"/>
    </row>
    <row r="32" spans="1:4" s="1039" customFormat="1" ht="18.600000000000001" thickBot="1">
      <c r="A32" s="2426" t="s">
        <v>47</v>
      </c>
      <c r="B32" s="2427"/>
      <c r="C32" s="2427"/>
      <c r="D32" s="2428"/>
    </row>
    <row r="33" spans="1:5" ht="18.75" customHeight="1">
      <c r="A33" s="1046" t="s">
        <v>48</v>
      </c>
      <c r="B33" s="1050" t="s">
        <v>0</v>
      </c>
      <c r="C33" s="2424"/>
      <c r="D33" s="2425"/>
    </row>
    <row r="34" spans="1:5" ht="18.75" customHeight="1">
      <c r="A34" s="1044" t="s">
        <v>50</v>
      </c>
      <c r="B34" s="1050" t="s">
        <v>7</v>
      </c>
      <c r="C34" s="2419"/>
      <c r="D34" s="2420"/>
    </row>
    <row r="35" spans="1:5" ht="18.75" customHeight="1">
      <c r="A35" s="1044" t="s">
        <v>51</v>
      </c>
      <c r="B35" s="1050" t="s">
        <v>7</v>
      </c>
      <c r="C35" s="2419"/>
      <c r="D35" s="2420"/>
    </row>
    <row r="36" spans="1:5" ht="18.75" customHeight="1">
      <c r="A36" s="1044" t="s">
        <v>52</v>
      </c>
      <c r="B36" s="1050" t="s">
        <v>49</v>
      </c>
      <c r="C36" s="2419"/>
      <c r="D36" s="2420"/>
    </row>
    <row r="37" spans="1:5" ht="18.75" customHeight="1">
      <c r="A37" s="1044" t="s">
        <v>53</v>
      </c>
      <c r="B37" s="1050" t="s">
        <v>12</v>
      </c>
      <c r="C37" s="2419"/>
      <c r="D37" s="2420"/>
    </row>
    <row r="38" spans="1:5" ht="18.75" customHeight="1">
      <c r="A38" s="1044" t="s">
        <v>54</v>
      </c>
      <c r="B38" s="1047" t="s">
        <v>57</v>
      </c>
      <c r="C38" s="2419"/>
      <c r="D38" s="2420"/>
      <c r="E38" s="903"/>
    </row>
    <row r="39" spans="1:5" ht="18.75" customHeight="1">
      <c r="A39" s="1044" t="s">
        <v>56</v>
      </c>
      <c r="B39" s="1047" t="s">
        <v>57</v>
      </c>
      <c r="C39" s="2419"/>
      <c r="D39" s="2420"/>
      <c r="E39" s="903"/>
    </row>
    <row r="40" spans="1:5" ht="18.75" customHeight="1">
      <c r="A40" s="1044" t="s">
        <v>58</v>
      </c>
      <c r="B40" s="1047" t="s">
        <v>132</v>
      </c>
      <c r="C40" s="2419"/>
      <c r="D40" s="2420"/>
      <c r="E40" s="903"/>
    </row>
    <row r="41" spans="1:5" ht="18.75" customHeight="1" thickBot="1">
      <c r="A41" s="1051" t="s">
        <v>60</v>
      </c>
      <c r="B41" s="1047" t="s">
        <v>132</v>
      </c>
      <c r="C41" s="2431"/>
      <c r="D41" s="2432"/>
      <c r="E41" s="903"/>
    </row>
    <row r="42" spans="1:5" ht="18.75" customHeight="1" thickBot="1">
      <c r="A42" s="2433" t="s">
        <v>61</v>
      </c>
      <c r="B42" s="2434"/>
      <c r="C42" s="2434"/>
      <c r="D42" s="2435"/>
    </row>
    <row r="43" spans="1:5" ht="18.75" customHeight="1">
      <c r="A43" s="1052" t="s">
        <v>62</v>
      </c>
      <c r="B43" s="1829"/>
      <c r="C43" s="2424"/>
      <c r="D43" s="2425"/>
    </row>
    <row r="44" spans="1:5" ht="18.75" customHeight="1">
      <c r="A44" s="906" t="s">
        <v>64</v>
      </c>
      <c r="B44" s="1041"/>
      <c r="C44" s="2419"/>
      <c r="D44" s="2420"/>
    </row>
    <row r="45" spans="1:5" ht="18.75" customHeight="1">
      <c r="A45" s="906" t="s">
        <v>66</v>
      </c>
      <c r="B45" s="1047"/>
      <c r="C45" s="2419"/>
      <c r="D45" s="2420"/>
    </row>
    <row r="46" spans="1:5" ht="18.75" customHeight="1">
      <c r="A46" s="906" t="s">
        <v>68</v>
      </c>
      <c r="B46" s="1041"/>
      <c r="C46" s="2419"/>
      <c r="D46" s="2420"/>
    </row>
    <row r="47" spans="1:5" ht="18.75" customHeight="1" thickBot="1">
      <c r="A47" s="1053" t="s">
        <v>70</v>
      </c>
      <c r="B47" s="1830"/>
      <c r="C47" s="2431"/>
      <c r="D47" s="2432"/>
    </row>
    <row r="48" spans="1:5" s="1039" customFormat="1" ht="18.75" customHeight="1" thickBot="1">
      <c r="A48" s="2426" t="s">
        <v>72</v>
      </c>
      <c r="B48" s="2427"/>
      <c r="C48" s="2427"/>
      <c r="D48" s="2428"/>
    </row>
    <row r="49" spans="1:4" ht="18.75" customHeight="1">
      <c r="A49" s="1046" t="s">
        <v>73</v>
      </c>
      <c r="B49" s="1050"/>
      <c r="C49" s="2424"/>
      <c r="D49" s="2425"/>
    </row>
    <row r="50" spans="1:4" ht="18.75" customHeight="1">
      <c r="A50" s="1044" t="s">
        <v>74</v>
      </c>
      <c r="B50" s="1050"/>
      <c r="C50" s="2419"/>
      <c r="D50" s="2420"/>
    </row>
    <row r="51" spans="1:4" ht="18.75" customHeight="1">
      <c r="A51" s="1044" t="s">
        <v>75</v>
      </c>
      <c r="B51" s="1050"/>
      <c r="C51" s="2419"/>
      <c r="D51" s="2420"/>
    </row>
    <row r="52" spans="1:4" ht="18.75" customHeight="1">
      <c r="A52" s="1044" t="s">
        <v>76</v>
      </c>
      <c r="B52" s="1050"/>
      <c r="C52" s="2419"/>
      <c r="D52" s="2420"/>
    </row>
    <row r="53" spans="1:4" ht="18.75" customHeight="1">
      <c r="A53" s="1044" t="s">
        <v>78</v>
      </c>
      <c r="B53" s="1050"/>
      <c r="C53" s="2419"/>
      <c r="D53" s="2420"/>
    </row>
    <row r="54" spans="1:4" ht="18.75" customHeight="1">
      <c r="A54" s="1044" t="s">
        <v>79</v>
      </c>
      <c r="B54" s="1050"/>
      <c r="C54" s="2419"/>
      <c r="D54" s="2420"/>
    </row>
    <row r="55" spans="1:4" ht="18.75" customHeight="1">
      <c r="A55" s="1044" t="s">
        <v>80</v>
      </c>
      <c r="B55" s="1050"/>
      <c r="C55" s="2419"/>
      <c r="D55" s="2420"/>
    </row>
    <row r="56" spans="1:4" ht="18.75" customHeight="1">
      <c r="A56" s="1044" t="s">
        <v>81</v>
      </c>
      <c r="B56" s="1050"/>
      <c r="C56" s="2419"/>
      <c r="D56" s="2420"/>
    </row>
    <row r="57" spans="1:4" ht="18.75" customHeight="1" thickBot="1">
      <c r="A57" s="1051" t="s">
        <v>82</v>
      </c>
      <c r="B57" s="1050"/>
      <c r="C57" s="2431"/>
      <c r="D57" s="2432"/>
    </row>
    <row r="58" spans="1:4" s="1038" customFormat="1" ht="18.75" customHeight="1" thickBot="1">
      <c r="A58" s="2426" t="s">
        <v>83</v>
      </c>
      <c r="B58" s="2427"/>
      <c r="C58" s="2427"/>
      <c r="D58" s="2428"/>
    </row>
    <row r="59" spans="1:4" s="1038" customFormat="1" ht="18.75" customHeight="1" thickBot="1">
      <c r="A59" s="1054" t="s">
        <v>84</v>
      </c>
      <c r="B59" s="1050"/>
      <c r="C59" s="2441"/>
      <c r="D59" s="2442"/>
    </row>
    <row r="60" spans="1:4" s="1039" customFormat="1" ht="18.75" customHeight="1" thickBot="1">
      <c r="A60" s="2426" t="s">
        <v>85</v>
      </c>
      <c r="B60" s="2427"/>
      <c r="C60" s="2427"/>
      <c r="D60" s="2428"/>
    </row>
    <row r="61" spans="1:4" ht="18.75" customHeight="1">
      <c r="A61" s="1046" t="s">
        <v>86</v>
      </c>
      <c r="B61" s="1050" t="s">
        <v>0</v>
      </c>
      <c r="C61" s="2424"/>
      <c r="D61" s="2425"/>
    </row>
    <row r="62" spans="1:4" ht="18.75" customHeight="1">
      <c r="A62" s="1044" t="s">
        <v>87</v>
      </c>
      <c r="B62" s="1050" t="s">
        <v>12</v>
      </c>
      <c r="C62" s="2419"/>
      <c r="D62" s="2420"/>
    </row>
    <row r="63" spans="1:4" ht="18.75" customHeight="1">
      <c r="A63" s="1044" t="s">
        <v>88</v>
      </c>
      <c r="B63" s="1050" t="s">
        <v>12</v>
      </c>
      <c r="C63" s="2419"/>
      <c r="D63" s="2420"/>
    </row>
    <row r="64" spans="1:4" ht="18.75" customHeight="1">
      <c r="A64" s="1044" t="s">
        <v>89</v>
      </c>
      <c r="B64" s="1050" t="s">
        <v>90</v>
      </c>
      <c r="C64" s="2429"/>
      <c r="D64" s="2430"/>
    </row>
    <row r="65" spans="1:4" ht="18.75" customHeight="1">
      <c r="A65" s="1044" t="s">
        <v>91</v>
      </c>
      <c r="B65" s="1050" t="s">
        <v>12</v>
      </c>
      <c r="C65" s="2419"/>
      <c r="D65" s="2420"/>
    </row>
    <row r="66" spans="1:4" ht="18.75" customHeight="1">
      <c r="A66" s="1044" t="s">
        <v>92</v>
      </c>
      <c r="B66" s="1050" t="s">
        <v>0</v>
      </c>
      <c r="C66" s="2419"/>
      <c r="D66" s="2420"/>
    </row>
    <row r="67" spans="1:4" ht="18.75" customHeight="1">
      <c r="A67" s="1044" t="s">
        <v>93</v>
      </c>
      <c r="B67" s="1050" t="s">
        <v>0</v>
      </c>
      <c r="C67" s="2419"/>
      <c r="D67" s="2420"/>
    </row>
    <row r="68" spans="1:4" ht="18.75" customHeight="1">
      <c r="A68" s="1044" t="s">
        <v>94</v>
      </c>
      <c r="B68" s="1050" t="s">
        <v>12</v>
      </c>
      <c r="C68" s="2419"/>
      <c r="D68" s="2420"/>
    </row>
    <row r="69" spans="1:4" ht="18.75" customHeight="1">
      <c r="A69" s="1044" t="s">
        <v>95</v>
      </c>
      <c r="B69" s="1050" t="s">
        <v>0</v>
      </c>
      <c r="C69" s="2419"/>
      <c r="D69" s="2420"/>
    </row>
    <row r="70" spans="1:4" ht="18.75" customHeight="1">
      <c r="A70" s="1048" t="s">
        <v>96</v>
      </c>
      <c r="B70" s="1041" t="s">
        <v>49</v>
      </c>
      <c r="C70" s="2419"/>
      <c r="D70" s="2420"/>
    </row>
    <row r="71" spans="1:4" ht="18.75" customHeight="1">
      <c r="A71" s="1048" t="s">
        <v>97</v>
      </c>
      <c r="B71" s="1041" t="s">
        <v>63</v>
      </c>
      <c r="C71" s="2419"/>
      <c r="D71" s="2420"/>
    </row>
    <row r="72" spans="1:4" ht="18.75" customHeight="1">
      <c r="A72" s="1048" t="s">
        <v>98</v>
      </c>
      <c r="B72" s="1041" t="s">
        <v>63</v>
      </c>
      <c r="C72" s="2419"/>
      <c r="D72" s="2420"/>
    </row>
    <row r="73" spans="1:4" ht="18.75" customHeight="1" thickBot="1">
      <c r="A73" s="1049" t="s">
        <v>99</v>
      </c>
      <c r="B73" s="1874">
        <v>0</v>
      </c>
      <c r="C73" s="2449"/>
      <c r="D73" s="2450"/>
    </row>
    <row r="74" spans="1:4" ht="18.75" customHeight="1" thickBot="1">
      <c r="A74" s="373"/>
      <c r="B74" s="1067"/>
      <c r="C74" s="904"/>
      <c r="D74" s="905"/>
    </row>
    <row r="75" spans="1:4" ht="18.75" customHeight="1" thickBot="1">
      <c r="A75" s="2421" t="s">
        <v>100</v>
      </c>
      <c r="B75" s="2422"/>
      <c r="C75" s="2422"/>
      <c r="D75" s="2423"/>
    </row>
    <row r="76" spans="1:4">
      <c r="A76" s="1046" t="s">
        <v>101</v>
      </c>
      <c r="B76" s="1043" t="s">
        <v>1974</v>
      </c>
      <c r="C76" s="2424"/>
      <c r="D76" s="2425"/>
    </row>
    <row r="77" spans="1:4">
      <c r="A77" s="1044" t="s">
        <v>102</v>
      </c>
      <c r="B77" s="1040">
        <v>9324592021</v>
      </c>
      <c r="C77" s="2419"/>
      <c r="D77" s="2420"/>
    </row>
    <row r="78" spans="1:4">
      <c r="A78" s="1044" t="s">
        <v>103</v>
      </c>
      <c r="B78" s="1040"/>
      <c r="C78" s="2419"/>
      <c r="D78" s="2420"/>
    </row>
    <row r="79" spans="1:4">
      <c r="A79" s="1044" t="s">
        <v>19</v>
      </c>
      <c r="B79" s="1170"/>
      <c r="C79" s="2419"/>
      <c r="D79" s="2420"/>
    </row>
    <row r="80" spans="1:4">
      <c r="A80" s="1044" t="s">
        <v>104</v>
      </c>
      <c r="B80" s="1068"/>
      <c r="C80" s="2419"/>
      <c r="D80" s="2420"/>
    </row>
    <row r="81" spans="1:12">
      <c r="A81" s="1044" t="s">
        <v>105</v>
      </c>
      <c r="B81" s="1041" t="s">
        <v>146</v>
      </c>
      <c r="C81" s="2419"/>
      <c r="D81" s="2420"/>
    </row>
    <row r="82" spans="1:12">
      <c r="A82" s="1044" t="s">
        <v>107</v>
      </c>
      <c r="B82" s="1041"/>
      <c r="C82" s="2419"/>
      <c r="D82" s="2420"/>
    </row>
    <row r="83" spans="1:12">
      <c r="A83" s="1044" t="s">
        <v>109</v>
      </c>
      <c r="B83" s="1041" t="s">
        <v>108</v>
      </c>
      <c r="C83" s="2419"/>
      <c r="D83" s="2420"/>
    </row>
    <row r="84" spans="1:12">
      <c r="A84" s="1044" t="s">
        <v>111</v>
      </c>
      <c r="B84" s="1041" t="s">
        <v>108</v>
      </c>
      <c r="C84" s="2419"/>
      <c r="D84" s="2420"/>
    </row>
    <row r="85" spans="1:12">
      <c r="A85" s="906" t="s">
        <v>112</v>
      </c>
      <c r="B85" s="1041" t="s">
        <v>147</v>
      </c>
      <c r="C85" s="2419"/>
      <c r="D85" s="2420"/>
    </row>
    <row r="86" spans="1:12">
      <c r="A86" s="906" t="s">
        <v>114</v>
      </c>
      <c r="B86" s="1041" t="s">
        <v>143</v>
      </c>
      <c r="C86" s="2419"/>
      <c r="D86" s="2420"/>
      <c r="I86" s="899"/>
      <c r="J86" s="899"/>
      <c r="K86" s="899"/>
      <c r="L86" s="899"/>
    </row>
    <row r="87" spans="1:12" ht="30.75" customHeight="1" thickBot="1">
      <c r="A87" s="907" t="s">
        <v>116</v>
      </c>
      <c r="B87" s="1045"/>
      <c r="C87" s="2449"/>
      <c r="D87" s="2450"/>
    </row>
    <row r="88" spans="1:12" ht="18.75" customHeight="1"/>
    <row r="89" spans="1:12" ht="18.75" customHeight="1" thickBot="1"/>
    <row r="90" spans="1:12" ht="18.75" customHeight="1" thickBot="1">
      <c r="A90" s="2447" t="s">
        <v>117</v>
      </c>
      <c r="B90" s="2447"/>
      <c r="C90" s="2447"/>
      <c r="D90" s="2448"/>
    </row>
    <row r="91" spans="1:12" ht="18.75" customHeight="1" thickBot="1">
      <c r="A91" s="2443"/>
      <c r="B91" s="2443"/>
      <c r="C91" s="2443"/>
      <c r="D91" s="2444"/>
    </row>
    <row r="92" spans="1:12" ht="18.75" customHeight="1" thickBot="1">
      <c r="A92" s="2443"/>
      <c r="B92" s="2443"/>
      <c r="C92" s="2443"/>
      <c r="D92" s="2444"/>
    </row>
    <row r="93" spans="1:12" ht="18.75" customHeight="1" thickBot="1">
      <c r="A93" s="2443"/>
      <c r="B93" s="2443"/>
      <c r="C93" s="2443"/>
      <c r="D93" s="2444"/>
    </row>
    <row r="94" spans="1:12" ht="18.75" customHeight="1" thickBot="1">
      <c r="A94" s="2443"/>
      <c r="B94" s="2443"/>
      <c r="C94" s="2443"/>
      <c r="D94" s="2444"/>
    </row>
    <row r="95" spans="1:12" ht="18.75" customHeight="1" thickBot="1">
      <c r="A95" s="2445"/>
      <c r="B95" s="2445"/>
      <c r="C95" s="2445"/>
      <c r="D95" s="2446"/>
    </row>
    <row r="96" spans="1:12" ht="18.75" customHeight="1">
      <c r="A96" s="900"/>
      <c r="B96" s="900"/>
    </row>
    <row r="97" spans="1:2" ht="18.75" customHeight="1">
      <c r="A97" s="900"/>
      <c r="B97" s="900"/>
    </row>
    <row r="98" spans="1:2" ht="18.75" customHeight="1">
      <c r="A98" s="900"/>
      <c r="B98" s="900"/>
    </row>
    <row r="99" spans="1:2" ht="18.75" customHeight="1">
      <c r="A99" s="900"/>
      <c r="B99" s="900"/>
    </row>
    <row r="100" spans="1:2" ht="18.75" customHeight="1">
      <c r="A100" s="900"/>
      <c r="B100" s="900"/>
    </row>
    <row r="101" spans="1:2" ht="18.75" customHeight="1">
      <c r="A101" s="900"/>
      <c r="B101" s="900"/>
    </row>
    <row r="102" spans="1:2" ht="18.75" customHeight="1">
      <c r="A102" s="900"/>
      <c r="B102" s="900"/>
    </row>
    <row r="103" spans="1:2" ht="18.75" customHeight="1">
      <c r="A103" s="900"/>
      <c r="B103" s="900"/>
    </row>
    <row r="104" spans="1:2" ht="18.75" customHeight="1">
      <c r="A104" s="900"/>
      <c r="B104" s="900"/>
    </row>
    <row r="105" spans="1:2" ht="18.75" customHeight="1">
      <c r="A105" s="900"/>
      <c r="B105" s="900"/>
    </row>
    <row r="106" spans="1:2" ht="18.75" customHeight="1">
      <c r="A106" s="900"/>
      <c r="B106" s="900"/>
    </row>
    <row r="107" spans="1:2" ht="18.75" customHeight="1">
      <c r="A107" s="900"/>
      <c r="B107" s="900"/>
    </row>
    <row r="108" spans="1:2" ht="18.75" customHeight="1">
      <c r="A108" s="900"/>
      <c r="B108" s="900"/>
    </row>
    <row r="109" spans="1:2" ht="18.75" customHeight="1">
      <c r="A109" s="900"/>
      <c r="B109" s="900"/>
    </row>
    <row r="110" spans="1:2" ht="18.75" customHeight="1">
      <c r="A110" s="900"/>
      <c r="B110" s="900"/>
    </row>
    <row r="111" spans="1:2" ht="18.75" customHeight="1">
      <c r="A111" s="900"/>
      <c r="B111" s="900"/>
    </row>
    <row r="112" spans="1:2" ht="18.75" customHeight="1">
      <c r="A112" s="900"/>
      <c r="B112" s="900"/>
    </row>
    <row r="113" spans="1:2" ht="18.75" customHeight="1">
      <c r="A113" s="900"/>
      <c r="B113" s="900"/>
    </row>
    <row r="114" spans="1:2" ht="18.75" customHeight="1">
      <c r="A114" s="900"/>
      <c r="B114" s="900"/>
    </row>
    <row r="115" spans="1:2" ht="18.75" customHeight="1">
      <c r="A115" s="900"/>
      <c r="B115" s="900"/>
    </row>
    <row r="116" spans="1:2" ht="18.75" customHeight="1">
      <c r="A116" s="900"/>
      <c r="B116" s="900"/>
    </row>
    <row r="117" spans="1:2" ht="18.75" customHeight="1">
      <c r="A117" s="900"/>
      <c r="B117" s="900"/>
    </row>
    <row r="118" spans="1:2" ht="18.75" customHeight="1">
      <c r="A118" s="900"/>
      <c r="B118" s="900"/>
    </row>
    <row r="119" spans="1:2" ht="18.75" customHeight="1">
      <c r="A119" s="900"/>
      <c r="B119" s="900"/>
    </row>
    <row r="120" spans="1:2" ht="18.75" customHeight="1">
      <c r="A120" s="900"/>
      <c r="B120" s="900"/>
    </row>
    <row r="121" spans="1:2" ht="18.75" customHeight="1">
      <c r="A121" s="900"/>
      <c r="B121" s="900"/>
    </row>
    <row r="122" spans="1:2" ht="18.75" customHeight="1">
      <c r="A122" s="900"/>
      <c r="B122" s="900"/>
    </row>
    <row r="123" spans="1:2" ht="18.75" customHeight="1">
      <c r="A123" s="900"/>
      <c r="B123" s="900"/>
    </row>
    <row r="124" spans="1:2" ht="18.75" customHeight="1">
      <c r="A124" s="900"/>
      <c r="B124" s="900"/>
    </row>
    <row r="125" spans="1:2" ht="18.75" customHeight="1">
      <c r="A125" s="900"/>
      <c r="B125" s="900"/>
    </row>
    <row r="126" spans="1:2" ht="18.75" customHeight="1">
      <c r="A126" s="900"/>
      <c r="B126" s="900"/>
    </row>
    <row r="127" spans="1:2" ht="18.75" customHeight="1">
      <c r="A127" s="900"/>
      <c r="B127" s="900"/>
    </row>
    <row r="128" spans="1:2" ht="18.75" customHeight="1">
      <c r="A128" s="900"/>
      <c r="B128" s="900"/>
    </row>
    <row r="129" spans="1:2" ht="18.75" customHeight="1">
      <c r="A129" s="900"/>
      <c r="B129" s="900"/>
    </row>
    <row r="130" spans="1:2" ht="18.75" customHeight="1">
      <c r="A130" s="900"/>
      <c r="B130" s="900"/>
    </row>
    <row r="131" spans="1:2" ht="18.75" customHeight="1">
      <c r="A131" s="900"/>
      <c r="B131" s="900"/>
    </row>
    <row r="132" spans="1:2" ht="18.75" customHeight="1">
      <c r="A132" s="900"/>
      <c r="B132" s="900"/>
    </row>
    <row r="133" spans="1:2" ht="18.75" customHeight="1">
      <c r="A133" s="900"/>
      <c r="B133" s="900"/>
    </row>
    <row r="134" spans="1:2" ht="18.75" customHeight="1">
      <c r="A134" s="900"/>
      <c r="B134" s="900"/>
    </row>
    <row r="135" spans="1:2" ht="18.75" customHeight="1">
      <c r="A135" s="900"/>
      <c r="B135" s="900"/>
    </row>
    <row r="136" spans="1:2" ht="18.75" customHeight="1">
      <c r="A136" s="900"/>
      <c r="B136" s="900"/>
    </row>
    <row r="137" spans="1:2" ht="18.75" customHeight="1">
      <c r="A137" s="900"/>
      <c r="B137" s="900"/>
    </row>
    <row r="138" spans="1:2" ht="18.75" customHeight="1">
      <c r="A138" s="900"/>
      <c r="B138" s="900"/>
    </row>
    <row r="139" spans="1:2" ht="18.75" customHeight="1">
      <c r="A139" s="900"/>
      <c r="B139" s="900"/>
    </row>
    <row r="140" spans="1:2" ht="18.75" customHeight="1">
      <c r="A140" s="900"/>
      <c r="B140" s="900"/>
    </row>
    <row r="141" spans="1:2" ht="18.75" customHeight="1">
      <c r="A141" s="900"/>
      <c r="B141" s="900"/>
    </row>
    <row r="146" spans="1:5" hidden="1">
      <c r="A146" s="173" t="s">
        <v>0</v>
      </c>
    </row>
    <row r="147" spans="1:5" hidden="1">
      <c r="A147" s="173" t="s">
        <v>12</v>
      </c>
    </row>
    <row r="148" spans="1:5" hidden="1">
      <c r="A148" s="173" t="s">
        <v>7</v>
      </c>
    </row>
    <row r="149" spans="1:5" hidden="1">
      <c r="A149" s="173" t="s">
        <v>11</v>
      </c>
      <c r="B149" s="717"/>
      <c r="C149" s="717"/>
      <c r="D149" s="717"/>
      <c r="E149" s="717"/>
    </row>
    <row r="150" spans="1:5" hidden="1">
      <c r="A150" s="173" t="s">
        <v>49</v>
      </c>
    </row>
    <row r="151" spans="1:5" s="908" customFormat="1" hidden="1">
      <c r="A151" s="173" t="s">
        <v>118</v>
      </c>
    </row>
    <row r="152" spans="1:5" s="898" customFormat="1" hidden="1">
      <c r="A152" s="173" t="s">
        <v>119</v>
      </c>
    </row>
    <row r="153" spans="1:5" s="908" customFormat="1" hidden="1">
      <c r="A153" s="173" t="s">
        <v>120</v>
      </c>
    </row>
    <row r="154" spans="1:5" s="908" customFormat="1" hidden="1">
      <c r="A154" s="173" t="s">
        <v>49</v>
      </c>
    </row>
    <row r="155" spans="1:5" s="908" customFormat="1" hidden="1">
      <c r="A155" s="909" t="s">
        <v>121</v>
      </c>
    </row>
    <row r="156" spans="1:5" hidden="1">
      <c r="A156" s="173" t="s">
        <v>7</v>
      </c>
    </row>
    <row r="157" spans="1:5" hidden="1">
      <c r="A157" s="173" t="s">
        <v>49</v>
      </c>
      <c r="B157" s="173" t="s">
        <v>122</v>
      </c>
      <c r="C157" s="173">
        <v>3600</v>
      </c>
    </row>
    <row r="158" spans="1:5" hidden="1">
      <c r="A158" s="173" t="s">
        <v>123</v>
      </c>
      <c r="B158" s="173" t="s">
        <v>77</v>
      </c>
      <c r="C158" s="173">
        <v>1600</v>
      </c>
    </row>
    <row r="159" spans="1:5" hidden="1">
      <c r="A159" s="173" t="s">
        <v>124</v>
      </c>
      <c r="B159" s="173" t="s">
        <v>49</v>
      </c>
      <c r="C159" s="173">
        <v>0</v>
      </c>
    </row>
    <row r="160" spans="1:5" hidden="1">
      <c r="A160" s="173" t="s">
        <v>90</v>
      </c>
    </row>
    <row r="161" spans="1:8" hidden="1">
      <c r="A161" s="173" t="s">
        <v>125</v>
      </c>
    </row>
    <row r="162" spans="1:8" hidden="1"/>
    <row r="163" spans="1:8" hidden="1"/>
    <row r="164" spans="1:8" hidden="1"/>
    <row r="165" spans="1:8" ht="18.600000000000001" hidden="1" thickBot="1"/>
    <row r="166" spans="1:8" hidden="1">
      <c r="B166" s="1867" t="s">
        <v>126</v>
      </c>
      <c r="C166" s="1868" t="s">
        <v>127</v>
      </c>
      <c r="D166" s="1868"/>
      <c r="E166" s="1868" t="s">
        <v>128</v>
      </c>
      <c r="F166" s="1873"/>
    </row>
    <row r="167" spans="1:8" ht="18.600000000000001" hidden="1" thickBot="1">
      <c r="B167" s="1869" t="s">
        <v>129</v>
      </c>
      <c r="C167" s="1862" t="s">
        <v>130</v>
      </c>
      <c r="D167" s="1862" t="s">
        <v>131</v>
      </c>
      <c r="F167" s="1870"/>
    </row>
    <row r="168" spans="1:8" ht="18.600000000000001" hidden="1" thickBot="1">
      <c r="B168" s="1831" t="str">
        <f>C$230</f>
        <v>Capex</v>
      </c>
      <c r="C168" s="1832" t="str">
        <f>A$38</f>
        <v>Walkways materials</v>
      </c>
      <c r="D168" s="1833" t="s">
        <v>132</v>
      </c>
      <c r="E168" s="1863" t="str">
        <f>A38</f>
        <v>Walkways materials</v>
      </c>
      <c r="F168" s="1870" t="str" cm="1">
        <f t="array" ref="F168:F170">_xlfn._xlws.FILTER(Table1[[#All],[Options]],(Table1[[#All],[Project type]]=B$16)*(Table1[[#All],[Category]]=A$38))</f>
        <v>GI</v>
      </c>
    </row>
    <row r="169" spans="1:8" hidden="1">
      <c r="B169" s="1834" t="str">
        <f>C$230</f>
        <v>Capex</v>
      </c>
      <c r="C169" s="1835" t="str">
        <f t="shared" ref="C169:C175" si="0">A$38</f>
        <v>Walkways materials</v>
      </c>
      <c r="D169" s="1836" t="s">
        <v>57</v>
      </c>
      <c r="F169" s="1870" t="str">
        <v>FRP</v>
      </c>
    </row>
    <row r="170" spans="1:8" ht="18.600000000000001" hidden="1" thickBot="1">
      <c r="B170" s="1840" t="str">
        <f>C$230</f>
        <v>Capex</v>
      </c>
      <c r="C170" s="1841" t="str">
        <f t="shared" si="0"/>
        <v>Walkways materials</v>
      </c>
      <c r="D170" s="1842" t="s">
        <v>55</v>
      </c>
      <c r="F170" s="1870" t="str">
        <v>HDG</v>
      </c>
    </row>
    <row r="171" spans="1:8" hidden="1">
      <c r="B171" s="1831" t="str">
        <f>C$232</f>
        <v>Capex/Opex</v>
      </c>
      <c r="C171" s="1832" t="str">
        <f t="shared" si="0"/>
        <v>Walkways materials</v>
      </c>
      <c r="D171" s="1833" t="s">
        <v>132</v>
      </c>
      <c r="F171" s="1870"/>
      <c r="H171" s="173" t="s">
        <v>57</v>
      </c>
    </row>
    <row r="172" spans="1:8" hidden="1">
      <c r="B172" s="1834" t="str">
        <f>C$232</f>
        <v>Capex/Opex</v>
      </c>
      <c r="C172" s="1835" t="str">
        <f t="shared" si="0"/>
        <v>Walkways materials</v>
      </c>
      <c r="D172" s="1836" t="s">
        <v>57</v>
      </c>
      <c r="F172" s="1870"/>
      <c r="H172" s="173" t="s">
        <v>55</v>
      </c>
    </row>
    <row r="173" spans="1:8" ht="18.600000000000001" hidden="1" thickBot="1">
      <c r="B173" s="1840" t="str">
        <f>C$232</f>
        <v>Capex/Opex</v>
      </c>
      <c r="C173" s="1841" t="str">
        <f t="shared" si="0"/>
        <v>Walkways materials</v>
      </c>
      <c r="D173" s="1842" t="s">
        <v>55</v>
      </c>
      <c r="F173" s="1870"/>
      <c r="H173" s="173" t="s">
        <v>49</v>
      </c>
    </row>
    <row r="174" spans="1:8" hidden="1">
      <c r="B174" s="1831" t="str">
        <f>C$231</f>
        <v>Opex</v>
      </c>
      <c r="C174" s="1832" t="str">
        <f t="shared" si="0"/>
        <v>Walkways materials</v>
      </c>
      <c r="D174" s="1833" t="s">
        <v>57</v>
      </c>
      <c r="F174" s="1870"/>
    </row>
    <row r="175" spans="1:8" ht="18.600000000000001" hidden="1" thickBot="1">
      <c r="B175" s="1837" t="str">
        <f>C$231</f>
        <v>Opex</v>
      </c>
      <c r="C175" s="1838" t="str">
        <f t="shared" si="0"/>
        <v>Walkways materials</v>
      </c>
      <c r="D175" s="1839" t="s">
        <v>55</v>
      </c>
      <c r="F175" s="1870"/>
    </row>
    <row r="176" spans="1:8" ht="18.600000000000001" hidden="1" thickBot="1">
      <c r="B176" s="1846" t="str">
        <f>C$230</f>
        <v>Capex</v>
      </c>
      <c r="C176" s="1847" t="str">
        <f>A$39</f>
        <v xml:space="preserve">DC Cable Tray materials </v>
      </c>
      <c r="D176" s="1848" t="s">
        <v>132</v>
      </c>
      <c r="E176" s="1863" t="str">
        <f>A$39</f>
        <v xml:space="preserve">DC Cable Tray materials </v>
      </c>
      <c r="F176" s="1870" t="str" cm="1">
        <f t="array" ref="F176:F179">_xlfn._xlws.FILTER(Table1[[#All],[Options]],(Table1[[#All],[Project type]]=B$16)*(Table1[[#All],[Category]]=A$39))</f>
        <v>GI</v>
      </c>
      <c r="H176" s="173" t="s">
        <v>57</v>
      </c>
    </row>
    <row r="177" spans="1:31" hidden="1">
      <c r="B177" s="1843" t="str">
        <f>C$230</f>
        <v>Capex</v>
      </c>
      <c r="C177" s="1844" t="str">
        <f t="shared" ref="C177:C186" si="1">A$39</f>
        <v xml:space="preserve">DC Cable Tray materials </v>
      </c>
      <c r="D177" s="1845" t="s">
        <v>57</v>
      </c>
      <c r="F177" s="1870" t="str">
        <v>FRP</v>
      </c>
      <c r="H177" s="173" t="s">
        <v>55</v>
      </c>
    </row>
    <row r="178" spans="1:31" customFormat="1" hidden="1">
      <c r="A178" s="173"/>
      <c r="B178" s="1843" t="str">
        <f>C$230</f>
        <v>Capex</v>
      </c>
      <c r="C178" s="1844" t="str">
        <f t="shared" si="1"/>
        <v xml:space="preserve">DC Cable Tray materials </v>
      </c>
      <c r="D178" s="1845" t="s">
        <v>55</v>
      </c>
      <c r="E178" s="173"/>
      <c r="F178" s="1870" t="str">
        <v>HDG</v>
      </c>
      <c r="H178" s="173" t="s">
        <v>133</v>
      </c>
    </row>
    <row r="179" spans="1:31" ht="18.600000000000001" hidden="1" thickBot="1">
      <c r="B179" s="1849" t="str">
        <f>C$230</f>
        <v>Capex</v>
      </c>
      <c r="C179" s="1850" t="str">
        <f t="shared" si="1"/>
        <v xml:space="preserve">DC Cable Tray materials </v>
      </c>
      <c r="D179" s="1851" t="s">
        <v>133</v>
      </c>
      <c r="F179" s="1870" t="str">
        <v>Soil Trench</v>
      </c>
      <c r="H179" s="173" t="s">
        <v>49</v>
      </c>
      <c r="O179" s="288"/>
      <c r="W179" s="173" t="s">
        <v>0</v>
      </c>
      <c r="X179" s="173" t="s">
        <v>0</v>
      </c>
      <c r="Y179" s="173" t="s">
        <v>1</v>
      </c>
      <c r="Z179" s="173" t="s">
        <v>2</v>
      </c>
      <c r="AA179" s="173" t="s">
        <v>3</v>
      </c>
      <c r="AB179" s="173" t="s">
        <v>4</v>
      </c>
      <c r="AC179" s="173" t="s">
        <v>0</v>
      </c>
      <c r="AD179" s="173" t="s">
        <v>0</v>
      </c>
      <c r="AE179" s="173" t="s">
        <v>118</v>
      </c>
    </row>
    <row r="180" spans="1:31" hidden="1">
      <c r="B180" s="1846" t="str">
        <f>C$232</f>
        <v>Capex/Opex</v>
      </c>
      <c r="C180" s="1847" t="str">
        <f t="shared" si="1"/>
        <v xml:space="preserve">DC Cable Tray materials </v>
      </c>
      <c r="D180" s="1848" t="s">
        <v>132</v>
      </c>
      <c r="F180" s="1870"/>
      <c r="O180" s="288"/>
      <c r="W180" s="173" t="s">
        <v>6</v>
      </c>
      <c r="X180" s="173" t="s">
        <v>7</v>
      </c>
      <c r="Y180" s="173" t="s">
        <v>8</v>
      </c>
      <c r="Z180" s="173" t="s">
        <v>0</v>
      </c>
      <c r="AA180" s="173" t="s">
        <v>9</v>
      </c>
      <c r="AB180" s="173" t="s">
        <v>10</v>
      </c>
      <c r="AC180" s="173" t="s">
        <v>11</v>
      </c>
      <c r="AD180" s="173" t="s">
        <v>12</v>
      </c>
      <c r="AE180" s="173" t="s">
        <v>119</v>
      </c>
    </row>
    <row r="181" spans="1:31" hidden="1">
      <c r="B181" s="1843" t="str">
        <f>C$232</f>
        <v>Capex/Opex</v>
      </c>
      <c r="C181" s="1844" t="str">
        <f t="shared" si="1"/>
        <v xml:space="preserve">DC Cable Tray materials </v>
      </c>
      <c r="D181" s="1845" t="s">
        <v>57</v>
      </c>
      <c r="F181" s="1870"/>
      <c r="G181" s="155"/>
      <c r="O181" s="288"/>
      <c r="W181" s="173" t="s">
        <v>14</v>
      </c>
      <c r="X181" s="173" t="s">
        <v>12</v>
      </c>
      <c r="Z181" s="173" t="s">
        <v>6</v>
      </c>
      <c r="AC181" s="173" t="s">
        <v>12</v>
      </c>
      <c r="AD181" s="173" t="s">
        <v>7</v>
      </c>
      <c r="AE181" s="173" t="s">
        <v>120</v>
      </c>
    </row>
    <row r="182" spans="1:31" hidden="1">
      <c r="B182" s="1843" t="str">
        <f>C$232</f>
        <v>Capex/Opex</v>
      </c>
      <c r="C182" s="1844" t="str">
        <f t="shared" si="1"/>
        <v xml:space="preserve">DC Cable Tray materials </v>
      </c>
      <c r="D182" s="1845" t="s">
        <v>55</v>
      </c>
      <c r="F182" s="1870"/>
      <c r="G182" s="155"/>
      <c r="O182" s="288"/>
      <c r="W182" s="173" t="s">
        <v>2</v>
      </c>
      <c r="AC182" s="173" t="s">
        <v>7</v>
      </c>
    </row>
    <row r="183" spans="1:31" ht="18.600000000000001" hidden="1" thickBot="1">
      <c r="B183" s="1849" t="str">
        <f>C$232</f>
        <v>Capex/Opex</v>
      </c>
      <c r="C183" s="1850" t="str">
        <f t="shared" si="1"/>
        <v xml:space="preserve">DC Cable Tray materials </v>
      </c>
      <c r="D183" s="1851" t="s">
        <v>133</v>
      </c>
      <c r="F183" s="1870"/>
      <c r="G183" s="155"/>
      <c r="N183" s="173" t="s">
        <v>134</v>
      </c>
      <c r="O183" s="288"/>
      <c r="W183" s="173" t="s">
        <v>7</v>
      </c>
    </row>
    <row r="184" spans="1:31" hidden="1">
      <c r="B184" s="1846" t="str">
        <f>C$231</f>
        <v>Opex</v>
      </c>
      <c r="C184" s="1847" t="str">
        <f t="shared" si="1"/>
        <v xml:space="preserve">DC Cable Tray materials </v>
      </c>
      <c r="D184" s="1848" t="s">
        <v>57</v>
      </c>
      <c r="F184" s="1870"/>
      <c r="O184" s="288"/>
    </row>
    <row r="185" spans="1:31" hidden="1">
      <c r="B185" s="1843" t="str">
        <f>C$231</f>
        <v>Opex</v>
      </c>
      <c r="C185" s="1844" t="str">
        <f t="shared" si="1"/>
        <v xml:space="preserve">DC Cable Tray materials </v>
      </c>
      <c r="D185" s="1845" t="s">
        <v>55</v>
      </c>
      <c r="F185" s="1870"/>
      <c r="O185" s="288"/>
    </row>
    <row r="186" spans="1:31" ht="18.600000000000001" hidden="1" thickBot="1">
      <c r="B186" s="1864" t="str">
        <f>C$231</f>
        <v>Opex</v>
      </c>
      <c r="C186" s="1865" t="str">
        <f t="shared" si="1"/>
        <v xml:space="preserve">DC Cable Tray materials </v>
      </c>
      <c r="D186" s="1866" t="s">
        <v>133</v>
      </c>
      <c r="F186" s="1870"/>
      <c r="O186" s="288"/>
    </row>
    <row r="187" spans="1:31" hidden="1">
      <c r="B187" s="1856" t="str">
        <f>C$230</f>
        <v>Capex</v>
      </c>
      <c r="C187" s="1857" t="str">
        <f t="shared" ref="C187:C200" si="2">A$40</f>
        <v>AC Cable Tray materials (INV And ACCB panel)</v>
      </c>
      <c r="D187" s="1858" t="s">
        <v>49</v>
      </c>
      <c r="E187" s="2477" t="str">
        <f>A$40</f>
        <v>AC Cable Tray materials (INV And ACCB panel)</v>
      </c>
      <c r="F187" s="1870" t="str" cm="1">
        <f t="array" ref="F187:F191">_xlfn._xlws.FILTER(Table1[[#All],[Options]],(Table1[[#All],[Project type]]=B$16)*(Table1[[#All],[Category]]=A$40))</f>
        <v>Not Applicable</v>
      </c>
      <c r="G187" s="901"/>
      <c r="O187" s="288"/>
    </row>
    <row r="188" spans="1:31" ht="18.600000000000001" hidden="1" thickBot="1">
      <c r="B188" s="1853" t="str">
        <f>C$230</f>
        <v>Capex</v>
      </c>
      <c r="C188" s="1854" t="str">
        <f t="shared" si="2"/>
        <v>AC Cable Tray materials (INV And ACCB panel)</v>
      </c>
      <c r="D188" s="1855" t="s">
        <v>132</v>
      </c>
      <c r="E188" s="2478"/>
      <c r="F188" s="1870" t="str">
        <v>GI</v>
      </c>
      <c r="O188" s="288"/>
    </row>
    <row r="189" spans="1:31" hidden="1">
      <c r="B189" s="1853" t="str">
        <f>C$230</f>
        <v>Capex</v>
      </c>
      <c r="C189" s="1854" t="str">
        <f t="shared" si="2"/>
        <v>AC Cable Tray materials (INV And ACCB panel)</v>
      </c>
      <c r="D189" s="1855" t="s">
        <v>55</v>
      </c>
      <c r="F189" s="1870" t="str">
        <v>HDG</v>
      </c>
      <c r="O189" s="288"/>
    </row>
    <row r="190" spans="1:31" hidden="1">
      <c r="B190" s="1853" t="str">
        <f>C$230</f>
        <v>Capex</v>
      </c>
      <c r="C190" s="1854" t="str">
        <f t="shared" si="2"/>
        <v>AC Cable Tray materials (INV And ACCB panel)</v>
      </c>
      <c r="D190" s="1855" t="s">
        <v>59</v>
      </c>
      <c r="F190" s="1870" t="str">
        <v>POWDER COATED</v>
      </c>
      <c r="O190" s="288"/>
    </row>
    <row r="191" spans="1:31" hidden="1">
      <c r="B191" s="1853" t="str">
        <f>C$230</f>
        <v>Capex</v>
      </c>
      <c r="C191" s="1854" t="str">
        <f t="shared" si="2"/>
        <v>AC Cable Tray materials (INV And ACCB panel)</v>
      </c>
      <c r="D191" s="1855" t="s">
        <v>133</v>
      </c>
      <c r="F191" s="1870" t="str">
        <v>Soil Trench</v>
      </c>
      <c r="O191" s="288"/>
    </row>
    <row r="192" spans="1:31" hidden="1">
      <c r="B192" s="1853" t="str">
        <f>C$232</f>
        <v>Capex/Opex</v>
      </c>
      <c r="C192" s="1854" t="str">
        <f t="shared" si="2"/>
        <v>AC Cable Tray materials (INV And ACCB panel)</v>
      </c>
      <c r="D192" s="1855" t="s">
        <v>49</v>
      </c>
      <c r="F192" s="1870"/>
      <c r="H192" s="911"/>
      <c r="O192" s="288"/>
    </row>
    <row r="193" spans="1:15" hidden="1">
      <c r="B193" s="1853" t="str">
        <f>C$232</f>
        <v>Capex/Opex</v>
      </c>
      <c r="C193" s="1854" t="str">
        <f t="shared" si="2"/>
        <v>AC Cable Tray materials (INV And ACCB panel)</v>
      </c>
      <c r="D193" s="1855" t="s">
        <v>132</v>
      </c>
      <c r="F193" s="1870"/>
      <c r="O193" s="288"/>
    </row>
    <row r="194" spans="1:15" hidden="1">
      <c r="B194" s="1853" t="str">
        <f>C$232</f>
        <v>Capex/Opex</v>
      </c>
      <c r="C194" s="1854" t="str">
        <f t="shared" si="2"/>
        <v>AC Cable Tray materials (INV And ACCB panel)</v>
      </c>
      <c r="D194" s="1855" t="s">
        <v>55</v>
      </c>
      <c r="F194" s="1870"/>
      <c r="G194" s="902"/>
      <c r="H194" s="902"/>
      <c r="I194" s="902"/>
      <c r="O194" s="288"/>
    </row>
    <row r="195" spans="1:15" hidden="1">
      <c r="B195" s="1853" t="str">
        <f>C$232</f>
        <v>Capex/Opex</v>
      </c>
      <c r="C195" s="1854" t="str">
        <f t="shared" si="2"/>
        <v>AC Cable Tray materials (INV And ACCB panel)</v>
      </c>
      <c r="D195" s="1855" t="s">
        <v>59</v>
      </c>
      <c r="F195" s="1870"/>
      <c r="G195" s="903"/>
      <c r="I195" s="2436"/>
      <c r="O195" s="288"/>
    </row>
    <row r="196" spans="1:15" hidden="1">
      <c r="B196" s="1853" t="str">
        <f>C$232</f>
        <v>Capex/Opex</v>
      </c>
      <c r="C196" s="1854" t="str">
        <f t="shared" si="2"/>
        <v>AC Cable Tray materials (INV And ACCB panel)</v>
      </c>
      <c r="D196" s="1855" t="s">
        <v>133</v>
      </c>
      <c r="F196" s="1870"/>
      <c r="G196" s="903"/>
      <c r="I196" s="2436"/>
      <c r="O196" s="288"/>
    </row>
    <row r="197" spans="1:15" hidden="1">
      <c r="B197" s="1853" t="str">
        <f>C$231</f>
        <v>Opex</v>
      </c>
      <c r="C197" s="1854" t="str">
        <f t="shared" si="2"/>
        <v>AC Cable Tray materials (INV And ACCB panel)</v>
      </c>
      <c r="D197" s="1855" t="s">
        <v>49</v>
      </c>
      <c r="F197" s="1870"/>
      <c r="I197" s="154"/>
      <c r="O197" s="288"/>
    </row>
    <row r="198" spans="1:15" hidden="1">
      <c r="B198" s="1853" t="str">
        <f>C$231</f>
        <v>Opex</v>
      </c>
      <c r="C198" s="1854" t="str">
        <f t="shared" si="2"/>
        <v>AC Cable Tray materials (INV And ACCB panel)</v>
      </c>
      <c r="D198" s="1855" t="s">
        <v>55</v>
      </c>
      <c r="F198" s="1870"/>
      <c r="O198" s="288"/>
    </row>
    <row r="199" spans="1:15" hidden="1">
      <c r="B199" s="1853" t="str">
        <f>C$231</f>
        <v>Opex</v>
      </c>
      <c r="C199" s="1854" t="str">
        <f t="shared" si="2"/>
        <v>AC Cable Tray materials (INV And ACCB panel)</v>
      </c>
      <c r="D199" s="1855" t="s">
        <v>59</v>
      </c>
      <c r="F199" s="1870"/>
      <c r="O199" s="288"/>
    </row>
    <row r="200" spans="1:15" ht="18.600000000000001" hidden="1" thickBot="1">
      <c r="A200" s="173" t="s">
        <v>135</v>
      </c>
      <c r="B200" s="1859" t="str">
        <f>C$231</f>
        <v>Opex</v>
      </c>
      <c r="C200" s="1860" t="str">
        <f t="shared" si="2"/>
        <v>AC Cable Tray materials (INV And ACCB panel)</v>
      </c>
      <c r="D200" s="1861" t="s">
        <v>133</v>
      </c>
      <c r="E200" s="1871"/>
      <c r="F200" s="1872"/>
      <c r="O200" s="288"/>
    </row>
    <row r="201" spans="1:15" hidden="1">
      <c r="A201" s="173" t="s">
        <v>67</v>
      </c>
      <c r="O201" s="288"/>
    </row>
    <row r="202" spans="1:15" hidden="1">
      <c r="A202" s="173" t="s">
        <v>49</v>
      </c>
      <c r="C202" s="2436"/>
      <c r="D202" s="2436"/>
      <c r="E202" s="2436"/>
      <c r="F202" s="2436"/>
      <c r="G202" s="2436"/>
      <c r="H202" s="2436"/>
      <c r="O202" s="288"/>
    </row>
    <row r="203" spans="1:15" hidden="1">
      <c r="C203" s="2436"/>
      <c r="D203" s="2436"/>
      <c r="E203" s="2436"/>
      <c r="F203" s="2436"/>
      <c r="G203" s="2436"/>
      <c r="H203" s="2436"/>
      <c r="O203" s="288"/>
    </row>
    <row r="204" spans="1:15" hidden="1">
      <c r="O204" s="288"/>
    </row>
    <row r="205" spans="1:15" hidden="1">
      <c r="A205" s="173" t="s">
        <v>108</v>
      </c>
      <c r="O205" s="288"/>
    </row>
    <row r="206" spans="1:15" hidden="1">
      <c r="A206" s="173" t="s">
        <v>110</v>
      </c>
      <c r="C206" s="1852"/>
      <c r="D206" s="1852"/>
      <c r="E206" s="1852"/>
      <c r="F206" s="1852"/>
      <c r="G206" s="1852"/>
      <c r="H206" s="1852"/>
      <c r="O206" s="288"/>
    </row>
    <row r="207" spans="1:15" hidden="1">
      <c r="A207" s="173" t="s">
        <v>49</v>
      </c>
      <c r="O207" s="288"/>
    </row>
    <row r="208" spans="1:15" hidden="1">
      <c r="B208" s="173" t="s">
        <v>67</v>
      </c>
      <c r="O208" s="288"/>
    </row>
    <row r="209" spans="1:15" hidden="1">
      <c r="B209" s="173" t="s">
        <v>63</v>
      </c>
      <c r="O209" s="288"/>
    </row>
    <row r="210" spans="1:15" hidden="1">
      <c r="B210" s="173" t="s">
        <v>71</v>
      </c>
      <c r="O210" s="288"/>
    </row>
    <row r="211" spans="1:15" hidden="1">
      <c r="B211" s="173" t="s">
        <v>49</v>
      </c>
      <c r="O211" s="288"/>
    </row>
    <row r="212" spans="1:15" hidden="1">
      <c r="O212" s="288"/>
    </row>
    <row r="213" spans="1:15" hidden="1">
      <c r="A213" s="173" t="s">
        <v>7</v>
      </c>
    </row>
    <row r="214" spans="1:15" hidden="1">
      <c r="A214" s="173" t="s">
        <v>136</v>
      </c>
      <c r="B214" s="910" t="s">
        <v>137</v>
      </c>
    </row>
    <row r="215" spans="1:15" hidden="1">
      <c r="A215" s="173" t="s">
        <v>138</v>
      </c>
      <c r="B215" s="173" t="s">
        <v>139</v>
      </c>
      <c r="F215" s="173" t="s">
        <v>140</v>
      </c>
      <c r="I215" s="173" t="s">
        <v>141</v>
      </c>
    </row>
    <row r="216" spans="1:15" hidden="1">
      <c r="B216" s="173" t="s">
        <v>142</v>
      </c>
    </row>
    <row r="217" spans="1:15" hidden="1">
      <c r="A217" s="173" t="s">
        <v>143</v>
      </c>
      <c r="B217" s="173" t="s">
        <v>144</v>
      </c>
    </row>
    <row r="218" spans="1:15" hidden="1">
      <c r="A218" s="173" t="s">
        <v>145</v>
      </c>
      <c r="B218" s="173" t="s">
        <v>7</v>
      </c>
    </row>
    <row r="219" spans="1:15" hidden="1">
      <c r="A219" s="173" t="s">
        <v>115</v>
      </c>
      <c r="E219" s="363"/>
      <c r="F219" s="363"/>
      <c r="G219" s="363"/>
      <c r="H219" s="363"/>
      <c r="I219" s="363"/>
      <c r="J219" s="363"/>
      <c r="K219" s="363"/>
      <c r="L219" s="363"/>
    </row>
    <row r="220" spans="1:15" hidden="1">
      <c r="A220" s="173" t="s">
        <v>49</v>
      </c>
      <c r="E220" s="363"/>
      <c r="F220" s="363"/>
      <c r="G220" s="363"/>
      <c r="H220" s="363"/>
      <c r="I220" s="363"/>
      <c r="J220" s="363"/>
      <c r="K220" s="363"/>
      <c r="L220" s="363"/>
    </row>
    <row r="221" spans="1:15" hidden="1">
      <c r="A221" s="173" t="s">
        <v>146</v>
      </c>
      <c r="E221" s="363"/>
      <c r="F221" s="363"/>
      <c r="G221" s="363"/>
      <c r="H221" s="363"/>
      <c r="I221" s="155"/>
      <c r="J221" s="363"/>
      <c r="K221" s="363"/>
      <c r="L221" s="363"/>
    </row>
    <row r="222" spans="1:15" hidden="1">
      <c r="A222" s="173" t="s">
        <v>106</v>
      </c>
      <c r="E222" s="363"/>
      <c r="F222" s="363"/>
      <c r="G222" s="363"/>
      <c r="H222" s="363"/>
      <c r="I222" s="363"/>
      <c r="J222" s="363"/>
      <c r="K222" s="363"/>
      <c r="L222" s="363"/>
    </row>
    <row r="223" spans="1:15" hidden="1">
      <c r="A223" s="897"/>
      <c r="B223" s="173" t="s">
        <v>147</v>
      </c>
      <c r="E223" s="363"/>
      <c r="F223" s="155"/>
      <c r="G223" s="363"/>
      <c r="H223" s="363"/>
      <c r="I223" s="155"/>
      <c r="J223" s="363"/>
      <c r="K223" s="363"/>
      <c r="L223" s="363"/>
    </row>
    <row r="224" spans="1:15" hidden="1">
      <c r="B224" s="173" t="s">
        <v>148</v>
      </c>
      <c r="E224" s="363"/>
      <c r="F224" s="155"/>
      <c r="G224" s="363"/>
      <c r="H224" s="363"/>
      <c r="I224" s="363"/>
      <c r="J224" s="363"/>
      <c r="K224" s="363"/>
      <c r="L224" s="363"/>
    </row>
    <row r="225" spans="1:12" hidden="1">
      <c r="B225" s="173" t="s">
        <v>113</v>
      </c>
      <c r="E225" s="363"/>
      <c r="F225" s="155"/>
      <c r="G225" s="363"/>
      <c r="H225" s="363"/>
      <c r="I225" s="363"/>
      <c r="J225" s="363"/>
      <c r="K225" s="363"/>
      <c r="L225" s="363"/>
    </row>
    <row r="226" spans="1:12" hidden="1">
      <c r="E226" s="363"/>
      <c r="F226" s="155"/>
      <c r="G226" s="363"/>
      <c r="H226" s="363"/>
      <c r="I226" s="363"/>
      <c r="J226" s="363"/>
      <c r="K226" s="363"/>
      <c r="L226" s="363"/>
    </row>
    <row r="227" spans="1:12" hidden="1">
      <c r="B227" s="173" t="s">
        <v>65</v>
      </c>
      <c r="E227" s="363"/>
      <c r="F227" s="155"/>
      <c r="G227" s="363"/>
      <c r="H227" s="363"/>
      <c r="I227" s="363"/>
      <c r="J227" s="363"/>
      <c r="K227" s="363"/>
      <c r="L227" s="363"/>
    </row>
    <row r="228" spans="1:12" hidden="1">
      <c r="A228" s="173" t="s">
        <v>149</v>
      </c>
      <c r="B228" s="173" t="s">
        <v>150</v>
      </c>
      <c r="E228" s="363"/>
      <c r="F228" s="155"/>
      <c r="G228" s="363"/>
      <c r="H228" s="363"/>
      <c r="I228" s="363"/>
      <c r="J228" s="363"/>
      <c r="K228" s="363"/>
      <c r="L228" s="363"/>
    </row>
    <row r="229" spans="1:12" hidden="1">
      <c r="A229" s="173" t="s">
        <v>151</v>
      </c>
      <c r="B229" s="173" t="s">
        <v>152</v>
      </c>
      <c r="E229" s="363"/>
      <c r="F229" s="155"/>
      <c r="G229" s="363"/>
      <c r="H229" s="363"/>
      <c r="I229" s="363"/>
      <c r="J229" s="363"/>
      <c r="K229" s="363"/>
      <c r="L229" s="363"/>
    </row>
    <row r="230" spans="1:12" hidden="1">
      <c r="B230" s="173" t="s">
        <v>153</v>
      </c>
      <c r="C230" s="173" t="s">
        <v>30</v>
      </c>
      <c r="D230" s="173">
        <f>970</f>
        <v>970</v>
      </c>
      <c r="E230" s="363"/>
      <c r="F230" s="155"/>
      <c r="G230" s="363"/>
      <c r="H230" s="363"/>
      <c r="I230" s="363"/>
      <c r="J230" s="363"/>
      <c r="K230" s="363"/>
      <c r="L230" s="363"/>
    </row>
    <row r="231" spans="1:12" hidden="1">
      <c r="B231" s="173" t="s">
        <v>154</v>
      </c>
      <c r="C231" s="173" t="s">
        <v>155</v>
      </c>
      <c r="D231" s="173">
        <v>1450</v>
      </c>
      <c r="E231" s="363"/>
      <c r="F231" s="155"/>
      <c r="G231" s="363"/>
      <c r="H231" s="363"/>
      <c r="I231" s="363"/>
      <c r="J231" s="363"/>
      <c r="K231" s="363"/>
      <c r="L231" s="363"/>
    </row>
    <row r="232" spans="1:12" hidden="1">
      <c r="B232" s="173" t="s">
        <v>49</v>
      </c>
      <c r="C232" s="173" t="s">
        <v>156</v>
      </c>
      <c r="D232" s="173">
        <v>970</v>
      </c>
      <c r="E232" s="363"/>
      <c r="F232" s="155"/>
      <c r="G232" s="363"/>
      <c r="H232" s="363"/>
      <c r="I232" s="363"/>
      <c r="J232" s="363"/>
      <c r="K232" s="363"/>
      <c r="L232" s="363"/>
    </row>
    <row r="233" spans="1:12" ht="17.25" hidden="1" customHeight="1">
      <c r="A233" s="173" t="s">
        <v>157</v>
      </c>
      <c r="E233" s="363"/>
      <c r="F233" s="155"/>
      <c r="G233" s="363"/>
      <c r="H233" s="363"/>
      <c r="I233" s="363"/>
      <c r="J233" s="363"/>
      <c r="K233" s="363"/>
      <c r="L233" s="363"/>
    </row>
    <row r="234" spans="1:12" hidden="1">
      <c r="A234" s="173" t="s">
        <v>25</v>
      </c>
      <c r="E234" s="363"/>
      <c r="F234" s="155"/>
      <c r="G234" s="363"/>
      <c r="H234" s="363"/>
      <c r="I234" s="363"/>
      <c r="J234" s="363"/>
      <c r="K234" s="363"/>
      <c r="L234" s="363"/>
    </row>
    <row r="235" spans="1:12" hidden="1">
      <c r="E235" s="363"/>
      <c r="F235" s="155"/>
      <c r="G235" s="363"/>
      <c r="H235" s="363"/>
      <c r="I235" s="363"/>
      <c r="J235" s="363"/>
      <c r="K235" s="363"/>
      <c r="L235" s="363"/>
    </row>
    <row r="236" spans="1:12" hidden="1">
      <c r="A236" s="173" t="s">
        <v>158</v>
      </c>
      <c r="E236" s="363"/>
      <c r="F236" s="912"/>
      <c r="G236" s="363"/>
      <c r="H236" s="363"/>
      <c r="I236" s="363"/>
      <c r="J236" s="363"/>
      <c r="K236" s="363"/>
      <c r="L236" s="363"/>
    </row>
    <row r="237" spans="1:12" hidden="1">
      <c r="A237" s="173" t="s">
        <v>159</v>
      </c>
      <c r="E237" s="363"/>
      <c r="F237" s="912"/>
      <c r="G237" s="363"/>
      <c r="H237" s="363"/>
      <c r="I237" s="363"/>
      <c r="J237" s="363"/>
      <c r="K237" s="363"/>
      <c r="L237" s="363"/>
    </row>
    <row r="238" spans="1:12" hidden="1">
      <c r="A238" s="173" t="s">
        <v>69</v>
      </c>
      <c r="E238" s="363"/>
      <c r="F238" s="363"/>
      <c r="G238" s="363"/>
      <c r="H238" s="363"/>
      <c r="I238" s="363"/>
      <c r="J238" s="363"/>
      <c r="K238" s="363"/>
      <c r="L238" s="363"/>
    </row>
    <row r="239" spans="1:12" hidden="1">
      <c r="A239" s="173" t="s">
        <v>49</v>
      </c>
      <c r="E239" s="363"/>
      <c r="F239" s="363"/>
      <c r="G239" s="363"/>
      <c r="H239" s="363"/>
      <c r="I239" s="363"/>
      <c r="J239" s="363"/>
      <c r="K239" s="363"/>
      <c r="L239" s="363"/>
    </row>
    <row r="240" spans="1:12" hidden="1">
      <c r="A240" s="173" t="s">
        <v>160</v>
      </c>
      <c r="E240" s="363"/>
      <c r="F240" s="363"/>
      <c r="G240" s="363"/>
      <c r="H240" s="363"/>
      <c r="I240" s="363"/>
      <c r="J240" s="363"/>
      <c r="K240" s="363"/>
      <c r="L240" s="363"/>
    </row>
    <row r="241" spans="1:12" hidden="1">
      <c r="A241" s="173" t="s">
        <v>161</v>
      </c>
      <c r="E241" s="363"/>
      <c r="F241" s="363"/>
      <c r="G241" s="363"/>
      <c r="H241" s="363"/>
      <c r="I241" s="363"/>
      <c r="J241" s="363"/>
      <c r="K241" s="363"/>
      <c r="L241" s="363"/>
    </row>
    <row r="242" spans="1:12" hidden="1">
      <c r="A242" s="173" t="s">
        <v>69</v>
      </c>
    </row>
    <row r="243" spans="1:12" hidden="1">
      <c r="A243" s="173" t="s">
        <v>49</v>
      </c>
    </row>
    <row r="244" spans="1:12" hidden="1"/>
    <row r="245" spans="1:12" hidden="1"/>
    <row r="246" spans="1:12" hidden="1"/>
    <row r="247" spans="1:12" hidden="1"/>
    <row r="248" spans="1:12" hidden="1"/>
    <row r="249" spans="1:12" hidden="1"/>
    <row r="250" spans="1:12" hidden="1"/>
    <row r="251" spans="1:12" hidden="1"/>
    <row r="252" spans="1:12" hidden="1"/>
    <row r="253" spans="1:12" hidden="1"/>
    <row r="254" spans="1:12" hidden="1"/>
    <row r="255" spans="1:12" hidden="1"/>
    <row r="256" spans="1:12" hidden="1"/>
    <row r="257" spans="1:1" hidden="1"/>
    <row r="258" spans="1:1" hidden="1"/>
    <row r="259" spans="1:1" hidden="1"/>
    <row r="260" spans="1:1" hidden="1"/>
    <row r="261" spans="1:1" hidden="1"/>
    <row r="262" spans="1:1" hidden="1"/>
    <row r="263" spans="1:1" hidden="1">
      <c r="A263" s="173" t="s">
        <v>4</v>
      </c>
    </row>
    <row r="264" spans="1:1" hidden="1">
      <c r="A264" s="173" t="s">
        <v>10</v>
      </c>
    </row>
    <row r="265" spans="1:1" hidden="1"/>
    <row r="266" spans="1:1" hidden="1">
      <c r="A266" s="173" t="s">
        <v>162</v>
      </c>
    </row>
    <row r="267" spans="1:1" hidden="1">
      <c r="A267" s="173" t="s">
        <v>163</v>
      </c>
    </row>
    <row r="268" spans="1:1" hidden="1"/>
    <row r="269" spans="1:1" hidden="1"/>
    <row r="270" spans="1:1" hidden="1"/>
    <row r="271" spans="1:1" hidden="1">
      <c r="A271" s="173" t="s">
        <v>164</v>
      </c>
    </row>
    <row r="272" spans="1:1" hidden="1"/>
    <row r="274" spans="1:5">
      <c r="A274" s="173" t="s">
        <v>165</v>
      </c>
      <c r="B274" s="173" t="s">
        <v>166</v>
      </c>
      <c r="C274" s="173" t="s">
        <v>167</v>
      </c>
      <c r="E274" s="1716" t="s">
        <v>168</v>
      </c>
    </row>
    <row r="275" spans="1:5">
      <c r="A275" s="364" t="s">
        <v>169</v>
      </c>
      <c r="B275" s="173">
        <f>IF(B$10=Table2[[#This Row],[States]],1,0)</f>
        <v>0</v>
      </c>
      <c r="D275" s="364" t="s">
        <v>169</v>
      </c>
      <c r="E275" s="1717">
        <f>700</f>
        <v>700</v>
      </c>
    </row>
    <row r="276" spans="1:5">
      <c r="A276" s="364" t="s">
        <v>170</v>
      </c>
      <c r="B276" s="173">
        <f>IF(B$10=Table2[[#This Row],[States]],1,0)</f>
        <v>0</v>
      </c>
      <c r="D276" s="364" t="s">
        <v>170</v>
      </c>
      <c r="E276" s="1718">
        <v>2800</v>
      </c>
    </row>
    <row r="277" spans="1:5">
      <c r="A277" s="364" t="s">
        <v>171</v>
      </c>
      <c r="B277" s="173">
        <f>IF(B$10=Table2[[#This Row],[States]],1,0)</f>
        <v>0</v>
      </c>
      <c r="D277" s="364" t="s">
        <v>171</v>
      </c>
      <c r="E277" s="1717">
        <v>2500</v>
      </c>
    </row>
    <row r="278" spans="1:5">
      <c r="A278" s="364" t="s">
        <v>172</v>
      </c>
      <c r="B278" s="173">
        <f>IF(B$10=Table2[[#This Row],[States]],1,0)</f>
        <v>0</v>
      </c>
      <c r="D278" s="364" t="s">
        <v>173</v>
      </c>
      <c r="E278" s="1718">
        <v>1500</v>
      </c>
    </row>
    <row r="279" spans="1:5">
      <c r="A279" s="364" t="s">
        <v>174</v>
      </c>
      <c r="B279" s="173">
        <f>IF(B$10=Table2[[#This Row],[States]],1,0)</f>
        <v>0</v>
      </c>
      <c r="D279" s="364" t="s">
        <v>175</v>
      </c>
      <c r="E279" s="1717">
        <v>900</v>
      </c>
    </row>
    <row r="280" spans="1:5">
      <c r="A280" s="364" t="s">
        <v>176</v>
      </c>
      <c r="B280" s="173">
        <f>IF(B$10=Table2[[#This Row],[States]],1,0)</f>
        <v>0</v>
      </c>
      <c r="D280" s="364" t="s">
        <v>177</v>
      </c>
      <c r="E280" s="1718">
        <v>700</v>
      </c>
    </row>
    <row r="281" spans="1:5">
      <c r="A281" s="364" t="s">
        <v>178</v>
      </c>
      <c r="B281" s="173">
        <f>IF(B$10=Table2[[#This Row],[States]],1,0)</f>
        <v>0</v>
      </c>
      <c r="D281" s="364" t="s">
        <v>179</v>
      </c>
      <c r="E281" s="1717">
        <v>1300</v>
      </c>
    </row>
    <row r="282" spans="1:5">
      <c r="A282" s="364" t="s">
        <v>180</v>
      </c>
      <c r="B282" s="173">
        <f>IF(B$10=Table2[[#This Row],[States]],1,0)</f>
        <v>0</v>
      </c>
      <c r="D282" s="364" t="s">
        <v>181</v>
      </c>
      <c r="E282" s="1718">
        <v>1900</v>
      </c>
    </row>
    <row r="283" spans="1:5">
      <c r="A283" s="364" t="s">
        <v>182</v>
      </c>
      <c r="B283" s="173">
        <f>IF(B$10=Table2[[#This Row],[States]],1,0)</f>
        <v>0</v>
      </c>
      <c r="D283" s="364" t="s">
        <v>183</v>
      </c>
      <c r="E283" s="1717">
        <v>2200</v>
      </c>
    </row>
    <row r="284" spans="1:5">
      <c r="A284" s="364" t="s">
        <v>184</v>
      </c>
      <c r="B284" s="173">
        <f>IF(B$10=Table2[[#This Row],[States]],1,0)</f>
        <v>0</v>
      </c>
      <c r="D284" s="364" t="s">
        <v>185</v>
      </c>
      <c r="E284" s="1718">
        <v>2200</v>
      </c>
    </row>
    <row r="285" spans="1:5">
      <c r="A285" s="364" t="s">
        <v>173</v>
      </c>
      <c r="B285" s="173">
        <f>IF(B$10=Table2[[#This Row],[States]],1,0)</f>
        <v>0</v>
      </c>
      <c r="D285" s="364" t="s">
        <v>186</v>
      </c>
      <c r="E285" s="1717">
        <v>1450</v>
      </c>
    </row>
    <row r="286" spans="1:5">
      <c r="A286" s="364" t="s">
        <v>175</v>
      </c>
      <c r="B286" s="173">
        <f>IF(B$10=Table2[[#This Row],[States]],1,0)</f>
        <v>0</v>
      </c>
      <c r="D286" s="364" t="s">
        <v>187</v>
      </c>
      <c r="E286" s="1718">
        <v>700</v>
      </c>
    </row>
    <row r="287" spans="1:5">
      <c r="A287" s="364" t="s">
        <v>177</v>
      </c>
      <c r="B287" s="173">
        <f>IF(B$10=Table2[[#This Row],[States]],1,0)</f>
        <v>0</v>
      </c>
      <c r="D287" s="364" t="s">
        <v>188</v>
      </c>
      <c r="E287" s="1717">
        <v>1300</v>
      </c>
    </row>
    <row r="288" spans="1:5">
      <c r="A288" s="364" t="s">
        <v>189</v>
      </c>
      <c r="B288" s="173">
        <f>IF(B$10=Table2[[#This Row],[States]],1,0)</f>
        <v>0</v>
      </c>
      <c r="D288" s="364" t="s">
        <v>190</v>
      </c>
      <c r="E288" s="1718">
        <v>950</v>
      </c>
    </row>
    <row r="289" spans="1:5">
      <c r="A289" s="364" t="s">
        <v>22</v>
      </c>
      <c r="B289" s="173">
        <f>IF(B$10=Table2[[#This Row],[States]],1,0)</f>
        <v>1</v>
      </c>
      <c r="D289" s="364" t="s">
        <v>191</v>
      </c>
      <c r="E289" s="1717">
        <v>750</v>
      </c>
    </row>
    <row r="290" spans="1:5">
      <c r="A290" s="364" t="s">
        <v>179</v>
      </c>
      <c r="B290" s="173">
        <f>IF(B$10=Table2[[#This Row],[States]],1,0)</f>
        <v>0</v>
      </c>
      <c r="D290" s="364" t="s">
        <v>192</v>
      </c>
      <c r="E290" s="1718">
        <v>2900</v>
      </c>
    </row>
    <row r="291" spans="1:5">
      <c r="A291" s="364" t="s">
        <v>181</v>
      </c>
      <c r="B291" s="173">
        <f>IF(B$10=Table2[[#This Row],[States]],1,0)</f>
        <v>0</v>
      </c>
      <c r="E291" s="1717">
        <v>2450</v>
      </c>
    </row>
    <row r="292" spans="1:5">
      <c r="A292" s="364" t="s">
        <v>183</v>
      </c>
      <c r="B292" s="173">
        <f>IF(B$10=Table2[[#This Row],[States]],1,0)</f>
        <v>0</v>
      </c>
      <c r="E292" s="1718">
        <v>3000</v>
      </c>
    </row>
    <row r="293" spans="1:5">
      <c r="A293" s="364" t="s">
        <v>185</v>
      </c>
      <c r="B293" s="173">
        <f>IF(B$10=Table2[[#This Row],[States]],1,0)</f>
        <v>0</v>
      </c>
      <c r="E293" s="1717">
        <v>3000</v>
      </c>
    </row>
    <row r="294" spans="1:5">
      <c r="A294" s="364" t="s">
        <v>186</v>
      </c>
      <c r="B294" s="173">
        <f>IF(B$10=Table2[[#This Row],[States]],1,0)</f>
        <v>0</v>
      </c>
      <c r="E294" s="1718">
        <v>1000</v>
      </c>
    </row>
    <row r="295" spans="1:5">
      <c r="A295" s="364" t="s">
        <v>193</v>
      </c>
      <c r="B295" s="173">
        <f>IF(B$10=Table2[[#This Row],[States]],1,0)</f>
        <v>0</v>
      </c>
      <c r="E295" s="1717">
        <v>2100</v>
      </c>
    </row>
    <row r="296" spans="1:5">
      <c r="A296" s="364" t="s">
        <v>194</v>
      </c>
      <c r="B296" s="173">
        <f>IF(B$10=Table2[[#This Row],[States]],1,0)</f>
        <v>0</v>
      </c>
      <c r="E296" s="1718">
        <v>1500</v>
      </c>
    </row>
    <row r="297" spans="1:5">
      <c r="A297" s="364" t="s">
        <v>187</v>
      </c>
      <c r="B297" s="173">
        <f>IF(B$10=Table2[[#This Row],[States]],1,0)</f>
        <v>0</v>
      </c>
      <c r="E297" s="1717">
        <v>3000</v>
      </c>
    </row>
    <row r="298" spans="1:5">
      <c r="A298" s="364" t="s">
        <v>188</v>
      </c>
      <c r="B298" s="173">
        <f>IF(B$10=Table2[[#This Row],[States]],1,0)</f>
        <v>0</v>
      </c>
      <c r="E298" s="1718">
        <v>900</v>
      </c>
    </row>
    <row r="299" spans="1:5">
      <c r="A299" s="364" t="s">
        <v>190</v>
      </c>
      <c r="B299" s="173">
        <f>IF(B$10=Table2[[#This Row],[States]],1,0)</f>
        <v>0</v>
      </c>
      <c r="E299" s="1717">
        <v>500</v>
      </c>
    </row>
    <row r="300" spans="1:5">
      <c r="A300" s="364" t="s">
        <v>195</v>
      </c>
      <c r="B300" s="173">
        <f>IF(B$10=Table2[[#This Row],[States]],1,0)</f>
        <v>0</v>
      </c>
      <c r="E300" s="1718">
        <v>3000</v>
      </c>
    </row>
    <row r="301" spans="1:5">
      <c r="A301" s="364" t="s">
        <v>196</v>
      </c>
      <c r="B301" s="173">
        <f>IF(B$10=Table2[[#This Row],[States]],1,0)</f>
        <v>0</v>
      </c>
      <c r="E301" s="1717">
        <v>1600</v>
      </c>
    </row>
    <row r="302" spans="1:5">
      <c r="A302" s="364" t="s">
        <v>197</v>
      </c>
      <c r="B302" s="173">
        <f>IF(B$10=Table2[[#This Row],[States]],1,0)</f>
        <v>0</v>
      </c>
      <c r="E302" s="1718">
        <v>1900</v>
      </c>
    </row>
    <row r="303" spans="1:5">
      <c r="A303" s="364" t="s">
        <v>191</v>
      </c>
      <c r="B303" s="173">
        <f>IF(B$10=Table2[[#This Row],[States]],1,0)</f>
        <v>0</v>
      </c>
      <c r="E303" s="1717">
        <v>1550</v>
      </c>
    </row>
    <row r="304" spans="1:5">
      <c r="A304" s="364" t="s">
        <v>198</v>
      </c>
      <c r="B304" s="173">
        <f>IF(B$10=Table2[[#This Row],[States]],1,0)</f>
        <v>0</v>
      </c>
      <c r="E304" s="1718">
        <v>750</v>
      </c>
    </row>
    <row r="305" spans="1:5">
      <c r="A305" s="364" t="s">
        <v>192</v>
      </c>
      <c r="B305" s="173">
        <f>IF(B$10=Table2[[#This Row],[States]],1,0)</f>
        <v>0</v>
      </c>
      <c r="E305" s="1717">
        <v>900</v>
      </c>
    </row>
    <row r="306" spans="1:5">
      <c r="A306" s="364" t="s">
        <v>199</v>
      </c>
      <c r="B306" s="173">
        <f>IF(B$10=Table2[[#This Row],[States]],1,0)</f>
        <v>0</v>
      </c>
      <c r="E306" s="1718">
        <v>900</v>
      </c>
    </row>
    <row r="307" spans="1:5">
      <c r="A307" s="364" t="s">
        <v>200</v>
      </c>
      <c r="B307" s="362">
        <f>IF(B$10=Table2[[#This Row],[States]],1,0)</f>
        <v>0</v>
      </c>
      <c r="D307" s="717"/>
      <c r="E307" s="1719">
        <v>1750</v>
      </c>
    </row>
  </sheetData>
  <sheetProtection algorithmName="SHA-512" hashValue="Uw5HuxC9i8jU3GIvQykPJaFa5RXzxJz7/KbJ6zDBSlUIAoVrugE7cUr5VR0pVmbxst1vEtsb2nI8L7rinQXQYg==" saltValue="kcarxP3PFkbo2WXY66TyeQ==" spinCount="100000" sheet="1" selectLockedCells="1"/>
  <dataConsolidate/>
  <mergeCells count="92">
    <mergeCell ref="C10:D12"/>
    <mergeCell ref="E187:E188"/>
    <mergeCell ref="C15:D18"/>
    <mergeCell ref="A5:B5"/>
    <mergeCell ref="C45:D45"/>
    <mergeCell ref="C23:D23"/>
    <mergeCell ref="C69:D69"/>
    <mergeCell ref="C19:D19"/>
    <mergeCell ref="C5:D5"/>
    <mergeCell ref="C6:D6"/>
    <mergeCell ref="C7:D7"/>
    <mergeCell ref="C8:D8"/>
    <mergeCell ref="C9:D9"/>
    <mergeCell ref="C25:D25"/>
    <mergeCell ref="C63:D63"/>
    <mergeCell ref="C62:D62"/>
    <mergeCell ref="C13:D13"/>
    <mergeCell ref="C14:D14"/>
    <mergeCell ref="C26:D26"/>
    <mergeCell ref="C27:D27"/>
    <mergeCell ref="A31:B31"/>
    <mergeCell ref="C31:D31"/>
    <mergeCell ref="A1:B3"/>
    <mergeCell ref="C1:D1"/>
    <mergeCell ref="C2:D2"/>
    <mergeCell ref="C3:D3"/>
    <mergeCell ref="A4:D4"/>
    <mergeCell ref="I195:I196"/>
    <mergeCell ref="C49:D49"/>
    <mergeCell ref="C50:D50"/>
    <mergeCell ref="C51:D51"/>
    <mergeCell ref="C53:D53"/>
    <mergeCell ref="C55:D55"/>
    <mergeCell ref="A91:D95"/>
    <mergeCell ref="C56:D56"/>
    <mergeCell ref="A90:D90"/>
    <mergeCell ref="C70:D70"/>
    <mergeCell ref="C72:D72"/>
    <mergeCell ref="C73:D73"/>
    <mergeCell ref="C85:D85"/>
    <mergeCell ref="C86:D86"/>
    <mergeCell ref="C87:D87"/>
    <mergeCell ref="C52:D52"/>
    <mergeCell ref="E15:K15"/>
    <mergeCell ref="C67:D67"/>
    <mergeCell ref="C68:D68"/>
    <mergeCell ref="C39:D39"/>
    <mergeCell ref="C22:D22"/>
    <mergeCell ref="C21:D21"/>
    <mergeCell ref="C20:D20"/>
    <mergeCell ref="C57:D57"/>
    <mergeCell ref="C38:D38"/>
    <mergeCell ref="C41:D41"/>
    <mergeCell ref="C24:D24"/>
    <mergeCell ref="C66:D66"/>
    <mergeCell ref="C59:D59"/>
    <mergeCell ref="A58:D58"/>
    <mergeCell ref="A48:D48"/>
    <mergeCell ref="A32:D32"/>
    <mergeCell ref="C83:D83"/>
    <mergeCell ref="C84:D84"/>
    <mergeCell ref="C78:D78"/>
    <mergeCell ref="C79:D79"/>
    <mergeCell ref="C80:D80"/>
    <mergeCell ref="C81:D81"/>
    <mergeCell ref="C82:D82"/>
    <mergeCell ref="G203:H203"/>
    <mergeCell ref="G202:H202"/>
    <mergeCell ref="E202:F202"/>
    <mergeCell ref="C202:D202"/>
    <mergeCell ref="C203:D203"/>
    <mergeCell ref="E203:F203"/>
    <mergeCell ref="C34:D34"/>
    <mergeCell ref="C33:D33"/>
    <mergeCell ref="C54:D54"/>
    <mergeCell ref="C61:D61"/>
    <mergeCell ref="C47:D47"/>
    <mergeCell ref="A42:D42"/>
    <mergeCell ref="C43:D43"/>
    <mergeCell ref="C44:D44"/>
    <mergeCell ref="C46:D46"/>
    <mergeCell ref="C40:D40"/>
    <mergeCell ref="C35:D35"/>
    <mergeCell ref="C36:D36"/>
    <mergeCell ref="C37:D37"/>
    <mergeCell ref="C71:D71"/>
    <mergeCell ref="A75:D75"/>
    <mergeCell ref="C76:D76"/>
    <mergeCell ref="C77:D77"/>
    <mergeCell ref="A60:D60"/>
    <mergeCell ref="C64:D64"/>
    <mergeCell ref="C65:D65"/>
  </mergeCells>
  <conditionalFormatting sqref="B11:B19">
    <cfRule type="expression" dxfId="970" priority="4">
      <formula>$B$10=0</formula>
    </cfRule>
  </conditionalFormatting>
  <conditionalFormatting sqref="B20:B29 C33:D41 C43:D47 C49:D57 C59 C61:D63 B61:B72 C64 C65:D73 B76:D78 C79:D79 B80:D87">
    <cfRule type="expression" dxfId="969" priority="1531">
      <formula>$B$15=0</formula>
    </cfRule>
  </conditionalFormatting>
  <conditionalFormatting sqref="B24:B27">
    <cfRule type="expression" dxfId="968" priority="16">
      <formula>$B$16="Opex"</formula>
    </cfRule>
  </conditionalFormatting>
  <conditionalFormatting sqref="B33:B59">
    <cfRule type="expression" dxfId="967" priority="7">
      <formula>$B$15=0</formula>
    </cfRule>
  </conditionalFormatting>
  <conditionalFormatting sqref="B52">
    <cfRule type="expression" dxfId="966" priority="6">
      <formula>$B$51&lt;&gt;$A$147</formula>
    </cfRule>
  </conditionalFormatting>
  <conditionalFormatting sqref="B65:B67">
    <cfRule type="expression" dxfId="965" priority="1">
      <formula>$B$64=$A$161</formula>
    </cfRule>
  </conditionalFormatting>
  <conditionalFormatting sqref="B73">
    <cfRule type="expression" dxfId="964" priority="5">
      <formula>$B$72&lt;&gt;$B$210</formula>
    </cfRule>
  </conditionalFormatting>
  <conditionalFormatting sqref="C10">
    <cfRule type="expression" dxfId="963" priority="2">
      <formula>$C$10="Please fill the State to access further details"</formula>
    </cfRule>
  </conditionalFormatting>
  <conditionalFormatting sqref="C15:D18">
    <cfRule type="expression" dxfId="962" priority="3">
      <formula>$C$15="Further details to RFP/RFQ can be accessed only if RFP/RFQ details are filled"</formula>
    </cfRule>
  </conditionalFormatting>
  <conditionalFormatting sqref="E15">
    <cfRule type="expression" dxfId="961" priority="13">
      <formula>$E$15="Further details to RFP/RFQ can be accessed only if RFP/RFQ details are filled"</formula>
    </cfRule>
  </conditionalFormatting>
  <dataValidations count="65">
    <dataValidation type="custom" allowBlank="1" showInputMessage="1" showErrorMessage="1" errorTitle="Input restricted" error="Fill RFP/RFQ details" sqref="C210 D212:D274 D209 F209 D204:D206 C199:D199 F204:F206 G178:G206 H204:H206 E189:E206 B13:B14 E10 F7:F10 G10 D13:D14 E62 B7:B9 E275:E307 E210:E273 B275:B307 C13:C15 F178:F179 C190:D190 F190:F201 C186:D186 C176:C185 C200 B205:B273 D183 B171:B173 C195:D195 A202:B202 C202:C206 B175:B183 E98:E175 B185:B196 A203:A207 C187:C189 D179 B198:B200 C191:C194 C196:C198 E180:E187 D6:D9 C6:C10 A178:A201 C25:D26 H98:H201 C231:C232 A213:A223 A228:A1048576 B309:C1048576 E309:E1048576 F212:F1048576 G210:G1048576 H211:H1048576 D291:D1048576 C234:C273 C212:C229 E63:XFD64 E66:XFD69 E34:XFD37 E56:XFD57 C21:XFD21 B19:XFD19 A91:XFD96 H7:XFD10 G43:XFD43 A89:XFD89 E77:XFD84 E86:XFD87 E50:XFD51 C23:XFD23 E13:XFD15 I178:XFD1048576 C27:XFD27 C29:XFD29 A98:D156 A157:A166 C157:D166 B161:B166 B158:B159 A171:A176 F98:G176 I98:XFD176" xr:uid="{9E891BB6-F8A2-4938-B8E7-E17C1108FA3A}">
      <formula1>A5&lt;&gt;" "</formula1>
    </dataValidation>
    <dataValidation type="list" allowBlank="1" showInputMessage="1" showErrorMessage="1" errorTitle="Dropdown" error="Select from dropdown on which type of survey is to be conducted" sqref="B12" xr:uid="{5E2C68D5-2DC7-4F8D-8ACC-C6CD32A6D785}">
      <formula1>$A$233:$A$234</formula1>
    </dataValidation>
    <dataValidation type="list" allowBlank="1" showInputMessage="1" showErrorMessage="1" sqref="B45" xr:uid="{167F153C-0305-4586-BBD7-31C0E117AAB3}">
      <formula1>$A$200:$A$202</formula1>
    </dataValidation>
    <dataValidation type="list" allowBlank="1" showInputMessage="1" showErrorMessage="1" sqref="B49:B51 B65:B69 B59 B53:B57 B61:B63 B33:B37" xr:uid="{590D6A25-A232-40B1-988F-27BEF1C59031}">
      <formula1>$A$146:$A$150</formula1>
    </dataValidation>
    <dataValidation type="custom" allowBlank="1" showInputMessage="1" showErrorMessage="1" errorTitle="Input restricted" error="Fill RFP/RFQ details" sqref="C211 D210 F211 H210 I177:XFD177 A177 G6:G9 D191 D200 C168:C175 D196 F177:G177 E65:XFD65 E11:XFD12 E1:XFD5 E53:XFD55 E40:XFD41 G46:XFD46" xr:uid="{1752DCAA-7E0C-4E20-9F0B-065C4C971EE7}">
      <formula1>A1048575&lt;&gt;" "</formula1>
    </dataValidation>
    <dataValidation type="custom" allowBlank="1" showInputMessage="1" showErrorMessage="1" errorTitle="Input restricted" error="Fill RFP/RFQ details" sqref="C209 D208 E209 H208 G209 A212 D211 C28:XFD28 E74 E46:F46 A90:XFD90 G44:XFD45 A97:XFD97 E75:XFD75 E47:XFD47 E52:XFD52 C22:XFD22 E308 D189 D198 D178 D185 D170 D175 F207:F208 D173 D182 D194 B168 B201:D201 C166 E34:XFD37 C233 B160 E25:XFD26" xr:uid="{74669505-4AA1-4ADB-8992-9C728D29BB0A}">
      <formula1>#REF!&lt;&gt;" "</formula1>
    </dataValidation>
    <dataValidation type="custom" allowBlank="1" showInputMessage="1" showErrorMessage="1" errorTitle="Input restricted" error="Fill RFP/RFQ details" sqref="H207 C207:D207" xr:uid="{253F21FA-0771-406E-9B40-F43B352ADFF9}">
      <formula1>A172&lt;&gt;" "</formula1>
    </dataValidation>
    <dataValidation type="custom" allowBlank="1" showInputMessage="1" showErrorMessage="1" errorTitle="Input restricted" error="Fill RFP/RFQ details" sqref="G208 D177 D181" xr:uid="{7B703D84-EDFA-4282-9C4C-58D1A278ED40}">
      <formula1>B141&lt;&gt;" "</formula1>
    </dataValidation>
    <dataValidation type="custom" allowBlank="1" showInputMessage="1" showErrorMessage="1" errorTitle="Input restricted" error="Fill RFP/RFQ details" sqref="B18 E18:XFD18" xr:uid="{338F33AA-AAA4-400E-9220-55864218D998}">
      <formula1>B84&lt;&gt;" "</formula1>
    </dataValidation>
    <dataValidation type="custom" allowBlank="1" showInputMessage="1" showErrorMessage="1" errorTitle="Input restricted" error="Fill RFP/RFQ details" sqref="E9" xr:uid="{6737AE78-43F8-4C22-9D01-8785DBA5C449}">
      <formula1>G8&lt;&gt;" "</formula1>
    </dataValidation>
    <dataValidation type="custom" allowBlank="1" showInputMessage="1" showErrorMessage="1" errorTitle="Input restricted" error="Fill RFP/RFQ details" sqref="B17 E17:XFD17" xr:uid="{6E8185DE-AC88-480E-BB93-234480CABA74}">
      <formula1>B14&lt;&gt;" "</formula1>
    </dataValidation>
    <dataValidation type="custom" allowBlank="1" showInputMessage="1" showErrorMessage="1" errorTitle="Input restricted" error="Fill RFP/RFQ details" sqref="E43:F43" xr:uid="{37265192-42BF-4CB0-B0E7-1E7DB22CD067}">
      <formula1>E72&lt;&gt;" "</formula1>
    </dataValidation>
    <dataValidation type="list" allowBlank="1" showInputMessage="1" showErrorMessage="1" errorTitle="Input restricted" error="Fill RFP/RFQ details" sqref="B15" xr:uid="{67515E9C-031A-420D-81EC-504BAD2BACA9}">
      <formula1>"Yes,No-As per 4PEL Std"</formula1>
    </dataValidation>
    <dataValidation type="list" allowBlank="1" showInputMessage="1" showErrorMessage="1" sqref="B45" xr:uid="{4846FA75-894A-478A-9D67-6A8824F4E857}">
      <formula1>$B$227:$B$231</formula1>
    </dataValidation>
    <dataValidation type="list" allowBlank="1" showInputMessage="1" showErrorMessage="1" sqref="B46" xr:uid="{C3C07FBA-32FF-463D-B3D3-796FF507B730}">
      <formula1>$A$236:$A$239</formula1>
    </dataValidation>
    <dataValidation type="list" allowBlank="1" showInputMessage="1" showErrorMessage="1" sqref="B47" xr:uid="{47DBBFF2-5338-45A0-9381-884309E55BDD}">
      <formula1>$B$209:$B$210</formula1>
    </dataValidation>
    <dataValidation type="custom" allowBlank="1" showInputMessage="1" showErrorMessage="1" errorTitle="Input restricted" error="Fill RFP/RFQ details" sqref="C15 L15:XFD15 E15" xr:uid="{C29CBFE7-E23C-4314-A8AF-E3FCB1AE8035}">
      <formula1>C34&lt;&gt;" "</formula1>
    </dataValidation>
    <dataValidation type="list" allowBlank="1" showInputMessage="1" showErrorMessage="1" errorTitle="Input restricted" error="Fill RFP/RFQ details" sqref="B10" xr:uid="{8AA14510-5E9E-42C4-82BA-253D2AA5AF11}">
      <formula1>$A$275:$A$307</formula1>
    </dataValidation>
    <dataValidation type="list" allowBlank="1" showInputMessage="1" showErrorMessage="1" sqref="B24" xr:uid="{732D0FAE-E6B4-4FC0-8DB0-A45876BC60AE}">
      <formula1>$A$146:$A$148</formula1>
    </dataValidation>
    <dataValidation type="list" allowBlank="1" showInputMessage="1" showErrorMessage="1" sqref="B86" xr:uid="{905D78A4-6A1F-4583-BAD5-3ED74B1FA908}">
      <formula1>$A$217:$A$219</formula1>
    </dataValidation>
    <dataValidation type="list" allowBlank="1" showInputMessage="1" showErrorMessage="1" sqref="B85" xr:uid="{16CB34AD-9F0F-4540-9163-4B01B11D3B4E}">
      <formula1>$B$223:$B$225</formula1>
    </dataValidation>
    <dataValidation type="list" allowBlank="1" showInputMessage="1" showErrorMessage="1" sqref="B81" xr:uid="{85562FED-3E1E-4533-978E-11A86C6D4700}">
      <formula1>$A$221:$A$222</formula1>
    </dataValidation>
    <dataValidation type="list" allowBlank="1" showInputMessage="1" showErrorMessage="1" sqref="B82:B84" xr:uid="{883672A3-162D-4915-8EBD-3AA8E7A29CDE}">
      <formula1>$A$205:$A$206</formula1>
    </dataValidation>
    <dataValidation type="custom" allowBlank="1" showInputMessage="1" showErrorMessage="1" errorTitle="Input restricted" error="Fill RFP/RFQ details" sqref="E44:F45" xr:uid="{6F2F621F-C1BF-4C8F-A97A-97BC1384413E}">
      <formula1>E74&lt;&gt;" "</formula1>
    </dataValidation>
    <dataValidation type="custom" allowBlank="1" showInputMessage="1" showErrorMessage="1" errorTitle="Input restricted" error="Fill RFP/RFQ details" sqref="B204" xr:uid="{0518238D-2AD7-455C-A91D-29519895D7DB}">
      <formula1>B166&lt;&gt;" "</formula1>
    </dataValidation>
    <dataValidation type="list" allowBlank="1" showInputMessage="1" showErrorMessage="1" sqref="B40:B41" xr:uid="{925361AC-0C26-4182-96FC-3D76D1A12239}">
      <formula1>_xlfn.ANCHORARRAY($F$187)</formula1>
    </dataValidation>
    <dataValidation type="custom" allowBlank="1" showInputMessage="1" showErrorMessage="1" errorTitle="Input restricted" error="Fill RFP/RFQ details" sqref="E274" xr:uid="{6DA3A8D4-44AC-4F75-AC9C-1750A79CC883}">
      <formula1>B273&lt;&gt;" "</formula1>
    </dataValidation>
    <dataValidation type="custom" allowBlank="1" showInputMessage="1" showErrorMessage="1" errorTitle="Input restricted" error="Fill RFP/RFQ details" sqref="B308" xr:uid="{CE7208B8-F132-49E9-BFC6-EC64FF786688}">
      <formula1>E307&lt;&gt;" "</formula1>
    </dataValidation>
    <dataValidation type="custom" allowBlank="1" showInputMessage="1" showErrorMessage="1" errorTitle="Input restricted" error="Fill RFP/RFQ details" sqref="B274" xr:uid="{60C1C839-C4F6-45A4-B7E7-37D37B1AA2CD}">
      <formula1>C273&lt;&gt;" "</formula1>
    </dataValidation>
    <dataValidation type="custom" allowBlank="1" showInputMessage="1" showErrorMessage="1" errorTitle="Input restricted" error="Fill RFP/RFQ details" sqref="C308" xr:uid="{A96CBD39-2DA4-4342-88FB-1606A8334BD3}">
      <formula1>B307&lt;&gt;" "</formula1>
    </dataValidation>
    <dataValidation type="custom" allowBlank="1" showInputMessage="1" showErrorMessage="1" errorTitle="Input restricted" error="Fill RFP/RFQ details" sqref="D184" xr:uid="{F01EDE89-15B3-4125-A41D-2128D865D85D}">
      <formula1>C141&lt;&gt;" "</formula1>
    </dataValidation>
    <dataValidation type="custom" allowBlank="1" showInputMessage="1" showErrorMessage="1" errorTitle="Input restricted" error="Fill RFP/RFQ details" sqref="B166 E166" xr:uid="{95CAFD4C-9F21-40E7-998E-3DDA55C38FF4}">
      <formula1>B202&lt;&gt;" "</formula1>
    </dataValidation>
    <dataValidation type="custom" allowBlank="1" showInputMessage="1" showErrorMessage="1" errorTitle="Input restricted" error="Fill RFP/RFQ details" sqref="D169 D172" xr:uid="{F927C5CC-8DDD-474E-9A75-CE86B1EA98A7}">
      <formula1>B132&lt;&gt;" "</formula1>
    </dataValidation>
    <dataValidation type="custom" allowBlank="1" showInputMessage="1" showErrorMessage="1" errorTitle="Input restricted" error="Fill RFP/RFQ details" sqref="B174" xr:uid="{7D29F96D-9960-4F32-A636-F56A0D159A3A}">
      <formula1>B170&lt;&gt;" "</formula1>
    </dataValidation>
    <dataValidation type="custom" allowBlank="1" showInputMessage="1" showErrorMessage="1" errorTitle="Input restricted" error="Fill RFP/RFQ details" sqref="D174" xr:uid="{A1FEE58B-33C6-49E8-8236-F00431E4A56F}">
      <formula1>B136&lt;&gt;" "</formula1>
    </dataValidation>
    <dataValidation type="custom" allowBlank="1" showInputMessage="1" showErrorMessage="1" errorTitle="Input restricted" error="Fill RFP/RFQ details" sqref="E208" xr:uid="{51B1192A-5F80-4A33-981C-7C77BD95CC0C}">
      <formula1>C175&lt;&gt;" "</formula1>
    </dataValidation>
    <dataValidation type="custom" allowBlank="1" showInputMessage="1" showErrorMessage="1" errorTitle="Input restricted" error="Fill RFP/RFQ details" sqref="B184" xr:uid="{6C95AA42-A50D-4942-ACC9-01BE2F8F96A5}">
      <formula1>B179&lt;&gt;" "</formula1>
    </dataValidation>
    <dataValidation type="custom" allowBlank="1" showInputMessage="1" showErrorMessage="1" errorTitle="Input restricted" error="Fill RFP/RFQ details" sqref="D187 D192 F72:XFD74 E72:E73" xr:uid="{7B4C3520-20D2-4304-B3D8-CD7CB42E6305}">
      <formula1>D30&lt;&gt;" "</formula1>
    </dataValidation>
    <dataValidation type="custom" allowBlank="1" showInputMessage="1" showErrorMessage="1" errorTitle="Input restricted" error="Fill RFP/RFQ details" sqref="E179" xr:uid="{FF5C1506-363B-4AD3-93DB-9CE25E921088}">
      <formula1>D186&lt;&gt;" "</formula1>
    </dataValidation>
    <dataValidation type="custom" allowBlank="1" showInputMessage="1" showErrorMessage="1" errorTitle="Input restricted" error="Fill RFP/RFQ details" sqref="D197 F62:XFD62" xr:uid="{E9C35C9A-3921-414C-9F65-551C4F9F94CA}">
      <formula1>D15&lt;&gt;" "</formula1>
    </dataValidation>
    <dataValidation type="custom" allowBlank="1" showInputMessage="1" showErrorMessage="1" errorTitle="Input restricted" error="Fill RFP/RFQ details" sqref="B197" xr:uid="{9038A665-40C8-4056-A237-C5921E72443D}">
      <formula1>B191&lt;&gt;" "</formula1>
    </dataValidation>
    <dataValidation type="custom" allowBlank="1" showInputMessage="1" showErrorMessage="1" errorTitle="Input restricted" error="Fill RFP/RFQ details" sqref="F189" xr:uid="{F74C3F91-D3BA-4FC1-BC1E-EC669346DC33}">
      <formula1>D200&lt;&gt;" "</formula1>
    </dataValidation>
    <dataValidation type="list" allowBlank="1" showInputMessage="1" showErrorMessage="1" sqref="B38:B39" xr:uid="{E99D8CBB-7917-43EF-9DC6-5CFF7C44D38C}">
      <formula1>$H$171:$H$173</formula1>
    </dataValidation>
    <dataValidation type="list" allowBlank="1" showInputMessage="1" showErrorMessage="1" sqref="B43 B70:B72" xr:uid="{B9DC9A1A-7A84-423F-819E-5AFCB6B3C8C5}">
      <formula1>$B$209:$B$211</formula1>
    </dataValidation>
    <dataValidation type="list" allowBlank="1" showInputMessage="1" showErrorMessage="1" sqref="B44" xr:uid="{1E7E6AC8-427E-4F47-A9E9-ED4A685184A3}">
      <formula1>$B$227:$B$232</formula1>
    </dataValidation>
    <dataValidation type="custom" allowBlank="1" showInputMessage="1" showErrorMessage="1" errorTitle="Input restricted" error="Fill RFP/RFQ details" sqref="C230" xr:uid="{DAC25A6E-5722-46C2-9DE1-76BBB8C03008}">
      <formula1>A223&lt;&gt;" "</formula1>
    </dataValidation>
    <dataValidation type="custom" allowBlank="1" showInputMessage="1" showErrorMessage="1" errorTitle="Input restricted" error="Fill RFP/RFQ details" sqref="A227" xr:uid="{06249C5D-0EBA-47D6-B147-11F03057EF74}">
      <formula1>C232&lt;&gt;" "</formula1>
    </dataValidation>
    <dataValidation type="list" allowBlank="1" showInputMessage="1" showErrorMessage="1" errorTitle="Business Model" error="Select Business Model from Dropdown" sqref="B16" xr:uid="{CFC472B4-5A14-464B-A832-939A3DFFA6DA}">
      <formula1>$C$230:$C$232</formula1>
    </dataValidation>
    <dataValidation type="list" allowBlank="1" showInputMessage="1" showErrorMessage="1" sqref="B64" xr:uid="{B827923E-5FE7-4D40-9C51-C903E46F3A98}">
      <formula1>$A$160:$A$161</formula1>
    </dataValidation>
    <dataValidation type="custom" allowBlank="1" showInputMessage="1" showErrorMessage="1" errorTitle="Input restricted" error="Fill RFP/RFQ details" sqref="B157" xr:uid="{41CA2C20-F6A5-4188-8E2F-AA3A7B64E5E4}">
      <formula1>A166&lt;&gt;" "</formula1>
    </dataValidation>
    <dataValidation type="custom" allowBlank="1" showInputMessage="1" showErrorMessage="1" errorTitle="Input restricted" error="Fill RFP/RFQ details" sqref="A170" xr:uid="{2C228388-4BD6-47E3-8095-9FD298C21CE6}">
      <formula1>B159&lt;&gt;" "</formula1>
    </dataValidation>
    <dataValidation type="list" allowBlank="1" showInputMessage="1" showErrorMessage="1" sqref="B52" xr:uid="{AF4A4850-300D-475F-9A18-346BE7326E9B}">
      <formula1>$B$157:$B$159</formula1>
    </dataValidation>
    <dataValidation type="custom" allowBlank="1" showInputMessage="1" showErrorMessage="1" errorTitle="Input restricted" error="Fill RFP/RFQ details" sqref="E38:XFD38" xr:uid="{ABA7F08B-AD67-4F5B-B689-7289068D1368}">
      <formula1>E41&lt;&gt;" "</formula1>
    </dataValidation>
    <dataValidation type="custom" allowBlank="1" showInputMessage="1" showErrorMessage="1" errorTitle="Input restricted" error="Fill RFP/RFQ details" sqref="E33:XFD33 E42:XFD42" xr:uid="{A503EC23-A550-493B-B81B-8FA9EC4CADC3}">
      <formula1>E61&lt;&gt;" "</formula1>
    </dataValidation>
    <dataValidation type="custom" allowBlank="1" showInputMessage="1" showErrorMessage="1" errorTitle="Input restricted" error="Fill RFP/RFQ details" sqref="E76:XFD76" xr:uid="{F69B8A4D-FFFB-45B9-BC49-292BD1275A37}">
      <formula1>E16&lt;&gt;" "</formula1>
    </dataValidation>
    <dataValidation type="custom" allowBlank="1" showInputMessage="1" showErrorMessage="1" errorTitle="Input restricted" error="Fill RFP/RFQ details" sqref="E16:XFD16 E10:XFD10" xr:uid="{C62B7A64-0141-4064-8386-30AFB3651072}">
      <formula1>E11&lt;&gt;" "</formula1>
    </dataValidation>
    <dataValidation type="custom" allowBlank="1" showInputMessage="1" showErrorMessage="1" errorTitle="Input restricted" error="Fill RFP/RFQ details" sqref="E85:XFD85" xr:uid="{30107AD2-6267-4E89-AB01-1F73B03B2C9A}">
      <formula1>E19&lt;&gt;" "</formula1>
    </dataValidation>
    <dataValidation type="custom" allowBlank="1" showInputMessage="1" showErrorMessage="1" errorTitle="Input restricted" error="Fill RFP/RFQ details" sqref="E49:XFD49" xr:uid="{35146A7F-A2C8-450C-B488-67B73BB49D2A}">
      <formula1>E38&lt;&gt;" "</formula1>
    </dataValidation>
    <dataValidation type="custom" allowBlank="1" showInputMessage="1" showErrorMessage="1" errorTitle="Input restricted" error="Fill RFP/RFQ details" sqref="C45:XFD45" xr:uid="{A323E780-DBA8-41F2-846A-B4AD677F4751}">
      <formula1>C23&lt;&gt;" "</formula1>
    </dataValidation>
    <dataValidation type="custom" allowBlank="1" showInputMessage="1" showErrorMessage="1" errorTitle="Input restricted" error="Fill RFP/RFQ details" sqref="C69:XFD69" xr:uid="{CFB5F1D8-5BF3-4411-BE9E-3F0DB54B08D6}">
      <formula1>C45&lt;&gt;" "</formula1>
    </dataValidation>
    <dataValidation type="custom" allowBlank="1" showInputMessage="1" showErrorMessage="1" errorTitle="Input restricted" error="Fill RFP/RFQ details" sqref="C24:XFD24" xr:uid="{A4604BD6-3749-4AFF-ADE5-8A9A0AB9834B}">
      <formula1>C69&lt;&gt;" "</formula1>
    </dataValidation>
    <dataValidation type="custom" allowBlank="1" showInputMessage="1" showErrorMessage="1" errorTitle="Input restricted" error="Fill RFP/RFQ details" sqref="E70:XFD71" xr:uid="{3407C48C-77D1-4426-9BD9-1E7401F5B902}">
      <formula1>E29&lt;&gt;" "</formula1>
    </dataValidation>
    <dataValidation type="custom" allowBlank="1" showInputMessage="1" showErrorMessage="1" errorTitle="Input restricted" error="Fill RFP/RFQ details" sqref="E38:XFD39" xr:uid="{4291DC7B-72E4-43FF-8D4D-6D3717CF91B9}">
      <formula1>E62&lt;&gt;" "</formula1>
    </dataValidation>
    <dataValidation type="custom" allowBlank="1" showInputMessage="1" showErrorMessage="1" errorTitle="Input restricted" error="Fill RFP/RFQ details" sqref="E40:XFD41" xr:uid="{33E8EE9A-CD66-40DC-94FA-CD4AC4660BCB}">
      <formula1>E65&lt;&gt;" "</formula1>
    </dataValidation>
    <dataValidation type="custom" allowBlank="1" showInputMessage="1" showErrorMessage="1" errorTitle="Input restricted" error="Fill RFP/RFQ details" sqref="C20:XFD20" xr:uid="{AC69F6C0-49FD-4AA3-A1D6-A218DB846AF0}">
      <formula1>C57&lt;&gt;" "</formula1>
    </dataValidation>
  </dataValidations>
  <pageMargins left="0.7" right="0.7" top="0.75" bottom="0.75" header="0.3" footer="0.3"/>
  <pageSetup scale="25" orientation="portrait" r:id="rId1"/>
  <drawing r:id="rId2"/>
  <tableParts count="2">
    <tablePart r:id="rId3"/>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Select the state from dropdown" error="Select the state from dropdown" xr:uid="{E1B40960-A9D7-4758-AFAF-37E88E204F17}">
          <x14:formula1>
            <xm:f>'Input''s from Initial Design'!$B$332:$B$364</xm:f>
          </x14:formula1>
          <xm:sqref>B10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8C4C-A2CD-412E-8826-2A075B9C7CAC}">
  <sheetPr codeName="Sheet2">
    <tabColor theme="7" tint="-0.249977111117893"/>
  </sheetPr>
  <dimension ref="A1:R72"/>
  <sheetViews>
    <sheetView topLeftCell="A3" zoomScale="85" zoomScaleNormal="85" workbookViewId="0">
      <selection activeCell="F26" sqref="F26"/>
    </sheetView>
  </sheetViews>
  <sheetFormatPr defaultColWidth="9.33203125" defaultRowHeight="14.4"/>
  <cols>
    <col min="1" max="1" width="3.5546875" style="63" bestFit="1" customWidth="1"/>
    <col min="2" max="2" width="24.5546875" style="63" customWidth="1"/>
    <col min="3" max="3" width="34.5546875" style="63" customWidth="1"/>
    <col min="4" max="4" width="28.44140625" style="63" customWidth="1"/>
    <col min="5" max="5" width="25.5546875" style="63" customWidth="1"/>
    <col min="6" max="6" width="17.5546875" style="63" customWidth="1"/>
    <col min="7" max="8" width="16.44140625" style="63" hidden="1" customWidth="1"/>
    <col min="9" max="9" width="10.44140625" style="63" hidden="1" customWidth="1"/>
    <col min="10" max="10" width="12.5546875" style="63" hidden="1" customWidth="1"/>
    <col min="11" max="11" width="18.5546875" style="63" hidden="1" customWidth="1"/>
    <col min="12" max="12" width="16.5546875" style="63" hidden="1" customWidth="1"/>
    <col min="13" max="13" width="11" style="63" hidden="1" customWidth="1"/>
    <col min="14" max="14" width="10" style="63" customWidth="1"/>
    <col min="15" max="15" width="9.33203125" style="63"/>
    <col min="16" max="16" width="12.44140625" style="63" customWidth="1"/>
    <col min="17" max="16384" width="9.33203125" style="63"/>
  </cols>
  <sheetData>
    <row r="1" spans="1:18" s="55" customFormat="1" ht="28.8">
      <c r="A1" s="51"/>
      <c r="B1" s="2543" t="s">
        <v>201</v>
      </c>
      <c r="C1" s="2544"/>
      <c r="D1" s="2544"/>
      <c r="E1" s="2549" t="s">
        <v>202</v>
      </c>
      <c r="F1" s="2550"/>
      <c r="G1" s="52"/>
      <c r="H1" s="53"/>
      <c r="I1" s="54"/>
      <c r="J1" s="54"/>
      <c r="K1" s="54"/>
      <c r="L1" s="54"/>
      <c r="M1" s="54"/>
      <c r="N1" s="54"/>
      <c r="O1" s="54"/>
      <c r="P1" s="54"/>
    </row>
    <row r="2" spans="1:18" s="55" customFormat="1" ht="28.8">
      <c r="A2" s="56"/>
      <c r="B2" s="2545"/>
      <c r="C2" s="2546"/>
      <c r="D2" s="2546"/>
      <c r="E2" s="2551" t="s">
        <v>203</v>
      </c>
      <c r="F2" s="2552"/>
      <c r="G2" s="57"/>
      <c r="H2" s="58"/>
      <c r="I2" s="54"/>
      <c r="J2" s="54"/>
      <c r="K2" s="54"/>
      <c r="L2" s="54"/>
      <c r="M2" s="54"/>
      <c r="N2" s="54"/>
      <c r="O2" s="54"/>
      <c r="P2" s="54"/>
    </row>
    <row r="3" spans="1:18" s="55" customFormat="1" ht="29.4" thickBot="1">
      <c r="A3" s="56"/>
      <c r="B3" s="2547"/>
      <c r="C3" s="2548"/>
      <c r="D3" s="2548"/>
      <c r="E3" s="2553" t="s">
        <v>204</v>
      </c>
      <c r="F3" s="2554"/>
      <c r="G3" s="59"/>
      <c r="H3" s="60"/>
      <c r="I3" s="54"/>
      <c r="J3" s="54"/>
      <c r="K3" s="54"/>
      <c r="L3" s="54"/>
      <c r="M3" s="54"/>
      <c r="N3" s="54"/>
      <c r="O3" s="54"/>
      <c r="P3" s="54"/>
    </row>
    <row r="4" spans="1:18" s="55" customFormat="1" ht="24" thickBot="1">
      <c r="A4" s="677"/>
      <c r="B4" s="2555" t="s">
        <v>205</v>
      </c>
      <c r="C4" s="2556"/>
      <c r="D4" s="2556"/>
      <c r="E4" s="2556"/>
      <c r="F4" s="2557"/>
      <c r="G4" s="678"/>
      <c r="H4" s="61"/>
      <c r="I4" s="54"/>
      <c r="J4" s="54"/>
      <c r="K4" s="54"/>
      <c r="L4" s="54"/>
      <c r="M4" s="54"/>
      <c r="N4" s="54"/>
      <c r="O4" s="54"/>
      <c r="P4" s="54"/>
    </row>
    <row r="5" spans="1:18" ht="15" thickBot="1">
      <c r="A5" s="62" t="s">
        <v>206</v>
      </c>
      <c r="B5" s="2501" t="s">
        <v>207</v>
      </c>
      <c r="C5" s="2502"/>
      <c r="D5" s="62"/>
    </row>
    <row r="6" spans="1:18">
      <c r="A6" s="62"/>
      <c r="B6" s="62"/>
      <c r="C6" s="62"/>
    </row>
    <row r="7" spans="1:18" ht="15" thickBot="1">
      <c r="B7" s="2503">
        <v>0</v>
      </c>
      <c r="C7" s="2503"/>
      <c r="D7" s="2503"/>
      <c r="E7" s="2503"/>
      <c r="F7" s="2503"/>
      <c r="I7" s="64">
        <f>277</f>
        <v>277</v>
      </c>
      <c r="J7" s="64"/>
      <c r="K7" s="64">
        <v>277</v>
      </c>
    </row>
    <row r="8" spans="1:18" ht="60.75" customHeight="1" thickBot="1">
      <c r="B8" s="65" t="s">
        <v>208</v>
      </c>
      <c r="C8" s="66" t="s">
        <v>1966</v>
      </c>
      <c r="D8" s="66" t="s">
        <v>1967</v>
      </c>
      <c r="E8" s="66" t="s">
        <v>1968</v>
      </c>
      <c r="F8" s="67" t="s">
        <v>209</v>
      </c>
      <c r="G8" s="68" t="s">
        <v>210</v>
      </c>
      <c r="H8" s="69"/>
      <c r="I8" s="70" t="s">
        <v>211</v>
      </c>
      <c r="J8" s="70" t="s">
        <v>212</v>
      </c>
      <c r="K8" s="70"/>
      <c r="L8" s="68" t="s">
        <v>213</v>
      </c>
      <c r="M8" s="70" t="s">
        <v>214</v>
      </c>
      <c r="O8" s="2492" t="s">
        <v>215</v>
      </c>
      <c r="P8" s="2493"/>
      <c r="Q8" s="2493"/>
      <c r="R8" s="2494"/>
    </row>
    <row r="9" spans="1:18">
      <c r="B9" s="71" t="s">
        <v>1963</v>
      </c>
      <c r="C9" s="72"/>
      <c r="D9" s="72"/>
      <c r="E9" s="72"/>
      <c r="F9" s="73"/>
      <c r="G9" s="74">
        <v>30.74</v>
      </c>
      <c r="H9" s="75">
        <f>G9*93.18%</f>
        <v>28.643532</v>
      </c>
      <c r="I9" s="76">
        <f>(H9/$I$7)*1000</f>
        <v>103.40625270758123</v>
      </c>
      <c r="J9" s="77">
        <f>C9/I9</f>
        <v>0</v>
      </c>
      <c r="K9" s="77">
        <f>I9*$K$7</f>
        <v>28643.531999999999</v>
      </c>
      <c r="L9" s="77">
        <f t="shared" ref="L9:L11" si="0">C9-K9</f>
        <v>-28643.531999999999</v>
      </c>
      <c r="M9" s="64">
        <f>IF(L9&lt;0, L9*1.5, 0)</f>
        <v>-42965.297999999995</v>
      </c>
      <c r="O9" s="2495"/>
      <c r="P9" s="2496"/>
      <c r="Q9" s="2496"/>
      <c r="R9" s="2497"/>
    </row>
    <row r="10" spans="1:18">
      <c r="B10" s="78" t="s">
        <v>1964</v>
      </c>
      <c r="C10" s="79"/>
      <c r="D10" s="72"/>
      <c r="E10" s="72"/>
      <c r="F10" s="80"/>
      <c r="G10" s="74">
        <v>34.39</v>
      </c>
      <c r="H10" s="75">
        <f t="shared" ref="H10:H11" si="1">G10*93.18%</f>
        <v>32.044602000000005</v>
      </c>
      <c r="I10" s="76">
        <f>(H10/$I$7)*1000</f>
        <v>115.68448375451266</v>
      </c>
      <c r="J10" s="77">
        <f t="shared" ref="J10:J11" si="2">C10/I10</f>
        <v>0</v>
      </c>
      <c r="K10" s="77">
        <f t="shared" ref="K10:K11" si="3">I10*$K$7</f>
        <v>32044.602000000006</v>
      </c>
      <c r="L10" s="77">
        <f t="shared" si="0"/>
        <v>-32044.602000000006</v>
      </c>
      <c r="M10" s="64">
        <f t="shared" ref="M10:M11" si="4">IF(L10&lt;0, L10*1.5, 0)</f>
        <v>-48066.903000000006</v>
      </c>
      <c r="N10" s="81"/>
      <c r="O10" s="2495"/>
      <c r="P10" s="2496"/>
      <c r="Q10" s="2496"/>
      <c r="R10" s="2497"/>
    </row>
    <row r="11" spans="1:18" ht="15" thickBot="1">
      <c r="B11" s="82"/>
      <c r="C11" s="83"/>
      <c r="D11" s="84"/>
      <c r="E11" s="84"/>
      <c r="F11" s="85"/>
      <c r="G11" s="74">
        <v>29.89</v>
      </c>
      <c r="H11" s="75">
        <f t="shared" si="1"/>
        <v>27.851502000000004</v>
      </c>
      <c r="I11" s="76">
        <f t="shared" ref="I11" si="5">(H11/$I$7)*1000</f>
        <v>100.54693862815886</v>
      </c>
      <c r="J11" s="77">
        <f t="shared" si="2"/>
        <v>0</v>
      </c>
      <c r="K11" s="77">
        <f t="shared" si="3"/>
        <v>27851.502000000004</v>
      </c>
      <c r="L11" s="77">
        <f t="shared" si="0"/>
        <v>-27851.502000000004</v>
      </c>
      <c r="M11" s="64">
        <f t="shared" si="4"/>
        <v>-41777.253000000004</v>
      </c>
      <c r="N11" s="81"/>
      <c r="O11" s="2495"/>
      <c r="P11" s="2496"/>
      <c r="Q11" s="2496"/>
      <c r="R11" s="2497"/>
    </row>
    <row r="12" spans="1:18" ht="15" thickBot="1">
      <c r="B12" s="86" t="s">
        <v>216</v>
      </c>
      <c r="C12" s="87"/>
      <c r="D12" s="88"/>
      <c r="E12" s="88"/>
      <c r="F12" s="89">
        <f>F9+F10</f>
        <v>0</v>
      </c>
      <c r="G12" s="90"/>
      <c r="H12" s="90"/>
      <c r="I12" s="90"/>
      <c r="J12" s="90">
        <f>MIN(J11:J11)</f>
        <v>0</v>
      </c>
      <c r="K12" s="90"/>
      <c r="L12" s="90"/>
      <c r="O12" s="2495"/>
      <c r="P12" s="2496"/>
      <c r="Q12" s="2496"/>
      <c r="R12" s="2497"/>
    </row>
    <row r="13" spans="1:18" ht="15" thickBot="1">
      <c r="B13" s="2504" t="s">
        <v>217</v>
      </c>
      <c r="C13" s="2505"/>
      <c r="D13" s="2506"/>
      <c r="E13" s="2509" t="s">
        <v>218</v>
      </c>
      <c r="F13" s="2510"/>
      <c r="J13" s="91">
        <f>MIN(J12,J9:J10)</f>
        <v>0</v>
      </c>
      <c r="O13" s="2498"/>
      <c r="P13" s="2499"/>
      <c r="Q13" s="2499"/>
      <c r="R13" s="2500"/>
    </row>
    <row r="14" spans="1:18" ht="43.2">
      <c r="B14" s="92" t="s">
        <v>219</v>
      </c>
      <c r="C14" s="93" t="e">
        <f>AVERAGE(D9:D10)</f>
        <v>#DIV/0!</v>
      </c>
      <c r="D14" s="2507"/>
      <c r="E14" s="94" t="s">
        <v>220</v>
      </c>
      <c r="F14" s="95" t="e">
        <f>AVERAGE(F9:F11)</f>
        <v>#DIV/0!</v>
      </c>
      <c r="G14" s="96"/>
      <c r="H14" s="97" t="s">
        <v>221</v>
      </c>
      <c r="I14" s="97"/>
      <c r="J14" s="96"/>
      <c r="K14" s="96"/>
      <c r="L14" s="96"/>
    </row>
    <row r="15" spans="1:18" ht="43.2">
      <c r="B15" s="98" t="s">
        <v>1969</v>
      </c>
      <c r="C15" s="99" t="e">
        <f>C14*0.7</f>
        <v>#DIV/0!</v>
      </c>
      <c r="D15" s="2507"/>
      <c r="E15" s="68" t="s">
        <v>222</v>
      </c>
      <c r="F15" s="100">
        <v>0</v>
      </c>
      <c r="G15" s="96"/>
      <c r="H15" s="2491" t="s">
        <v>223</v>
      </c>
      <c r="I15" s="2491"/>
      <c r="J15" s="96"/>
      <c r="K15" s="96"/>
      <c r="L15" s="96"/>
    </row>
    <row r="16" spans="1:18" ht="28.8">
      <c r="B16" s="98" t="s">
        <v>224</v>
      </c>
      <c r="C16" s="99" t="e">
        <f>C15</f>
        <v>#DIV/0!</v>
      </c>
      <c r="D16" s="2507"/>
      <c r="E16" s="68" t="s">
        <v>224</v>
      </c>
      <c r="F16" s="100" t="e">
        <f>F14-F15</f>
        <v>#DIV/0!</v>
      </c>
      <c r="G16" s="96"/>
      <c r="H16" s="96"/>
      <c r="I16" s="96"/>
      <c r="J16" s="96"/>
      <c r="K16" s="96"/>
      <c r="L16" s="96"/>
    </row>
    <row r="17" spans="1:12">
      <c r="B17" s="98" t="s">
        <v>225</v>
      </c>
      <c r="C17" s="99" t="e">
        <f>C16/30</f>
        <v>#DIV/0!</v>
      </c>
      <c r="D17" s="2507"/>
      <c r="E17" s="68" t="s">
        <v>225</v>
      </c>
      <c r="F17" s="100" t="e">
        <f>F16/30</f>
        <v>#DIV/0!</v>
      </c>
      <c r="G17" s="96"/>
      <c r="H17" s="96"/>
      <c r="I17" s="96"/>
      <c r="J17" s="96"/>
      <c r="K17" s="96"/>
      <c r="L17" s="96"/>
    </row>
    <row r="18" spans="1:12">
      <c r="B18" s="101" t="s">
        <v>226</v>
      </c>
      <c r="C18" s="102"/>
      <c r="D18" s="2507"/>
      <c r="E18" s="103" t="s">
        <v>226</v>
      </c>
      <c r="F18" s="104"/>
      <c r="G18" s="105"/>
      <c r="H18" s="105"/>
      <c r="I18" s="105"/>
      <c r="J18" s="105"/>
      <c r="K18" s="105"/>
      <c r="L18" s="105"/>
    </row>
    <row r="19" spans="1:12" ht="29.4" thickBot="1">
      <c r="B19" s="106" t="s">
        <v>227</v>
      </c>
      <c r="C19" s="107" t="e">
        <f>C17/C18</f>
        <v>#DIV/0!</v>
      </c>
      <c r="D19" s="2508"/>
      <c r="E19" s="108" t="s">
        <v>227</v>
      </c>
      <c r="F19" s="109" t="e">
        <f>F17/F18</f>
        <v>#DIV/0!</v>
      </c>
      <c r="G19" s="96"/>
      <c r="H19" s="96"/>
      <c r="I19" s="96"/>
      <c r="J19" s="96"/>
      <c r="K19" s="96"/>
      <c r="L19" s="96"/>
    </row>
    <row r="20" spans="1:12" ht="15" thickBot="1">
      <c r="B20" s="2515"/>
      <c r="C20" s="2515"/>
      <c r="D20" s="2515"/>
      <c r="E20" s="2515"/>
      <c r="F20" s="2515"/>
    </row>
    <row r="21" spans="1:12" ht="15" thickBot="1">
      <c r="B21" s="2516" t="s">
        <v>228</v>
      </c>
      <c r="C21" s="2516"/>
      <c r="D21" s="2516"/>
      <c r="E21" s="2516"/>
      <c r="F21" s="110">
        <v>0</v>
      </c>
    </row>
    <row r="22" spans="1:12" ht="15" thickBot="1">
      <c r="B22" s="2517" t="s">
        <v>229</v>
      </c>
      <c r="C22" s="2517"/>
      <c r="D22" s="2518" t="e">
        <f>D21*30*C18/C14</f>
        <v>#DIV/0!</v>
      </c>
      <c r="E22" s="2519"/>
      <c r="F22" s="110"/>
    </row>
    <row r="23" spans="1:12" ht="15" thickBot="1">
      <c r="B23" s="2517" t="s">
        <v>230</v>
      </c>
      <c r="C23" s="2517"/>
      <c r="D23" s="2519" t="e">
        <f>D21*30*C18/F14</f>
        <v>#DIV/0!</v>
      </c>
      <c r="E23" s="2519"/>
      <c r="F23" s="110"/>
    </row>
    <row r="24" spans="1:12" ht="15" thickBot="1"/>
    <row r="25" spans="1:12" ht="15" thickBot="1">
      <c r="A25" s="62" t="s">
        <v>231</v>
      </c>
      <c r="B25" s="2520" t="s">
        <v>232</v>
      </c>
      <c r="C25" s="2521"/>
    </row>
    <row r="26" spans="1:12" ht="15" thickBot="1"/>
    <row r="27" spans="1:12">
      <c r="B27" s="2522" t="s">
        <v>233</v>
      </c>
      <c r="C27" s="2523"/>
      <c r="D27" s="2523"/>
      <c r="E27" s="2524"/>
      <c r="F27" s="2525"/>
    </row>
    <row r="28" spans="1:12">
      <c r="B28" s="2511" t="s">
        <v>234</v>
      </c>
      <c r="C28" s="2512"/>
      <c r="D28" s="2512"/>
      <c r="E28" s="2526"/>
      <c r="F28" s="2527"/>
    </row>
    <row r="29" spans="1:12">
      <c r="B29" s="2511" t="s">
        <v>235</v>
      </c>
      <c r="C29" s="2512"/>
      <c r="D29" s="2512"/>
      <c r="E29" s="2513"/>
      <c r="F29" s="2514"/>
    </row>
    <row r="30" spans="1:12">
      <c r="B30" s="2511" t="s">
        <v>236</v>
      </c>
      <c r="C30" s="2512"/>
      <c r="D30" s="2512"/>
      <c r="E30" s="2526"/>
      <c r="F30" s="2527"/>
    </row>
    <row r="31" spans="1:12">
      <c r="B31" s="2511" t="s">
        <v>237</v>
      </c>
      <c r="C31" s="2512"/>
      <c r="D31" s="2512"/>
      <c r="E31" s="2526"/>
      <c r="F31" s="2527"/>
    </row>
    <row r="32" spans="1:12">
      <c r="B32" s="2511" t="s">
        <v>238</v>
      </c>
      <c r="C32" s="2512"/>
      <c r="D32" s="2512"/>
      <c r="E32" s="2526"/>
      <c r="F32" s="2527"/>
    </row>
    <row r="33" spans="1:17" ht="15" thickBot="1">
      <c r="B33" s="2535" t="s">
        <v>239</v>
      </c>
      <c r="C33" s="2536"/>
      <c r="D33" s="2536"/>
      <c r="E33" s="2537"/>
      <c r="F33" s="2538"/>
    </row>
    <row r="36" spans="1:17">
      <c r="A36" s="62" t="s">
        <v>240</v>
      </c>
      <c r="B36" s="62" t="s">
        <v>241</v>
      </c>
    </row>
    <row r="37" spans="1:17" ht="15" thickBot="1"/>
    <row r="38" spans="1:17" ht="15" thickBot="1">
      <c r="B38" s="110" t="s">
        <v>242</v>
      </c>
      <c r="C38" s="110" t="s">
        <v>243</v>
      </c>
      <c r="D38" s="110" t="s">
        <v>16</v>
      </c>
    </row>
    <row r="39" spans="1:17" ht="15" thickBot="1">
      <c r="B39" s="110" t="s">
        <v>244</v>
      </c>
      <c r="C39" s="110">
        <v>0</v>
      </c>
      <c r="D39" s="110"/>
    </row>
    <row r="40" spans="1:17" ht="31.5" customHeight="1" thickBot="1">
      <c r="B40" s="111" t="s">
        <v>245</v>
      </c>
      <c r="C40" s="112"/>
      <c r="D40" s="110"/>
    </row>
    <row r="41" spans="1:17" ht="75" customHeight="1" thickBot="1">
      <c r="B41" s="111" t="s">
        <v>246</v>
      </c>
      <c r="C41" s="110">
        <v>0</v>
      </c>
      <c r="D41" s="111"/>
    </row>
    <row r="42" spans="1:17" ht="15" thickBot="1">
      <c r="B42" s="2516"/>
      <c r="C42" s="2516"/>
      <c r="D42" s="2516"/>
    </row>
    <row r="43" spans="1:17" ht="15" thickBot="1">
      <c r="B43" s="110" t="s">
        <v>247</v>
      </c>
      <c r="C43" s="110">
        <v>0</v>
      </c>
      <c r="D43" s="110"/>
    </row>
    <row r="46" spans="1:17">
      <c r="A46" s="62" t="s">
        <v>248</v>
      </c>
      <c r="B46" s="62" t="s">
        <v>249</v>
      </c>
    </row>
    <row r="47" spans="1:17" ht="15" thickBot="1"/>
    <row r="48" spans="1:17" ht="16.2" thickBot="1">
      <c r="B48" s="2532" t="s">
        <v>1963</v>
      </c>
      <c r="C48" s="2533"/>
      <c r="D48" s="2533"/>
      <c r="E48" s="2539"/>
      <c r="F48" s="116" t="s">
        <v>250</v>
      </c>
      <c r="G48" s="116"/>
      <c r="H48" s="116"/>
      <c r="I48" s="116"/>
      <c r="J48" s="116"/>
      <c r="K48" s="116"/>
      <c r="L48" s="116"/>
      <c r="M48" s="116"/>
      <c r="N48" s="116"/>
      <c r="O48" s="116"/>
      <c r="P48" s="116"/>
      <c r="Q48" s="116"/>
    </row>
    <row r="49" spans="2:17" ht="16.2" thickBot="1">
      <c r="B49" s="2540" t="s">
        <v>1965</v>
      </c>
      <c r="C49" s="2541"/>
      <c r="D49" s="2541"/>
      <c r="E49" s="2542"/>
      <c r="F49" s="117" t="s">
        <v>251</v>
      </c>
      <c r="G49" s="118"/>
      <c r="H49" s="118"/>
      <c r="I49" s="118"/>
      <c r="J49" s="118"/>
      <c r="K49" s="118"/>
      <c r="L49" s="118"/>
      <c r="M49" s="116"/>
      <c r="N49" s="116"/>
      <c r="O49" s="116"/>
      <c r="P49" s="116"/>
      <c r="Q49" s="116"/>
    </row>
    <row r="50" spans="2:17" ht="16.2" thickBot="1">
      <c r="B50" s="113" t="s">
        <v>252</v>
      </c>
      <c r="C50" s="114" t="s">
        <v>253</v>
      </c>
      <c r="D50" s="114" t="s">
        <v>254</v>
      </c>
      <c r="E50" s="115" t="s">
        <v>255</v>
      </c>
      <c r="F50" s="116"/>
      <c r="G50" s="62"/>
      <c r="H50" s="62"/>
      <c r="I50" s="62"/>
      <c r="J50" s="62"/>
      <c r="K50" s="62"/>
      <c r="L50" s="62"/>
      <c r="M50" s="116"/>
      <c r="N50" s="116"/>
      <c r="O50" s="116"/>
      <c r="P50" s="116"/>
      <c r="Q50" s="116"/>
    </row>
    <row r="51" spans="2:17" ht="75" customHeight="1">
      <c r="B51" s="119" t="s">
        <v>256</v>
      </c>
      <c r="C51" s="120"/>
      <c r="D51" s="121" t="e">
        <f>E51/C51</f>
        <v>#DIV/0!</v>
      </c>
      <c r="E51" s="122"/>
      <c r="F51" s="116"/>
      <c r="M51" s="116"/>
      <c r="N51" s="116"/>
      <c r="O51" s="116"/>
      <c r="P51" s="116"/>
      <c r="Q51" s="116"/>
    </row>
    <row r="52" spans="2:17" ht="31.2">
      <c r="B52" s="123" t="s">
        <v>257</v>
      </c>
      <c r="C52" s="124"/>
      <c r="D52" s="125" t="e">
        <f>E52/C52</f>
        <v>#DIV/0!</v>
      </c>
      <c r="E52" s="126"/>
      <c r="F52" s="116"/>
      <c r="G52" s="116"/>
      <c r="H52" s="116"/>
      <c r="I52" s="116"/>
      <c r="J52" s="116"/>
      <c r="K52" s="116"/>
      <c r="L52" s="116"/>
      <c r="M52" s="116"/>
      <c r="N52" s="116"/>
      <c r="O52" s="116"/>
      <c r="P52" s="116"/>
      <c r="Q52" s="116"/>
    </row>
    <row r="53" spans="2:17" ht="31.8" thickBot="1">
      <c r="B53" s="127" t="s">
        <v>258</v>
      </c>
      <c r="C53" s="128">
        <f>C51</f>
        <v>0</v>
      </c>
      <c r="D53" s="129" t="e">
        <f>E53/C53</f>
        <v>#DIV/0!</v>
      </c>
      <c r="E53" s="130">
        <f>E51-E52</f>
        <v>0</v>
      </c>
      <c r="F53" s="116"/>
      <c r="G53" s="2528"/>
      <c r="H53" s="2528"/>
      <c r="I53" s="2528"/>
      <c r="J53" s="2528"/>
      <c r="K53" s="2528"/>
      <c r="L53" s="2528"/>
      <c r="M53" s="2528"/>
      <c r="N53" s="2528"/>
      <c r="O53" s="2528"/>
      <c r="P53" s="2528"/>
      <c r="Q53" s="2528"/>
    </row>
    <row r="54" spans="2:17" ht="16.2" thickBot="1">
      <c r="B54" s="116"/>
      <c r="C54" s="116"/>
      <c r="D54" s="116"/>
      <c r="E54" s="116"/>
      <c r="F54" s="116"/>
      <c r="G54" s="2528"/>
      <c r="H54" s="2528"/>
      <c r="I54" s="2528"/>
      <c r="J54" s="2528"/>
      <c r="K54" s="2528"/>
      <c r="L54" s="2528"/>
      <c r="M54" s="2528"/>
      <c r="N54" s="2528"/>
      <c r="O54" s="2528"/>
      <c r="P54" s="2528"/>
      <c r="Q54" s="2528"/>
    </row>
    <row r="55" spans="2:17" ht="16.2" thickBot="1">
      <c r="B55" s="2529" t="s">
        <v>259</v>
      </c>
      <c r="C55" s="2530"/>
      <c r="D55" s="2530"/>
      <c r="E55" s="2531"/>
      <c r="F55" s="116"/>
      <c r="G55" s="2528"/>
      <c r="H55" s="2528"/>
      <c r="I55" s="2528"/>
      <c r="J55" s="2528"/>
      <c r="K55" s="2528"/>
      <c r="L55" s="2528"/>
      <c r="M55" s="2528"/>
      <c r="N55" s="2528"/>
      <c r="O55" s="2528"/>
      <c r="P55" s="2528"/>
      <c r="Q55" s="2528"/>
    </row>
    <row r="56" spans="2:17" ht="15.6">
      <c r="B56" s="119" t="s">
        <v>260</v>
      </c>
      <c r="C56" s="120">
        <f>C51</f>
        <v>0</v>
      </c>
      <c r="D56" s="132" t="e">
        <f>E56/C56</f>
        <v>#DIV/0!</v>
      </c>
      <c r="E56" s="133"/>
      <c r="F56" s="116"/>
      <c r="G56" s="2528"/>
      <c r="H56" s="2528"/>
      <c r="I56" s="2528"/>
      <c r="J56" s="2528"/>
      <c r="K56" s="2528"/>
      <c r="L56" s="2528"/>
      <c r="M56" s="2528"/>
      <c r="N56" s="2528"/>
      <c r="O56" s="2528"/>
      <c r="P56" s="2528"/>
      <c r="Q56" s="2528"/>
    </row>
    <row r="57" spans="2:17" ht="15.6">
      <c r="B57" s="134" t="s">
        <v>261</v>
      </c>
      <c r="C57" s="124">
        <f>C56</f>
        <v>0</v>
      </c>
      <c r="D57" s="135" t="e">
        <f>E57/C57</f>
        <v>#DIV/0!</v>
      </c>
      <c r="E57" s="136"/>
      <c r="F57" s="116"/>
      <c r="G57" s="131"/>
      <c r="H57" s="131"/>
      <c r="I57" s="131"/>
      <c r="J57" s="131"/>
      <c r="K57" s="131"/>
      <c r="L57" s="131"/>
      <c r="M57" s="131"/>
      <c r="N57" s="131"/>
      <c r="O57" s="131"/>
      <c r="P57" s="131"/>
      <c r="Q57" s="131"/>
    </row>
    <row r="58" spans="2:17" ht="15.6">
      <c r="B58" s="134" t="s">
        <v>262</v>
      </c>
      <c r="C58" s="124">
        <f t="shared" ref="C58:C64" si="6">C53</f>
        <v>0</v>
      </c>
      <c r="D58" s="135" t="e">
        <f t="shared" ref="D58:D64" si="7">E58/C58</f>
        <v>#DIV/0!</v>
      </c>
      <c r="E58" s="136"/>
      <c r="F58" s="116"/>
      <c r="G58" s="116"/>
      <c r="H58" s="116"/>
      <c r="I58" s="116"/>
      <c r="J58" s="116"/>
      <c r="K58" s="116"/>
      <c r="L58" s="116"/>
      <c r="M58" s="116"/>
      <c r="N58" s="116"/>
      <c r="O58" s="116"/>
      <c r="P58" s="116"/>
      <c r="Q58" s="116"/>
    </row>
    <row r="59" spans="2:17" ht="15.6">
      <c r="B59" s="134" t="s">
        <v>263</v>
      </c>
      <c r="C59" s="124">
        <f>C58</f>
        <v>0</v>
      </c>
      <c r="D59" s="135" t="e">
        <f t="shared" si="7"/>
        <v>#DIV/0!</v>
      </c>
      <c r="E59" s="136"/>
      <c r="F59" s="116"/>
      <c r="G59" s="116"/>
      <c r="H59" s="116"/>
      <c r="I59" s="116"/>
      <c r="J59" s="116"/>
      <c r="K59" s="116"/>
      <c r="L59" s="116"/>
      <c r="M59" s="116"/>
      <c r="N59" s="116"/>
      <c r="O59" s="116"/>
      <c r="P59" s="116"/>
      <c r="Q59" s="116"/>
    </row>
    <row r="60" spans="2:17" ht="15.6">
      <c r="B60" s="134" t="s">
        <v>264</v>
      </c>
      <c r="C60" s="124">
        <f>C59</f>
        <v>0</v>
      </c>
      <c r="D60" s="135" t="e">
        <f t="shared" si="7"/>
        <v>#DIV/0!</v>
      </c>
      <c r="E60" s="136"/>
      <c r="F60" s="116"/>
      <c r="G60" s="116"/>
      <c r="H60" s="116"/>
      <c r="I60" s="116"/>
      <c r="J60" s="116"/>
      <c r="K60" s="116"/>
      <c r="L60" s="116"/>
      <c r="M60" s="116"/>
      <c r="N60" s="116"/>
      <c r="O60" s="116"/>
      <c r="P60" s="116"/>
      <c r="Q60" s="116"/>
    </row>
    <row r="61" spans="2:17" ht="15.6">
      <c r="B61" s="134" t="s">
        <v>265</v>
      </c>
      <c r="C61" s="124">
        <f t="shared" si="6"/>
        <v>0</v>
      </c>
      <c r="D61" s="135" t="e">
        <f t="shared" si="7"/>
        <v>#DIV/0!</v>
      </c>
      <c r="E61" s="136"/>
      <c r="F61" s="116"/>
      <c r="G61" s="116"/>
      <c r="H61" s="116"/>
      <c r="I61" s="116"/>
      <c r="J61" s="116"/>
      <c r="K61" s="116"/>
      <c r="L61" s="116"/>
      <c r="M61" s="116"/>
      <c r="N61" s="116"/>
      <c r="O61" s="116"/>
      <c r="P61" s="116"/>
      <c r="Q61" s="116"/>
    </row>
    <row r="62" spans="2:17" ht="15.6">
      <c r="B62" s="134" t="s">
        <v>266</v>
      </c>
      <c r="C62" s="124">
        <f t="shared" si="6"/>
        <v>0</v>
      </c>
      <c r="D62" s="135" t="e">
        <f t="shared" si="7"/>
        <v>#DIV/0!</v>
      </c>
      <c r="E62" s="136"/>
      <c r="F62" s="116"/>
      <c r="G62" s="116"/>
      <c r="H62" s="116"/>
      <c r="I62" s="116"/>
      <c r="J62" s="116"/>
      <c r="K62" s="116"/>
      <c r="L62" s="116"/>
      <c r="M62" s="116"/>
      <c r="N62" s="116"/>
      <c r="O62" s="116"/>
      <c r="P62" s="116"/>
      <c r="Q62" s="116"/>
    </row>
    <row r="63" spans="2:17" ht="15.6">
      <c r="B63" s="137" t="s">
        <v>267</v>
      </c>
      <c r="C63" s="124">
        <f t="shared" si="6"/>
        <v>0</v>
      </c>
      <c r="D63" s="135" t="e">
        <f t="shared" si="7"/>
        <v>#DIV/0!</v>
      </c>
      <c r="E63" s="136"/>
      <c r="F63" s="116"/>
      <c r="G63" s="116"/>
      <c r="H63" s="116"/>
      <c r="I63" s="116"/>
      <c r="J63" s="116"/>
      <c r="K63" s="116"/>
      <c r="L63" s="116"/>
      <c r="M63" s="116"/>
      <c r="N63" s="116"/>
      <c r="O63" s="116"/>
      <c r="P63" s="116"/>
      <c r="Q63" s="116"/>
    </row>
    <row r="64" spans="2:17" ht="16.2" thickBot="1">
      <c r="B64" s="138" t="s">
        <v>268</v>
      </c>
      <c r="C64" s="139">
        <f t="shared" si="6"/>
        <v>0</v>
      </c>
      <c r="D64" s="140" t="e">
        <f t="shared" si="7"/>
        <v>#DIV/0!</v>
      </c>
      <c r="E64" s="141"/>
      <c r="F64" s="116"/>
      <c r="G64" s="116"/>
      <c r="H64" s="116"/>
      <c r="I64" s="116"/>
      <c r="J64" s="116"/>
      <c r="K64" s="116"/>
      <c r="L64" s="116"/>
      <c r="M64" s="116"/>
      <c r="N64" s="116"/>
      <c r="O64" s="116"/>
      <c r="P64" s="116"/>
      <c r="Q64" s="116"/>
    </row>
    <row r="65" spans="1:17" ht="31.5" customHeight="1" thickBot="1">
      <c r="B65" s="2532" t="s">
        <v>269</v>
      </c>
      <c r="C65" s="2533"/>
      <c r="D65" s="2534"/>
      <c r="E65" s="142">
        <f>SUM(E56:E64)</f>
        <v>0</v>
      </c>
      <c r="F65" s="116"/>
      <c r="G65" s="116"/>
      <c r="H65" s="116"/>
      <c r="I65" s="116"/>
      <c r="J65" s="116"/>
      <c r="K65" s="116"/>
      <c r="L65" s="116"/>
      <c r="M65" s="116"/>
      <c r="N65" s="116"/>
      <c r="O65" s="116"/>
      <c r="P65" s="116"/>
      <c r="Q65" s="116"/>
    </row>
    <row r="66" spans="1:17">
      <c r="E66" s="91">
        <f>E53-E65</f>
        <v>0</v>
      </c>
    </row>
    <row r="68" spans="1:17">
      <c r="A68" s="62" t="s">
        <v>270</v>
      </c>
      <c r="B68" s="62" t="s">
        <v>271</v>
      </c>
    </row>
    <row r="69" spans="1:17" ht="15" thickBot="1"/>
    <row r="70" spans="1:17" ht="58.2" thickBot="1">
      <c r="B70" s="143"/>
      <c r="C70" s="144" t="s">
        <v>272</v>
      </c>
      <c r="D70" s="144" t="s">
        <v>273</v>
      </c>
      <c r="E70" s="144" t="s">
        <v>274</v>
      </c>
      <c r="F70" s="144" t="s">
        <v>275</v>
      </c>
      <c r="G70" s="144"/>
      <c r="H70" s="144"/>
      <c r="I70" s="144"/>
      <c r="J70" s="144"/>
      <c r="K70" s="144"/>
      <c r="L70" s="144"/>
      <c r="M70" s="144"/>
      <c r="N70" s="144"/>
      <c r="O70" s="144" t="s">
        <v>276</v>
      </c>
      <c r="P70" s="144" t="s">
        <v>277</v>
      </c>
      <c r="Q70" s="145" t="s">
        <v>278</v>
      </c>
    </row>
    <row r="71" spans="1:17">
      <c r="B71" s="71" t="s">
        <v>279</v>
      </c>
      <c r="C71" s="146">
        <f>F12</f>
        <v>0</v>
      </c>
      <c r="D71" s="147" t="e">
        <f>D53</f>
        <v>#DIV/0!</v>
      </c>
      <c r="E71" s="146">
        <f>C43</f>
        <v>0</v>
      </c>
      <c r="F71" s="146">
        <f>3.96*365*E71</f>
        <v>0</v>
      </c>
      <c r="G71" s="148"/>
      <c r="H71" s="148"/>
      <c r="I71" s="148"/>
      <c r="J71" s="148"/>
      <c r="K71" s="148"/>
      <c r="L71" s="148"/>
      <c r="M71" s="146"/>
      <c r="N71" s="146"/>
      <c r="O71" s="148" t="e">
        <f>((D71-#REF!)/D71)</f>
        <v>#DIV/0!</v>
      </c>
      <c r="P71" s="149" t="e">
        <f>F71*(D71-#REF!)</f>
        <v>#DIV/0!</v>
      </c>
      <c r="Q71" s="150" t="e">
        <f>((D71-#REF!)/D71)*#REF!</f>
        <v>#DIV/0!</v>
      </c>
    </row>
    <row r="72" spans="1:17" ht="15" thickBot="1">
      <c r="B72" s="151" t="s">
        <v>280</v>
      </c>
      <c r="C72" s="152"/>
      <c r="D72" s="152"/>
      <c r="E72" s="152"/>
      <c r="F72" s="152"/>
      <c r="G72" s="152"/>
      <c r="H72" s="152"/>
      <c r="I72" s="152"/>
      <c r="J72" s="152"/>
      <c r="K72" s="152"/>
      <c r="L72" s="152"/>
      <c r="M72" s="152"/>
      <c r="N72" s="152"/>
      <c r="O72" s="152"/>
      <c r="P72" s="152"/>
      <c r="Q72" s="153"/>
    </row>
  </sheetData>
  <mergeCells count="40">
    <mergeCell ref="B1:D3"/>
    <mergeCell ref="E1:F1"/>
    <mergeCell ref="E2:F2"/>
    <mergeCell ref="E3:F3"/>
    <mergeCell ref="B4:F4"/>
    <mergeCell ref="B65:D65"/>
    <mergeCell ref="B33:D33"/>
    <mergeCell ref="E33:F33"/>
    <mergeCell ref="B42:D42"/>
    <mergeCell ref="B48:E48"/>
    <mergeCell ref="B49:E49"/>
    <mergeCell ref="G53:Q56"/>
    <mergeCell ref="B55:E55"/>
    <mergeCell ref="B30:D30"/>
    <mergeCell ref="E30:F30"/>
    <mergeCell ref="B31:D31"/>
    <mergeCell ref="E31:F31"/>
    <mergeCell ref="B32:D32"/>
    <mergeCell ref="E32:F32"/>
    <mergeCell ref="B29:D29"/>
    <mergeCell ref="E29:F29"/>
    <mergeCell ref="B20:F20"/>
    <mergeCell ref="B21:C21"/>
    <mergeCell ref="D21:E21"/>
    <mergeCell ref="B22:C22"/>
    <mergeCell ref="D22:E22"/>
    <mergeCell ref="B23:C23"/>
    <mergeCell ref="D23:E23"/>
    <mergeCell ref="B25:C25"/>
    <mergeCell ref="B27:D27"/>
    <mergeCell ref="E27:F27"/>
    <mergeCell ref="B28:D28"/>
    <mergeCell ref="E28:F28"/>
    <mergeCell ref="H15:I15"/>
    <mergeCell ref="O8:R13"/>
    <mergeCell ref="B5:C5"/>
    <mergeCell ref="B7:F7"/>
    <mergeCell ref="B13:C13"/>
    <mergeCell ref="D13:D19"/>
    <mergeCell ref="E13:F1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D138B-C974-4521-9960-F0E91BB38171}">
  <sheetPr codeName="Sheet3">
    <tabColor theme="9" tint="-0.249977111117893"/>
  </sheetPr>
  <dimension ref="A1:G43"/>
  <sheetViews>
    <sheetView zoomScale="85" zoomScaleNormal="85" workbookViewId="0">
      <selection activeCell="F44" sqref="F44"/>
    </sheetView>
  </sheetViews>
  <sheetFormatPr defaultColWidth="32.5546875" defaultRowHeight="14.4"/>
  <sheetData>
    <row r="1" spans="1:7" ht="18.75" customHeight="1">
      <c r="A1" s="2588"/>
      <c r="B1" s="2595" t="s">
        <v>281</v>
      </c>
      <c r="C1" s="2596"/>
      <c r="D1" s="2596"/>
      <c r="E1" s="2597"/>
      <c r="F1" s="2604" t="s">
        <v>282</v>
      </c>
      <c r="G1" s="2605"/>
    </row>
    <row r="2" spans="1:7" ht="27" customHeight="1">
      <c r="A2" s="2589"/>
      <c r="B2" s="2598"/>
      <c r="C2" s="2599"/>
      <c r="D2" s="2599"/>
      <c r="E2" s="2600"/>
      <c r="F2" s="2606" t="s">
        <v>283</v>
      </c>
      <c r="G2" s="2607"/>
    </row>
    <row r="3" spans="1:7" ht="15" thickBot="1">
      <c r="A3" s="2590"/>
      <c r="B3" s="2601"/>
      <c r="C3" s="2602"/>
      <c r="D3" s="2602"/>
      <c r="E3" s="2603"/>
      <c r="F3" s="2608" t="s">
        <v>284</v>
      </c>
      <c r="G3" s="2609"/>
    </row>
    <row r="4" spans="1:7" ht="18">
      <c r="A4" s="543" t="s">
        <v>285</v>
      </c>
      <c r="B4" s="2591" t="s">
        <v>1979</v>
      </c>
      <c r="C4" s="2591"/>
      <c r="D4" s="2591"/>
      <c r="E4" s="2591"/>
      <c r="F4" s="2591"/>
      <c r="G4" s="2592"/>
    </row>
    <row r="5" spans="1:7" ht="18">
      <c r="A5" s="544" t="s">
        <v>286</v>
      </c>
      <c r="B5" s="2593" t="s">
        <v>1980</v>
      </c>
      <c r="C5" s="2593"/>
      <c r="D5" s="2594" t="s">
        <v>21</v>
      </c>
      <c r="E5" s="2594"/>
      <c r="F5" s="2564" t="s">
        <v>22</v>
      </c>
      <c r="G5" s="2565"/>
    </row>
    <row r="6" spans="1:7" ht="18">
      <c r="A6" s="544" t="s">
        <v>287</v>
      </c>
      <c r="B6" s="2564" t="s">
        <v>288</v>
      </c>
      <c r="C6" s="2564"/>
      <c r="D6" s="2564"/>
      <c r="E6" s="2564"/>
      <c r="F6" s="2564"/>
      <c r="G6" s="2565"/>
    </row>
    <row r="7" spans="1:7" ht="18">
      <c r="A7" s="544" t="s">
        <v>289</v>
      </c>
      <c r="B7" s="2564" t="s">
        <v>1981</v>
      </c>
      <c r="C7" s="2564"/>
      <c r="D7" s="2594" t="s">
        <v>290</v>
      </c>
      <c r="E7" s="2594"/>
      <c r="F7" s="2613">
        <v>46153</v>
      </c>
      <c r="G7" s="2614"/>
    </row>
    <row r="8" spans="1:7" ht="18">
      <c r="A8" s="544" t="s">
        <v>291</v>
      </c>
      <c r="B8" s="2564" t="s">
        <v>1982</v>
      </c>
      <c r="C8" s="2564"/>
      <c r="D8" s="2564"/>
      <c r="E8" s="2564"/>
      <c r="F8" s="2564"/>
      <c r="G8" s="2565"/>
    </row>
    <row r="9" spans="1:7" ht="18">
      <c r="A9" s="544" t="s">
        <v>292</v>
      </c>
      <c r="B9" s="2610"/>
      <c r="C9" s="2611"/>
      <c r="D9" s="2611"/>
      <c r="E9" s="2611"/>
      <c r="F9" s="2611"/>
      <c r="G9" s="2612"/>
    </row>
    <row r="10" spans="1:7" ht="18">
      <c r="A10" s="544" t="s">
        <v>293</v>
      </c>
      <c r="B10" s="2576"/>
      <c r="C10" s="2576"/>
      <c r="D10" s="2576"/>
      <c r="E10" s="2576"/>
      <c r="F10" s="2576"/>
      <c r="G10" s="2577"/>
    </row>
    <row r="11" spans="1:7" ht="18.600000000000001" thickBot="1">
      <c r="A11" s="2578"/>
      <c r="B11" s="2579"/>
      <c r="C11" s="2579"/>
      <c r="D11" s="2579"/>
      <c r="E11" s="2579"/>
      <c r="F11" s="2579"/>
      <c r="G11" s="2580"/>
    </row>
    <row r="12" spans="1:7" ht="18.600000000000001" thickBot="1">
      <c r="A12" s="2581" t="s">
        <v>294</v>
      </c>
      <c r="B12" s="2582"/>
      <c r="C12" s="450" t="s">
        <v>151</v>
      </c>
      <c r="D12" s="450" t="s">
        <v>63</v>
      </c>
      <c r="E12" s="450" t="s">
        <v>295</v>
      </c>
      <c r="F12" s="2582" t="s">
        <v>16</v>
      </c>
      <c r="G12" s="2583"/>
    </row>
    <row r="13" spans="1:7" ht="18.75" customHeight="1">
      <c r="A13" s="2584" t="s">
        <v>296</v>
      </c>
      <c r="B13" s="2585"/>
      <c r="C13" s="545"/>
      <c r="D13" s="545"/>
      <c r="E13" s="545"/>
      <c r="F13" s="2586"/>
      <c r="G13" s="2587"/>
    </row>
    <row r="14" spans="1:7" ht="18.75" customHeight="1">
      <c r="A14" s="2558" t="s">
        <v>297</v>
      </c>
      <c r="B14" s="2559"/>
      <c r="C14" s="546" t="s">
        <v>1983</v>
      </c>
      <c r="D14" s="546"/>
      <c r="E14" s="546"/>
      <c r="F14" s="2564"/>
      <c r="G14" s="2565"/>
    </row>
    <row r="15" spans="1:7" ht="18.75" customHeight="1">
      <c r="A15" s="2558" t="s">
        <v>298</v>
      </c>
      <c r="B15" s="2559"/>
      <c r="C15" s="546"/>
      <c r="D15" s="546" t="s">
        <v>63</v>
      </c>
      <c r="E15" s="546"/>
      <c r="F15" s="2564"/>
      <c r="G15" s="2565"/>
    </row>
    <row r="16" spans="1:7" ht="18.75" customHeight="1">
      <c r="A16" s="2570" t="s">
        <v>299</v>
      </c>
      <c r="B16" s="2571"/>
      <c r="C16" s="2562" t="s">
        <v>151</v>
      </c>
      <c r="D16" s="2562"/>
      <c r="E16" s="2562"/>
      <c r="F16" s="2564"/>
      <c r="G16" s="2565"/>
    </row>
    <row r="17" spans="1:7" ht="18.75" customHeight="1">
      <c r="A17" s="2575" t="s">
        <v>300</v>
      </c>
      <c r="B17" s="2575"/>
      <c r="C17" s="2562"/>
      <c r="D17" s="2562"/>
      <c r="E17" s="2562"/>
      <c r="F17" s="2564"/>
      <c r="G17" s="2565"/>
    </row>
    <row r="18" spans="1:7" ht="18.75" customHeight="1">
      <c r="A18" s="2570" t="s">
        <v>301</v>
      </c>
      <c r="B18" s="2571"/>
      <c r="C18" s="2562"/>
      <c r="D18" s="2562"/>
      <c r="E18" s="2562" t="s">
        <v>295</v>
      </c>
      <c r="F18" s="2564"/>
      <c r="G18" s="2565"/>
    </row>
    <row r="19" spans="1:7" ht="18.75" customHeight="1">
      <c r="A19" s="2575" t="s">
        <v>302</v>
      </c>
      <c r="B19" s="2575"/>
      <c r="C19" s="2562"/>
      <c r="D19" s="2562"/>
      <c r="E19" s="2562"/>
      <c r="F19" s="2564"/>
      <c r="G19" s="2565"/>
    </row>
    <row r="20" spans="1:7" ht="18.75" customHeight="1">
      <c r="A20" s="2558" t="s">
        <v>303</v>
      </c>
      <c r="B20" s="2559"/>
      <c r="C20" s="546"/>
      <c r="D20" s="546"/>
      <c r="E20" s="546" t="s">
        <v>295</v>
      </c>
      <c r="F20" s="2564"/>
      <c r="G20" s="2565"/>
    </row>
    <row r="21" spans="1:7" ht="18.75" customHeight="1">
      <c r="A21" s="2570" t="s">
        <v>304</v>
      </c>
      <c r="B21" s="2571"/>
      <c r="C21" s="2562"/>
      <c r="D21" s="2562"/>
      <c r="E21" s="2562" t="s">
        <v>295</v>
      </c>
      <c r="F21" s="2564"/>
      <c r="G21" s="2565"/>
    </row>
    <row r="22" spans="1:7" ht="18.75" customHeight="1">
      <c r="A22" s="2572" t="s">
        <v>305</v>
      </c>
      <c r="B22" s="2572"/>
      <c r="C22" s="2562"/>
      <c r="D22" s="2562"/>
      <c r="E22" s="2562"/>
      <c r="F22" s="2564"/>
      <c r="G22" s="2565"/>
    </row>
    <row r="23" spans="1:7" ht="18.75" customHeight="1">
      <c r="A23" s="2573" t="s">
        <v>306</v>
      </c>
      <c r="B23" s="2574"/>
      <c r="C23" s="2562"/>
      <c r="D23" s="2562"/>
      <c r="E23" s="2562" t="s">
        <v>295</v>
      </c>
      <c r="F23" s="2564"/>
      <c r="G23" s="2565"/>
    </row>
    <row r="24" spans="1:7" ht="18.75" customHeight="1">
      <c r="A24" s="2572" t="s">
        <v>307</v>
      </c>
      <c r="B24" s="2572"/>
      <c r="C24" s="2562"/>
      <c r="D24" s="2562"/>
      <c r="E24" s="2562"/>
      <c r="F24" s="2564"/>
      <c r="G24" s="2565"/>
    </row>
    <row r="25" spans="1:7" ht="18.75" customHeight="1">
      <c r="A25" s="2573" t="s">
        <v>308</v>
      </c>
      <c r="B25" s="2574"/>
      <c r="C25" s="2562"/>
      <c r="D25" s="2562"/>
      <c r="E25" s="2562" t="s">
        <v>295</v>
      </c>
      <c r="F25" s="2564"/>
      <c r="G25" s="2565"/>
    </row>
    <row r="26" spans="1:7" ht="18.75" customHeight="1">
      <c r="A26" s="2572" t="s">
        <v>309</v>
      </c>
      <c r="B26" s="2572"/>
      <c r="C26" s="2562"/>
      <c r="D26" s="2562"/>
      <c r="E26" s="2562"/>
      <c r="F26" s="2564"/>
      <c r="G26" s="2565"/>
    </row>
    <row r="27" spans="1:7" ht="18.75" customHeight="1">
      <c r="A27" s="2568" t="s">
        <v>310</v>
      </c>
      <c r="B27" s="2569"/>
      <c r="C27" s="2562"/>
      <c r="D27" s="2562"/>
      <c r="E27" s="2562" t="s">
        <v>295</v>
      </c>
      <c r="F27" s="2564"/>
      <c r="G27" s="2565"/>
    </row>
    <row r="28" spans="1:7" ht="18.75" customHeight="1">
      <c r="A28" s="2558" t="s">
        <v>311</v>
      </c>
      <c r="B28" s="2559"/>
      <c r="C28" s="2562"/>
      <c r="D28" s="2562"/>
      <c r="E28" s="2562"/>
      <c r="F28" s="2564"/>
      <c r="G28" s="2565"/>
    </row>
    <row r="29" spans="1:7" ht="18.75" customHeight="1">
      <c r="A29" s="2558" t="s">
        <v>312</v>
      </c>
      <c r="B29" s="2559"/>
      <c r="C29" s="546" t="s">
        <v>151</v>
      </c>
      <c r="D29" s="546"/>
      <c r="E29" s="546"/>
      <c r="F29" s="2564"/>
      <c r="G29" s="2565"/>
    </row>
    <row r="30" spans="1:7" ht="18.75" customHeight="1">
      <c r="A30" s="2570" t="s">
        <v>313</v>
      </c>
      <c r="B30" s="2571"/>
      <c r="C30" s="2562"/>
      <c r="D30" s="2562"/>
      <c r="E30" s="2562" t="s">
        <v>295</v>
      </c>
      <c r="F30" s="2564"/>
      <c r="G30" s="2565"/>
    </row>
    <row r="31" spans="1:7" ht="18.75" customHeight="1">
      <c r="A31" s="2572" t="s">
        <v>314</v>
      </c>
      <c r="B31" s="2572"/>
      <c r="C31" s="2562"/>
      <c r="D31" s="2562"/>
      <c r="E31" s="2562"/>
      <c r="F31" s="2564"/>
      <c r="G31" s="2565"/>
    </row>
    <row r="32" spans="1:7" ht="18.75" customHeight="1">
      <c r="A32" s="2568" t="s">
        <v>315</v>
      </c>
      <c r="B32" s="2569"/>
      <c r="C32" s="546"/>
      <c r="D32" s="546" t="s">
        <v>63</v>
      </c>
      <c r="E32" s="546"/>
      <c r="F32" s="2564"/>
      <c r="G32" s="2565"/>
    </row>
    <row r="33" spans="1:7" ht="18.75" customHeight="1">
      <c r="A33" s="2558" t="s">
        <v>316</v>
      </c>
      <c r="B33" s="2559"/>
      <c r="C33" s="546" t="s">
        <v>151</v>
      </c>
      <c r="D33" s="546"/>
      <c r="E33" s="546"/>
      <c r="F33" s="2564"/>
      <c r="G33" s="2565"/>
    </row>
    <row r="34" spans="1:7" ht="16.5" customHeight="1">
      <c r="A34" s="2558" t="s">
        <v>317</v>
      </c>
      <c r="B34" s="2559"/>
      <c r="C34" s="2562" t="s">
        <v>151</v>
      </c>
      <c r="D34" s="2562"/>
      <c r="E34" s="2562"/>
      <c r="F34" s="2564" t="s">
        <v>1984</v>
      </c>
      <c r="G34" s="2565"/>
    </row>
    <row r="35" spans="1:7" ht="16.5" customHeight="1">
      <c r="A35" s="2558"/>
      <c r="B35" s="2559"/>
      <c r="C35" s="2562"/>
      <c r="D35" s="2562"/>
      <c r="E35" s="2562"/>
      <c r="F35" s="2564"/>
      <c r="G35" s="2565"/>
    </row>
    <row r="36" spans="1:7" ht="18.75" customHeight="1">
      <c r="A36" s="2558" t="s">
        <v>318</v>
      </c>
      <c r="B36" s="2559"/>
      <c r="C36" s="546" t="s">
        <v>151</v>
      </c>
      <c r="D36" s="546"/>
      <c r="E36" s="546"/>
      <c r="F36" s="2564"/>
      <c r="G36" s="2565"/>
    </row>
    <row r="37" spans="1:7" ht="18.75" customHeight="1">
      <c r="A37" s="2558" t="s">
        <v>319</v>
      </c>
      <c r="B37" s="2559"/>
      <c r="C37" s="546" t="s">
        <v>151</v>
      </c>
      <c r="D37" s="546"/>
      <c r="E37" s="546"/>
      <c r="F37" s="2564"/>
      <c r="G37" s="2565"/>
    </row>
    <row r="38" spans="1:7" ht="18.75" customHeight="1">
      <c r="A38" s="2558" t="s">
        <v>320</v>
      </c>
      <c r="B38" s="2559"/>
      <c r="C38" s="546"/>
      <c r="D38" s="546"/>
      <c r="E38" s="546"/>
      <c r="F38" s="2564"/>
      <c r="G38" s="2565"/>
    </row>
    <row r="39" spans="1:7" ht="18.75" customHeight="1">
      <c r="A39" s="2558" t="s">
        <v>321</v>
      </c>
      <c r="B39" s="2559"/>
      <c r="C39" s="546" t="s">
        <v>151</v>
      </c>
      <c r="D39" s="546"/>
      <c r="E39" s="546"/>
      <c r="F39" s="2564"/>
      <c r="G39" s="2565"/>
    </row>
    <row r="40" spans="1:7" ht="18.75" customHeight="1">
      <c r="A40" s="2558" t="s">
        <v>322</v>
      </c>
      <c r="B40" s="2559"/>
      <c r="C40" s="546"/>
      <c r="D40" s="546"/>
      <c r="E40" s="546"/>
      <c r="F40" s="2564"/>
      <c r="G40" s="2565"/>
    </row>
    <row r="41" spans="1:7" ht="18.75" customHeight="1">
      <c r="A41" s="2558" t="s">
        <v>323</v>
      </c>
      <c r="B41" s="2559"/>
      <c r="C41" s="546"/>
      <c r="D41" s="546"/>
      <c r="E41" s="546"/>
      <c r="F41" s="2564"/>
      <c r="G41" s="2565"/>
    </row>
    <row r="42" spans="1:7" ht="16.5" customHeight="1">
      <c r="A42" s="2558" t="s">
        <v>324</v>
      </c>
      <c r="B42" s="2559"/>
      <c r="C42" s="2562"/>
      <c r="D42" s="2562"/>
      <c r="E42" s="2562"/>
      <c r="F42" s="2564" t="s">
        <v>1985</v>
      </c>
      <c r="G42" s="2565"/>
    </row>
    <row r="43" spans="1:7" ht="17.25" customHeight="1" thickBot="1">
      <c r="A43" s="2560"/>
      <c r="B43" s="2561"/>
      <c r="C43" s="2563"/>
      <c r="D43" s="2563"/>
      <c r="E43" s="2563"/>
      <c r="F43" s="2566"/>
      <c r="G43" s="2567"/>
    </row>
  </sheetData>
  <mergeCells count="98">
    <mergeCell ref="B9:G9"/>
    <mergeCell ref="B6:G6"/>
    <mergeCell ref="B7:C7"/>
    <mergeCell ref="D7:E7"/>
    <mergeCell ref="F7:G7"/>
    <mergeCell ref="B8:G8"/>
    <mergeCell ref="A1:A3"/>
    <mergeCell ref="B4:G4"/>
    <mergeCell ref="B5:C5"/>
    <mergeCell ref="D5:E5"/>
    <mergeCell ref="F5:G5"/>
    <mergeCell ref="B1:E3"/>
    <mergeCell ref="F1:G1"/>
    <mergeCell ref="F2:G2"/>
    <mergeCell ref="F3:G3"/>
    <mergeCell ref="B10:G10"/>
    <mergeCell ref="A11:G11"/>
    <mergeCell ref="A12:B12"/>
    <mergeCell ref="F12:G12"/>
    <mergeCell ref="A13:B13"/>
    <mergeCell ref="F13:G13"/>
    <mergeCell ref="A14:B14"/>
    <mergeCell ref="F14:G14"/>
    <mergeCell ref="A15:B15"/>
    <mergeCell ref="F15:G15"/>
    <mergeCell ref="A16:B16"/>
    <mergeCell ref="C16:C17"/>
    <mergeCell ref="D16:D17"/>
    <mergeCell ref="E16:E17"/>
    <mergeCell ref="F16:G16"/>
    <mergeCell ref="A17:B17"/>
    <mergeCell ref="F17:G17"/>
    <mergeCell ref="A18:B18"/>
    <mergeCell ref="C18:C19"/>
    <mergeCell ref="D18:D19"/>
    <mergeCell ref="E18:E19"/>
    <mergeCell ref="F18:G19"/>
    <mergeCell ref="A19:B19"/>
    <mergeCell ref="A20:B20"/>
    <mergeCell ref="F20:G20"/>
    <mergeCell ref="A21:B21"/>
    <mergeCell ref="C21:C22"/>
    <mergeCell ref="D21:D22"/>
    <mergeCell ref="E21:E22"/>
    <mergeCell ref="F21:G22"/>
    <mergeCell ref="A22:B22"/>
    <mergeCell ref="A23:B23"/>
    <mergeCell ref="C23:C24"/>
    <mergeCell ref="D23:D24"/>
    <mergeCell ref="E23:E24"/>
    <mergeCell ref="F23:G24"/>
    <mergeCell ref="A24:B24"/>
    <mergeCell ref="A25:B25"/>
    <mergeCell ref="C25:C26"/>
    <mergeCell ref="D25:D26"/>
    <mergeCell ref="E25:E26"/>
    <mergeCell ref="F25:G26"/>
    <mergeCell ref="A26:B26"/>
    <mergeCell ref="A27:B27"/>
    <mergeCell ref="C27:C28"/>
    <mergeCell ref="D27:D28"/>
    <mergeCell ref="E27:E28"/>
    <mergeCell ref="F27:G28"/>
    <mergeCell ref="A28:B28"/>
    <mergeCell ref="A29:B29"/>
    <mergeCell ref="F29:G29"/>
    <mergeCell ref="A30:B30"/>
    <mergeCell ref="C30:C31"/>
    <mergeCell ref="D30:D31"/>
    <mergeCell ref="E30:E31"/>
    <mergeCell ref="F30:G31"/>
    <mergeCell ref="A31:B31"/>
    <mergeCell ref="A32:B32"/>
    <mergeCell ref="F32:G32"/>
    <mergeCell ref="A33:B33"/>
    <mergeCell ref="F33:G33"/>
    <mergeCell ref="A34:B35"/>
    <mergeCell ref="C34:C35"/>
    <mergeCell ref="D34:D35"/>
    <mergeCell ref="E34:E35"/>
    <mergeCell ref="F34:G35"/>
    <mergeCell ref="A36:B36"/>
    <mergeCell ref="F36:G36"/>
    <mergeCell ref="A37:B37"/>
    <mergeCell ref="F37:G37"/>
    <mergeCell ref="A38:B38"/>
    <mergeCell ref="F38:G38"/>
    <mergeCell ref="A39:B39"/>
    <mergeCell ref="F39:G39"/>
    <mergeCell ref="A40:B40"/>
    <mergeCell ref="F40:G40"/>
    <mergeCell ref="A41:B41"/>
    <mergeCell ref="F41:G41"/>
    <mergeCell ref="A42:B43"/>
    <mergeCell ref="C42:C43"/>
    <mergeCell ref="D42:D43"/>
    <mergeCell ref="E42:E43"/>
    <mergeCell ref="F42:G4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003300"/>
    <pageSetUpPr fitToPage="1"/>
  </sheetPr>
  <dimension ref="A1:P284"/>
  <sheetViews>
    <sheetView showGridLines="0" topLeftCell="A12" zoomScale="70" zoomScaleNormal="70" workbookViewId="0">
      <selection activeCell="B9" sqref="B9:D9"/>
    </sheetView>
  </sheetViews>
  <sheetFormatPr defaultColWidth="9.44140625" defaultRowHeight="18"/>
  <cols>
    <col min="1" max="1" width="57.33203125" style="547" bestFit="1" customWidth="1"/>
    <col min="2" max="2" width="19" style="547" customWidth="1"/>
    <col min="3" max="3" width="21.5546875" style="547" customWidth="1"/>
    <col min="4" max="4" width="22.5546875" style="547" bestFit="1" customWidth="1"/>
    <col min="5" max="5" width="37" style="547" bestFit="1" customWidth="1"/>
    <col min="6" max="6" width="27.44140625" style="547" bestFit="1" customWidth="1"/>
    <col min="7" max="7" width="29" style="547" customWidth="1"/>
    <col min="8" max="8" width="27.5546875" style="547" bestFit="1" customWidth="1"/>
    <col min="9" max="11" width="22.5546875" style="547" bestFit="1" customWidth="1"/>
    <col min="12" max="13" width="18.5546875" style="547" bestFit="1" customWidth="1"/>
    <col min="14" max="16" width="22.5546875" style="547" bestFit="1" customWidth="1"/>
    <col min="17" max="23" width="9.44140625" style="547"/>
    <col min="24" max="24" width="11.44140625" style="547" customWidth="1"/>
    <col min="25" max="28" width="9.44140625" style="547"/>
    <col min="29" max="29" width="27.44140625" style="547" bestFit="1" customWidth="1"/>
    <col min="30" max="16384" width="9.44140625" style="547"/>
  </cols>
  <sheetData>
    <row r="1" spans="1:14">
      <c r="A1" s="2700" t="s">
        <v>325</v>
      </c>
      <c r="B1" s="2701"/>
      <c r="C1" s="2701"/>
      <c r="D1" s="2701"/>
      <c r="E1" s="2702"/>
      <c r="F1" s="2709" t="s">
        <v>326</v>
      </c>
      <c r="G1" s="2710"/>
      <c r="H1" s="2711"/>
    </row>
    <row r="2" spans="1:14">
      <c r="A2" s="2703"/>
      <c r="B2" s="2704"/>
      <c r="C2" s="2704"/>
      <c r="D2" s="2704"/>
      <c r="E2" s="2705"/>
      <c r="F2" s="2712" t="s">
        <v>203</v>
      </c>
      <c r="G2" s="2713"/>
      <c r="H2" s="2714"/>
    </row>
    <row r="3" spans="1:14" ht="18.600000000000001" thickBot="1">
      <c r="A3" s="2706"/>
      <c r="B3" s="2707"/>
      <c r="C3" s="2707"/>
      <c r="D3" s="2707"/>
      <c r="E3" s="2708"/>
      <c r="F3" s="2715" t="s">
        <v>204</v>
      </c>
      <c r="G3" s="2716"/>
      <c r="H3" s="2717"/>
    </row>
    <row r="4" spans="1:14" ht="24" thickBot="1">
      <c r="A4" s="2718" t="s">
        <v>327</v>
      </c>
      <c r="B4" s="2719"/>
      <c r="C4" s="2719"/>
      <c r="D4" s="2719"/>
      <c r="E4" s="2719"/>
      <c r="F4" s="2719"/>
      <c r="G4" s="2719"/>
      <c r="H4" s="2720"/>
    </row>
    <row r="5" spans="1:14" ht="18.600000000000001" thickBot="1">
      <c r="A5" s="2693" t="s">
        <v>328</v>
      </c>
      <c r="B5" s="2694"/>
      <c r="C5" s="2694"/>
      <c r="D5" s="2694"/>
      <c r="E5" s="2694"/>
      <c r="F5" s="2694"/>
      <c r="G5" s="2694"/>
      <c r="H5" s="2695"/>
    </row>
    <row r="6" spans="1:14">
      <c r="A6" s="548" t="s">
        <v>23</v>
      </c>
      <c r="B6" s="2696" t="str">
        <f>'Site Vist fomat  (Design)'!B6</f>
        <v>Metro Junction mall</v>
      </c>
      <c r="C6" s="2698"/>
      <c r="D6" s="2699"/>
      <c r="E6" s="549" t="s">
        <v>105</v>
      </c>
      <c r="F6" s="2696" t="str">
        <f>'Input''s from BD(Sales)'!B81</f>
        <v xml:space="preserve">Collected </v>
      </c>
      <c r="G6" s="2697"/>
      <c r="H6" s="550"/>
    </row>
    <row r="7" spans="1:14">
      <c r="A7" s="551" t="s">
        <v>329</v>
      </c>
      <c r="B7" s="2641" t="str">
        <f>'Input''s from BD(Sales)'!B13</f>
        <v>Metro Junction Mall, Kalyan - Shilphata Rd, Kalyan East, Kalyan, Maharashtra 421306</v>
      </c>
      <c r="C7" s="2626"/>
      <c r="D7" s="2627"/>
      <c r="E7" s="553" t="s">
        <v>330</v>
      </c>
      <c r="F7" s="2645" t="str">
        <f>'Site Vist fomat  (Design)'!D18</f>
        <v>449 KVA</v>
      </c>
      <c r="G7" s="2646"/>
      <c r="H7" s="2647"/>
    </row>
    <row r="8" spans="1:14">
      <c r="A8" s="554" t="s">
        <v>331</v>
      </c>
      <c r="B8" s="2641">
        <f>'Site Vist fomat  (Design)'!B7</f>
        <v>0</v>
      </c>
      <c r="C8" s="2626"/>
      <c r="D8" s="2627"/>
      <c r="E8" s="555" t="s">
        <v>332</v>
      </c>
      <c r="F8" s="2642" t="str">
        <f>'Site Vist fomat  (Design)'!C19</f>
        <v>Rating-                kVA</v>
      </c>
      <c r="G8" s="2643"/>
      <c r="H8" s="2644"/>
    </row>
    <row r="9" spans="1:14">
      <c r="A9" s="554" t="s">
        <v>333</v>
      </c>
      <c r="B9" s="2676" t="str">
        <f>'Site Vist fomat  (Design)'!B9</f>
        <v xml:space="preserve">                                   19.229564° N</v>
      </c>
      <c r="C9" s="2677"/>
      <c r="D9" s="2678"/>
      <c r="E9" s="557" t="s">
        <v>334</v>
      </c>
      <c r="F9" s="556" t="str">
        <f>'Site Vist fomat  (Design)'!B16</f>
        <v>0.45 kV</v>
      </c>
      <c r="G9" s="558" t="s">
        <v>335</v>
      </c>
      <c r="H9" s="556" t="str">
        <f>F9</f>
        <v>0.45 kV</v>
      </c>
    </row>
    <row r="10" spans="1:14">
      <c r="A10" s="551" t="s">
        <v>333</v>
      </c>
      <c r="B10" s="2641" t="str">
        <f>'Site Vist fomat  (Design)'!C9</f>
        <v xml:space="preserve">                                       73.123271° E</v>
      </c>
      <c r="C10" s="2626"/>
      <c r="D10" s="2627"/>
      <c r="E10" s="557" t="s">
        <v>336</v>
      </c>
      <c r="F10" s="556" t="str">
        <f>'Site Vist fomat  (Design)'!B19</f>
        <v xml:space="preserve">Qty - _01 Nos </v>
      </c>
      <c r="G10" s="559" t="s">
        <v>337</v>
      </c>
      <c r="H10" s="556" t="str">
        <f>'Site Vist fomat  (Design)'!D19</f>
        <v>Voltage Ratio - ___/____</v>
      </c>
      <c r="J10" s="560"/>
      <c r="K10" s="560"/>
      <c r="L10" s="449"/>
      <c r="M10" s="449"/>
      <c r="N10" s="449"/>
    </row>
    <row r="11" spans="1:14">
      <c r="A11" s="551" t="s">
        <v>338</v>
      </c>
      <c r="B11" s="2641">
        <f>'Site Vist fomat  (Design)'!E7</f>
        <v>0</v>
      </c>
      <c r="C11" s="2626"/>
      <c r="D11" s="2627"/>
      <c r="E11" s="561" t="s">
        <v>339</v>
      </c>
      <c r="F11" s="2641" t="str">
        <f>'Site Vist fomat  (Design)'!B25</f>
        <v>Class _____________</v>
      </c>
      <c r="G11" s="2626"/>
      <c r="H11" s="2627"/>
    </row>
    <row r="12" spans="1:14" ht="18.600000000000001" thickBot="1">
      <c r="A12" s="551" t="s">
        <v>19</v>
      </c>
      <c r="B12" s="2641">
        <f>'Site Vist fomat  (Design)'!G7</f>
        <v>0</v>
      </c>
      <c r="C12" s="2626"/>
      <c r="D12" s="2627"/>
      <c r="E12" s="561" t="s">
        <v>340</v>
      </c>
      <c r="F12" s="2641">
        <f>'Input''s from BD(Sales)'!B82</f>
        <v>0</v>
      </c>
      <c r="G12" s="2672"/>
      <c r="H12" s="562"/>
    </row>
    <row r="13" spans="1:14">
      <c r="A13" s="551" t="s">
        <v>341</v>
      </c>
      <c r="B13" s="2641" t="str">
        <f>'Site Vist fomat  (Design)'!B15</f>
        <v>kWp
MwH</v>
      </c>
      <c r="C13" s="2626"/>
      <c r="D13" s="2627"/>
      <c r="E13" s="561" t="s">
        <v>109</v>
      </c>
      <c r="F13" s="2641" t="str">
        <f>'Input''s from BD(Sales)'!B83</f>
        <v xml:space="preserve">Available </v>
      </c>
      <c r="G13" s="2672"/>
      <c r="H13" s="562"/>
      <c r="J13" s="563" t="s">
        <v>342</v>
      </c>
    </row>
    <row r="14" spans="1:14">
      <c r="A14" s="551" t="s">
        <v>129</v>
      </c>
      <c r="B14" s="2641" t="str">
        <f>'Input''s from BD(Sales)'!B16</f>
        <v>Capex</v>
      </c>
      <c r="C14" s="2626"/>
      <c r="D14" s="2627"/>
      <c r="E14" s="561" t="s">
        <v>343</v>
      </c>
      <c r="F14" s="2641" t="str">
        <f>'Input''s from BD(Sales)'!B84</f>
        <v xml:space="preserve">Available </v>
      </c>
      <c r="G14" s="2672"/>
      <c r="H14" s="562"/>
      <c r="J14" s="564" t="s">
        <v>344</v>
      </c>
    </row>
    <row r="15" spans="1:14">
      <c r="A15" s="551" t="s">
        <v>345</v>
      </c>
      <c r="B15" s="565"/>
      <c r="C15" s="559" t="s">
        <v>346</v>
      </c>
      <c r="D15" s="566"/>
      <c r="E15" s="561" t="s">
        <v>347</v>
      </c>
      <c r="F15" s="2641"/>
      <c r="G15" s="2626"/>
      <c r="H15" s="2627"/>
      <c r="J15" s="567" t="s">
        <v>348</v>
      </c>
    </row>
    <row r="16" spans="1:14" ht="18.600000000000001" thickBot="1">
      <c r="A16" s="551" t="s">
        <v>349</v>
      </c>
      <c r="B16" s="568"/>
      <c r="C16" s="559" t="s">
        <v>350</v>
      </c>
      <c r="D16" s="562"/>
      <c r="E16" s="561" t="s">
        <v>32</v>
      </c>
      <c r="F16" s="568">
        <f>'Input''s from BD(Sales)'!B18</f>
        <v>1</v>
      </c>
      <c r="G16" s="559" t="s">
        <v>351</v>
      </c>
      <c r="H16" s="569"/>
      <c r="J16" s="570" t="s">
        <v>352</v>
      </c>
    </row>
    <row r="17" spans="1:16">
      <c r="A17" s="551" t="s">
        <v>353</v>
      </c>
      <c r="B17" s="2641"/>
      <c r="C17" s="2626"/>
      <c r="D17" s="2627"/>
      <c r="E17" s="561" t="s">
        <v>354</v>
      </c>
      <c r="F17" s="2642" t="s">
        <v>355</v>
      </c>
      <c r="G17" s="2643"/>
      <c r="H17" s="2644"/>
      <c r="J17" s="571"/>
    </row>
    <row r="18" spans="1:16">
      <c r="A18" s="551" t="str">
        <f>'Site Vist fomat  (Design)'!C26</f>
        <v>Metering CT&amp; PT Details / Class</v>
      </c>
      <c r="B18" s="2625">
        <f>'Site Vist fomat  (Design)'!D26</f>
        <v>0</v>
      </c>
      <c r="C18" s="2626"/>
      <c r="D18" s="2627"/>
      <c r="E18" s="561" t="s">
        <v>356</v>
      </c>
      <c r="F18" s="2642"/>
      <c r="G18" s="2643"/>
      <c r="H18" s="2644"/>
      <c r="J18" s="571"/>
    </row>
    <row r="19" spans="1:16">
      <c r="A19" s="572" t="s">
        <v>357</v>
      </c>
      <c r="B19" s="2641" t="str">
        <f>'Site Vist fomat  (Design)'!B23</f>
        <v>Days</v>
      </c>
      <c r="C19" s="2626"/>
      <c r="D19" s="2627"/>
      <c r="E19" s="553" t="s">
        <v>358</v>
      </c>
      <c r="F19" s="573" t="str">
        <f>'Site Vist fomat  (Design)'!F23</f>
        <v>Rating  - _1010 kVA</v>
      </c>
      <c r="G19" s="574"/>
      <c r="H19" s="575"/>
    </row>
    <row r="20" spans="1:16">
      <c r="A20" s="572" t="s">
        <v>359</v>
      </c>
      <c r="B20" s="2645">
        <f>'Site Vist fomat  (Design)'!B26</f>
        <v>2</v>
      </c>
      <c r="C20" s="2646"/>
      <c r="D20" s="2647"/>
      <c r="E20" s="553" t="s">
        <v>360</v>
      </c>
      <c r="F20" s="573" t="str">
        <f>'Site Vist fomat  (Design)'!E23</f>
        <v xml:space="preserve">Qty - __03 Nos </v>
      </c>
      <c r="G20" s="574"/>
      <c r="H20" s="575"/>
    </row>
    <row r="21" spans="1:16">
      <c r="A21" s="551" t="s">
        <v>361</v>
      </c>
      <c r="B21" s="2641" t="str">
        <f>'Site Vist fomat  (Design)'!G18</f>
        <v>Power Factor: 0.89-0.995</v>
      </c>
      <c r="C21" s="2626"/>
      <c r="D21" s="2627"/>
      <c r="E21" s="561" t="s">
        <v>362</v>
      </c>
      <c r="F21" s="2642" t="str">
        <f>'Site Vist fomat  (Design)'!G24</f>
        <v>(Yes/No)</v>
      </c>
      <c r="G21" s="2643"/>
      <c r="H21" s="2644"/>
    </row>
    <row r="22" spans="1:16" ht="18.600000000000001" thickBot="1">
      <c r="A22" s="576" t="s">
        <v>363</v>
      </c>
      <c r="B22" s="577" t="s">
        <v>151</v>
      </c>
      <c r="C22" s="578" t="s">
        <v>364</v>
      </c>
      <c r="D22" s="579" t="str">
        <f>'Site Vist fomat  (Design)'!B24</f>
        <v>NO</v>
      </c>
      <c r="E22" s="580" t="s">
        <v>365</v>
      </c>
      <c r="F22" s="581" t="str">
        <f>'Site Vist fomat  (Design)'!B25</f>
        <v>Class _____________</v>
      </c>
      <c r="G22" s="578" t="s">
        <v>366</v>
      </c>
      <c r="H22" s="582" t="str">
        <f>'Site Vist fomat  (Design)'!C25</f>
        <v>Make: ___________________</v>
      </c>
    </row>
    <row r="23" spans="1:16" ht="18.600000000000001" thickBot="1">
      <c r="A23" s="2638" t="s">
        <v>367</v>
      </c>
      <c r="B23" s="2639"/>
      <c r="C23" s="2639"/>
      <c r="D23" s="2639"/>
      <c r="E23" s="2639"/>
      <c r="F23" s="2639"/>
      <c r="G23" s="2639"/>
      <c r="H23" s="2640"/>
    </row>
    <row r="24" spans="1:16" s="571" customFormat="1" ht="18.600000000000001" thickBot="1">
      <c r="A24" s="583"/>
      <c r="B24" s="584" t="s">
        <v>368</v>
      </c>
      <c r="C24" s="585" t="s">
        <v>369</v>
      </c>
      <c r="D24" s="585" t="s">
        <v>370</v>
      </c>
      <c r="E24" s="585" t="s">
        <v>371</v>
      </c>
      <c r="F24" s="585" t="s">
        <v>372</v>
      </c>
      <c r="G24" s="585" t="s">
        <v>373</v>
      </c>
      <c r="H24" s="585" t="s">
        <v>374</v>
      </c>
      <c r="I24" s="585" t="s">
        <v>375</v>
      </c>
      <c r="J24" s="585" t="s">
        <v>376</v>
      </c>
      <c r="K24" s="585" t="s">
        <v>377</v>
      </c>
      <c r="L24" s="585" t="s">
        <v>378</v>
      </c>
      <c r="M24" s="585" t="s">
        <v>379</v>
      </c>
      <c r="N24" s="585" t="s">
        <v>380</v>
      </c>
      <c r="O24" s="585" t="s">
        <v>381</v>
      </c>
      <c r="P24" s="586" t="s">
        <v>382</v>
      </c>
    </row>
    <row r="25" spans="1:16" ht="18.600000000000001" thickBot="1">
      <c r="A25" s="564" t="s">
        <v>383</v>
      </c>
      <c r="B25" s="587" t="s">
        <v>384</v>
      </c>
      <c r="C25" s="588" t="s">
        <v>384</v>
      </c>
      <c r="D25" s="588" t="s">
        <v>384</v>
      </c>
      <c r="E25" s="588" t="s">
        <v>384</v>
      </c>
      <c r="F25" s="588" t="s">
        <v>384</v>
      </c>
      <c r="G25" s="588" t="s">
        <v>384</v>
      </c>
      <c r="H25" s="588" t="s">
        <v>384</v>
      </c>
      <c r="I25" s="588" t="s">
        <v>384</v>
      </c>
      <c r="J25" s="588" t="s">
        <v>384</v>
      </c>
      <c r="K25" s="588" t="s">
        <v>384</v>
      </c>
      <c r="L25" s="589" t="s">
        <v>1</v>
      </c>
      <c r="M25" s="589" t="s">
        <v>1</v>
      </c>
      <c r="N25" s="589" t="s">
        <v>1</v>
      </c>
      <c r="O25" s="589" t="s">
        <v>1</v>
      </c>
      <c r="P25" s="590" t="s">
        <v>1</v>
      </c>
    </row>
    <row r="26" spans="1:16" ht="21.6" thickBot="1">
      <c r="A26" s="2628" t="str">
        <f>'Site Vist fomat  (Design)'!A27</f>
        <v>Electrical Details</v>
      </c>
      <c r="B26" s="2629"/>
      <c r="C26" s="2629"/>
      <c r="D26" s="2629"/>
      <c r="E26" s="2629"/>
      <c r="F26" s="2629"/>
      <c r="G26" s="2629"/>
      <c r="H26" s="2629"/>
      <c r="I26" s="2629"/>
      <c r="J26" s="2629"/>
      <c r="K26" s="2629"/>
      <c r="L26" s="2629"/>
      <c r="M26" s="2629"/>
      <c r="N26" s="2629"/>
      <c r="O26" s="2629"/>
      <c r="P26" s="2630"/>
    </row>
    <row r="27" spans="1:16" s="571" customFormat="1" ht="36">
      <c r="A27" s="591" t="str">
        <f>'Site Vist fomat  (Design)'!A28</f>
        <v xml:space="preserve">Name of the building 
(As per customer's nomenclature) </v>
      </c>
      <c r="B27" s="592" t="str">
        <f>'Site Vist fomat  (Design)'!B28</f>
        <v>Main RCC  B Block at LG</v>
      </c>
      <c r="C27" s="593" t="str">
        <f>'Site Vist fomat  (Design)'!C28</f>
        <v>Main RCC  D Block at LG</v>
      </c>
      <c r="D27" s="593" t="str">
        <f>'Site Vist fomat  (Design)'!D28</f>
        <v>Parking</v>
      </c>
      <c r="E27" s="593">
        <f>'Site Vist fomat  (Design)'!E28</f>
        <v>0</v>
      </c>
      <c r="F27" s="593">
        <f>'Site Vist fomat  (Design)'!F28</f>
        <v>0</v>
      </c>
      <c r="G27" s="593">
        <f>'Site Vist fomat  (Design)'!G28</f>
        <v>0</v>
      </c>
      <c r="H27" s="593">
        <f>'Site Vist fomat  (Design)'!H28</f>
        <v>0</v>
      </c>
      <c r="I27" s="593">
        <f>'Site Vist fomat  (Design)'!I28</f>
        <v>0</v>
      </c>
      <c r="J27" s="593">
        <f>'Site Vist fomat  (Design)'!J28</f>
        <v>0</v>
      </c>
      <c r="K27" s="593">
        <f>'Site Vist fomat  (Design)'!K28</f>
        <v>0</v>
      </c>
      <c r="L27" s="593">
        <f>'Site Vist fomat  (Design)'!L28</f>
        <v>0</v>
      </c>
      <c r="M27" s="593">
        <f>'Site Vist fomat  (Design)'!M28</f>
        <v>0</v>
      </c>
      <c r="N27" s="593">
        <f>'Site Vist fomat  (Design)'!N28</f>
        <v>0</v>
      </c>
      <c r="O27" s="593">
        <f>'Site Vist fomat  (Design)'!O28</f>
        <v>0</v>
      </c>
      <c r="P27" s="550">
        <f>'Site Vist fomat  (Design)'!P28</f>
        <v>0</v>
      </c>
    </row>
    <row r="28" spans="1:16">
      <c r="A28" s="594" t="str">
        <f>'Site Vist fomat  (Design)'!A31</f>
        <v>Termination distance in mtrs</v>
      </c>
      <c r="B28" s="595">
        <f>'Site Vist fomat  (Design)'!B31</f>
        <v>170</v>
      </c>
      <c r="C28" s="596">
        <f>'Site Vist fomat  (Design)'!C31</f>
        <v>220</v>
      </c>
      <c r="D28" s="596">
        <f>'Site Vist fomat  (Design)'!D31</f>
        <v>200</v>
      </c>
      <c r="E28" s="596">
        <f>'Site Vist fomat  (Design)'!E31</f>
        <v>0</v>
      </c>
      <c r="F28" s="596">
        <f>'Site Vist fomat  (Design)'!F31</f>
        <v>0</v>
      </c>
      <c r="G28" s="596">
        <f>'Site Vist fomat  (Design)'!G31</f>
        <v>0</v>
      </c>
      <c r="H28" s="596">
        <f>'Site Vist fomat  (Design)'!H31</f>
        <v>0</v>
      </c>
      <c r="I28" s="596">
        <f>'Site Vist fomat  (Design)'!I31</f>
        <v>0</v>
      </c>
      <c r="J28" s="596">
        <f>'Site Vist fomat  (Design)'!J31</f>
        <v>0</v>
      </c>
      <c r="K28" s="596">
        <f>'Site Vist fomat  (Design)'!K31</f>
        <v>0</v>
      </c>
      <c r="L28" s="596">
        <f>'Site Vist fomat  (Design)'!L31</f>
        <v>0</v>
      </c>
      <c r="M28" s="596">
        <f>'Site Vist fomat  (Design)'!M31</f>
        <v>0</v>
      </c>
      <c r="N28" s="596">
        <f>'Site Vist fomat  (Design)'!N31</f>
        <v>0</v>
      </c>
      <c r="O28" s="596">
        <f>'Site Vist fomat  (Design)'!O31</f>
        <v>0</v>
      </c>
      <c r="P28" s="597">
        <f>'Site Vist fomat  (Design)'!P31</f>
        <v>0</v>
      </c>
    </row>
    <row r="29" spans="1:16">
      <c r="A29" s="594" t="str">
        <f>'Site Vist fomat  (Design)'!A32</f>
        <v>Tentative location of inverter &amp; LT Panel</v>
      </c>
      <c r="B29" s="598" t="str">
        <f>'Site Vist fomat  (Design)'!B32</f>
        <v>at terrace level</v>
      </c>
      <c r="C29" s="596" t="str">
        <f>'Site Vist fomat  (Design)'!C32</f>
        <v>at terrace level</v>
      </c>
      <c r="D29" s="596" t="str">
        <f>'Site Vist fomat  (Design)'!D32</f>
        <v>At parking area</v>
      </c>
      <c r="E29" s="596">
        <f>'Site Vist fomat  (Design)'!E32</f>
        <v>0</v>
      </c>
      <c r="F29" s="596">
        <f>'Site Vist fomat  (Design)'!F32</f>
        <v>0</v>
      </c>
      <c r="G29" s="596">
        <f>'Site Vist fomat  (Design)'!G32</f>
        <v>0</v>
      </c>
      <c r="H29" s="596">
        <f>'Site Vist fomat  (Design)'!H32</f>
        <v>0</v>
      </c>
      <c r="I29" s="596">
        <f>'Site Vist fomat  (Design)'!I32</f>
        <v>0</v>
      </c>
      <c r="J29" s="596">
        <f>'Site Vist fomat  (Design)'!J32</f>
        <v>0</v>
      </c>
      <c r="K29" s="596">
        <f>'Site Vist fomat  (Design)'!K32</f>
        <v>0</v>
      </c>
      <c r="L29" s="596">
        <f>'Site Vist fomat  (Design)'!L32</f>
        <v>0</v>
      </c>
      <c r="M29" s="596">
        <f>'Site Vist fomat  (Design)'!M32</f>
        <v>0</v>
      </c>
      <c r="N29" s="596">
        <f>'Site Vist fomat  (Design)'!N32</f>
        <v>0</v>
      </c>
      <c r="O29" s="596">
        <f>'Site Vist fomat  (Design)'!O32</f>
        <v>0</v>
      </c>
      <c r="P29" s="599">
        <f>'Site Vist fomat  (Design)'!P32</f>
        <v>0</v>
      </c>
    </row>
    <row r="30" spans="1:16">
      <c r="A30" s="600" t="str">
        <f>'Site Vist fomat  (Design)'!A33</f>
        <v xml:space="preserve">Spare feeder avilability (mention as rating) </v>
      </c>
      <c r="B30" s="598" t="str">
        <f>'Site Vist fomat  (Design)'!B33</f>
        <v xml:space="preserve">No </v>
      </c>
      <c r="C30" s="596" t="str">
        <f>'Site Vist fomat  (Design)'!C33</f>
        <v>No</v>
      </c>
      <c r="D30" s="596" t="str">
        <f>'Site Vist fomat  (Design)'!D33</f>
        <v xml:space="preserve">No </v>
      </c>
      <c r="E30" s="596">
        <f>'Site Vist fomat  (Design)'!E33</f>
        <v>0</v>
      </c>
      <c r="F30" s="596">
        <f>'Site Vist fomat  (Design)'!F33</f>
        <v>0</v>
      </c>
      <c r="G30" s="596">
        <f>'Site Vist fomat  (Design)'!G33</f>
        <v>0</v>
      </c>
      <c r="H30" s="596">
        <f>'Site Vist fomat  (Design)'!H33</f>
        <v>0</v>
      </c>
      <c r="I30" s="596">
        <f>'Site Vist fomat  (Design)'!I33</f>
        <v>0</v>
      </c>
      <c r="J30" s="596">
        <f>'Site Vist fomat  (Design)'!J33</f>
        <v>0</v>
      </c>
      <c r="K30" s="596">
        <f>'Site Vist fomat  (Design)'!K33</f>
        <v>0</v>
      </c>
      <c r="L30" s="596">
        <f>'Site Vist fomat  (Design)'!L33</f>
        <v>0</v>
      </c>
      <c r="M30" s="596">
        <f>'Site Vist fomat  (Design)'!M33</f>
        <v>0</v>
      </c>
      <c r="N30" s="596">
        <f>'Site Vist fomat  (Design)'!N33</f>
        <v>0</v>
      </c>
      <c r="O30" s="596">
        <f>'Site Vist fomat  (Design)'!O33</f>
        <v>0</v>
      </c>
      <c r="P30" s="599">
        <f>'Site Vist fomat  (Design)'!P33</f>
        <v>0</v>
      </c>
    </row>
    <row r="31" spans="1:16">
      <c r="A31" s="600" t="str">
        <f>'Site Vist fomat  (Design)'!A34</f>
        <v>Bus bar extensions required? Scope?</v>
      </c>
      <c r="B31" s="598">
        <f>'Site Vist fomat  (Design)'!B34</f>
        <v>0</v>
      </c>
      <c r="C31" s="596">
        <f>'Site Vist fomat  (Design)'!C34</f>
        <v>0</v>
      </c>
      <c r="D31" s="596">
        <f>'Site Vist fomat  (Design)'!D34</f>
        <v>0</v>
      </c>
      <c r="E31" s="596">
        <f>'Site Vist fomat  (Design)'!E34</f>
        <v>0</v>
      </c>
      <c r="F31" s="596">
        <f>'Site Vist fomat  (Design)'!F34</f>
        <v>0</v>
      </c>
      <c r="G31" s="596">
        <f>'Site Vist fomat  (Design)'!G34</f>
        <v>0</v>
      </c>
      <c r="H31" s="596">
        <f>'Site Vist fomat  (Design)'!H34</f>
        <v>0</v>
      </c>
      <c r="I31" s="596">
        <f>'Site Vist fomat  (Design)'!I34</f>
        <v>0</v>
      </c>
      <c r="J31" s="596">
        <f>'Site Vist fomat  (Design)'!J34</f>
        <v>0</v>
      </c>
      <c r="K31" s="596">
        <f>'Site Vist fomat  (Design)'!K34</f>
        <v>0</v>
      </c>
      <c r="L31" s="596">
        <f>'Site Vist fomat  (Design)'!L34</f>
        <v>0</v>
      </c>
      <c r="M31" s="596">
        <f>'Site Vist fomat  (Design)'!M34</f>
        <v>0</v>
      </c>
      <c r="N31" s="596">
        <f>'Site Vist fomat  (Design)'!N34</f>
        <v>0</v>
      </c>
      <c r="O31" s="596">
        <f>'Site Vist fomat  (Design)'!O34</f>
        <v>0</v>
      </c>
      <c r="P31" s="599">
        <f>'Site Vist fomat  (Design)'!P34</f>
        <v>0</v>
      </c>
    </row>
    <row r="32" spans="1:16">
      <c r="A32" s="600" t="str">
        <f>'Site Vist fomat  (Design)'!A35</f>
        <v>Existing Bus Bar Size Material- Al/Cu./Type</v>
      </c>
      <c r="B32" s="598">
        <f>'Site Vist fomat  (Design)'!B35</f>
        <v>0</v>
      </c>
      <c r="C32" s="596">
        <f>'Site Vist fomat  (Design)'!C35</f>
        <v>0</v>
      </c>
      <c r="D32" s="596">
        <f>'Site Vist fomat  (Design)'!D35</f>
        <v>0</v>
      </c>
      <c r="E32" s="596">
        <f>'Site Vist fomat  (Design)'!E35</f>
        <v>0</v>
      </c>
      <c r="F32" s="596">
        <f>'Site Vist fomat  (Design)'!F35</f>
        <v>0</v>
      </c>
      <c r="G32" s="596">
        <f>'Site Vist fomat  (Design)'!G35</f>
        <v>0</v>
      </c>
      <c r="H32" s="596">
        <f>'Site Vist fomat  (Design)'!H35</f>
        <v>0</v>
      </c>
      <c r="I32" s="596">
        <f>'Site Vist fomat  (Design)'!I35</f>
        <v>0</v>
      </c>
      <c r="J32" s="596">
        <f>'Site Vist fomat  (Design)'!J35</f>
        <v>0</v>
      </c>
      <c r="K32" s="596">
        <f>'Site Vist fomat  (Design)'!K35</f>
        <v>0</v>
      </c>
      <c r="L32" s="596">
        <f>'Site Vist fomat  (Design)'!L35</f>
        <v>0</v>
      </c>
      <c r="M32" s="596">
        <f>'Site Vist fomat  (Design)'!M35</f>
        <v>0</v>
      </c>
      <c r="N32" s="596">
        <f>'Site Vist fomat  (Design)'!N35</f>
        <v>0</v>
      </c>
      <c r="O32" s="596">
        <f>'Site Vist fomat  (Design)'!O35</f>
        <v>0</v>
      </c>
      <c r="P32" s="599">
        <f>'Site Vist fomat  (Design)'!P35</f>
        <v>0</v>
      </c>
    </row>
    <row r="33" spans="1:16">
      <c r="A33" s="600" t="str">
        <f>'Site Vist fomat  (Design)'!A36</f>
        <v>Main Incomer Rating</v>
      </c>
      <c r="B33" s="598">
        <f>'Site Vist fomat  (Design)'!B36</f>
        <v>0</v>
      </c>
      <c r="C33" s="596">
        <f>'Site Vist fomat  (Design)'!C36</f>
        <v>0</v>
      </c>
      <c r="D33" s="596">
        <f>'Site Vist fomat  (Design)'!D36</f>
        <v>0</v>
      </c>
      <c r="E33" s="596">
        <f>'Site Vist fomat  (Design)'!E36</f>
        <v>0</v>
      </c>
      <c r="F33" s="596">
        <f>'Site Vist fomat  (Design)'!F36</f>
        <v>0</v>
      </c>
      <c r="G33" s="596">
        <f>'Site Vist fomat  (Design)'!G36</f>
        <v>0</v>
      </c>
      <c r="H33" s="596">
        <f>'Site Vist fomat  (Design)'!H36</f>
        <v>0</v>
      </c>
      <c r="I33" s="596">
        <f>'Site Vist fomat  (Design)'!I36</f>
        <v>0</v>
      </c>
      <c r="J33" s="596">
        <f>'Site Vist fomat  (Design)'!J36</f>
        <v>0</v>
      </c>
      <c r="K33" s="596">
        <f>'Site Vist fomat  (Design)'!K36</f>
        <v>0</v>
      </c>
      <c r="L33" s="596">
        <f>'Site Vist fomat  (Design)'!L36</f>
        <v>0</v>
      </c>
      <c r="M33" s="596">
        <f>'Site Vist fomat  (Design)'!M36</f>
        <v>0</v>
      </c>
      <c r="N33" s="596">
        <f>'Site Vist fomat  (Design)'!N36</f>
        <v>0</v>
      </c>
      <c r="O33" s="596">
        <f>'Site Vist fomat  (Design)'!O36</f>
        <v>0</v>
      </c>
      <c r="P33" s="599">
        <f>'Site Vist fomat  (Design)'!P36</f>
        <v>0</v>
      </c>
    </row>
    <row r="34" spans="1:16">
      <c r="A34" s="600" t="str">
        <f>'Site Vist fomat  (Design)'!A37</f>
        <v>Transmission method/ Method of Cable laying</v>
      </c>
      <c r="B34" s="598">
        <f>'Site Vist fomat  (Design)'!B37</f>
        <v>0</v>
      </c>
      <c r="C34" s="596">
        <f>'Site Vist fomat  (Design)'!C37</f>
        <v>0</v>
      </c>
      <c r="D34" s="596">
        <f>'Site Vist fomat  (Design)'!D37</f>
        <v>0</v>
      </c>
      <c r="E34" s="596">
        <f>'Site Vist fomat  (Design)'!E37</f>
        <v>0</v>
      </c>
      <c r="F34" s="596">
        <f>'Site Vist fomat  (Design)'!F37</f>
        <v>0</v>
      </c>
      <c r="G34" s="596">
        <f>'Site Vist fomat  (Design)'!G37</f>
        <v>0</v>
      </c>
      <c r="H34" s="596">
        <f>'Site Vist fomat  (Design)'!H37</f>
        <v>0</v>
      </c>
      <c r="I34" s="596">
        <f>'Site Vist fomat  (Design)'!I37</f>
        <v>0</v>
      </c>
      <c r="J34" s="596">
        <f>'Site Vist fomat  (Design)'!J37</f>
        <v>0</v>
      </c>
      <c r="K34" s="596">
        <f>'Site Vist fomat  (Design)'!K37</f>
        <v>0</v>
      </c>
      <c r="L34" s="596">
        <f>'Site Vist fomat  (Design)'!L37</f>
        <v>0</v>
      </c>
      <c r="M34" s="596">
        <f>'Site Vist fomat  (Design)'!M37</f>
        <v>0</v>
      </c>
      <c r="N34" s="596">
        <f>'Site Vist fomat  (Design)'!N37</f>
        <v>0</v>
      </c>
      <c r="O34" s="596">
        <f>'Site Vist fomat  (Design)'!O37</f>
        <v>0</v>
      </c>
      <c r="P34" s="599">
        <f>'Site Vist fomat  (Design)'!P37</f>
        <v>0</v>
      </c>
    </row>
    <row r="35" spans="1:16" ht="18.600000000000001" thickBot="1">
      <c r="A35" s="600" t="str">
        <f>'Site Vist fomat  (Design)'!A38</f>
        <v>Termination LT Panel image</v>
      </c>
      <c r="B35" s="601" t="str">
        <f>'Site Vist fomat  (Design)'!B38</f>
        <v>Attached</v>
      </c>
      <c r="C35" s="602" t="str">
        <f>'Site Vist fomat  (Design)'!C38</f>
        <v>Attached</v>
      </c>
      <c r="D35" s="602" t="str">
        <f>'Site Vist fomat  (Design)'!D38</f>
        <v>Attached</v>
      </c>
      <c r="E35" s="602">
        <f>'Site Vist fomat  (Design)'!E38</f>
        <v>0</v>
      </c>
      <c r="F35" s="602">
        <f>'Site Vist fomat  (Design)'!F38</f>
        <v>0</v>
      </c>
      <c r="G35" s="602">
        <f>'Site Vist fomat  (Design)'!G38</f>
        <v>0</v>
      </c>
      <c r="H35" s="602">
        <f>'Site Vist fomat  (Design)'!H38</f>
        <v>0</v>
      </c>
      <c r="I35" s="602">
        <f>'Site Vist fomat  (Design)'!I38</f>
        <v>0</v>
      </c>
      <c r="J35" s="602">
        <f>'Site Vist fomat  (Design)'!J38</f>
        <v>0</v>
      </c>
      <c r="K35" s="602">
        <f>'Site Vist fomat  (Design)'!K38</f>
        <v>0</v>
      </c>
      <c r="L35" s="602">
        <f>'Site Vist fomat  (Design)'!L38</f>
        <v>0</v>
      </c>
      <c r="M35" s="602">
        <f>'Site Vist fomat  (Design)'!M38</f>
        <v>0</v>
      </c>
      <c r="N35" s="602">
        <f>'Site Vist fomat  (Design)'!N38</f>
        <v>0</v>
      </c>
      <c r="O35" s="602">
        <f>'Site Vist fomat  (Design)'!O38</f>
        <v>0</v>
      </c>
      <c r="P35" s="603">
        <f>'Site Vist fomat  (Design)'!P38</f>
        <v>0</v>
      </c>
    </row>
    <row r="36" spans="1:16" ht="21.6" thickBot="1">
      <c r="A36" s="2615" t="str">
        <f>'Site Vist fomat  (Design)'!A39</f>
        <v>Common Inputs</v>
      </c>
      <c r="B36" s="2631"/>
      <c r="C36" s="2631"/>
      <c r="D36" s="2631"/>
      <c r="E36" s="2631"/>
      <c r="F36" s="2631"/>
      <c r="G36" s="2631"/>
      <c r="H36" s="2631"/>
      <c r="I36" s="2631"/>
      <c r="J36" s="2631"/>
      <c r="K36" s="2631"/>
      <c r="L36" s="2631"/>
      <c r="M36" s="2631"/>
      <c r="N36" s="2631"/>
      <c r="O36" s="2631"/>
      <c r="P36" s="2632"/>
    </row>
    <row r="37" spans="1:16" ht="18.600000000000001" thickBot="1">
      <c r="A37" s="600" t="str">
        <f>'Site Vist fomat  (Design)'!A40</f>
        <v>Distance from the sea shore? In Km</v>
      </c>
      <c r="B37" s="604" t="str">
        <f>'Site Vist fomat  (Design)'!B40</f>
        <v>40km</v>
      </c>
      <c r="C37" s="605" t="str">
        <f>'Site Vist fomat  (Design)'!C40</f>
        <v>40km</v>
      </c>
      <c r="D37" s="605" t="str">
        <f>'Site Vist fomat  (Design)'!D40</f>
        <v>40km</v>
      </c>
      <c r="E37" s="605">
        <f>'Site Vist fomat  (Design)'!E40</f>
        <v>0</v>
      </c>
      <c r="F37" s="605">
        <f>'Site Vist fomat  (Design)'!F40</f>
        <v>0</v>
      </c>
      <c r="G37" s="605">
        <f>'Site Vist fomat  (Design)'!G40</f>
        <v>0</v>
      </c>
      <c r="H37" s="605">
        <f>'Site Vist fomat  (Design)'!H40</f>
        <v>0</v>
      </c>
      <c r="I37" s="605">
        <f>'Site Vist fomat  (Design)'!I40</f>
        <v>0</v>
      </c>
      <c r="J37" s="605">
        <f>'Site Vist fomat  (Design)'!J40</f>
        <v>0</v>
      </c>
      <c r="K37" s="605">
        <f>'Site Vist fomat  (Design)'!K40</f>
        <v>0</v>
      </c>
      <c r="L37" s="605">
        <f>'Site Vist fomat  (Design)'!L40</f>
        <v>0</v>
      </c>
      <c r="M37" s="605">
        <f>'Site Vist fomat  (Design)'!M40</f>
        <v>0</v>
      </c>
      <c r="N37" s="605">
        <f>'Site Vist fomat  (Design)'!N40</f>
        <v>0</v>
      </c>
      <c r="O37" s="605">
        <f>'Site Vist fomat  (Design)'!O40</f>
        <v>0</v>
      </c>
      <c r="P37" s="606">
        <f>'Site Vist fomat  (Design)'!P40</f>
        <v>0</v>
      </c>
    </row>
    <row r="38" spans="1:16">
      <c r="A38" s="600" t="str">
        <f>'Site Vist fomat  (Design)'!A41</f>
        <v>Earth pit location identification</v>
      </c>
      <c r="B38" s="604" t="str">
        <f>'Site Vist fomat  (Design)'!B41</f>
        <v>South (front side)</v>
      </c>
      <c r="C38" s="605" t="str">
        <f>'Site Vist fomat  (Design)'!C41</f>
        <v>South (front side)</v>
      </c>
      <c r="D38" s="605" t="str">
        <f>'Site Vist fomat  (Design)'!D41</f>
        <v>At parking area</v>
      </c>
      <c r="E38" s="605">
        <f>'Site Vist fomat  (Design)'!E41</f>
        <v>0</v>
      </c>
      <c r="F38" s="605">
        <f>'Site Vist fomat  (Design)'!F41</f>
        <v>0</v>
      </c>
      <c r="G38" s="605">
        <f>'Site Vist fomat  (Design)'!G41</f>
        <v>0</v>
      </c>
      <c r="H38" s="605">
        <f>'Site Vist fomat  (Design)'!H41</f>
        <v>0</v>
      </c>
      <c r="I38" s="605">
        <f>'Site Vist fomat  (Design)'!I41</f>
        <v>0</v>
      </c>
      <c r="J38" s="605">
        <f>'Site Vist fomat  (Design)'!J41</f>
        <v>0</v>
      </c>
      <c r="K38" s="605">
        <f>'Site Vist fomat  (Design)'!K41</f>
        <v>0</v>
      </c>
      <c r="L38" s="605">
        <f>'Site Vist fomat  (Design)'!L41</f>
        <v>0</v>
      </c>
      <c r="M38" s="605">
        <f>'Site Vist fomat  (Design)'!M41</f>
        <v>0</v>
      </c>
      <c r="N38" s="605">
        <f>'Site Vist fomat  (Design)'!N41</f>
        <v>0</v>
      </c>
      <c r="O38" s="605">
        <f>'Site Vist fomat  (Design)'!O41</f>
        <v>0</v>
      </c>
      <c r="P38" s="606">
        <f>'Site Vist fomat  (Design)'!P41</f>
        <v>0</v>
      </c>
    </row>
    <row r="39" spans="1:16">
      <c r="A39" s="600" t="str">
        <f>'Site Vist fomat  (Design)'!A42</f>
        <v xml:space="preserve">Availability of water system/Water tank for module cleaning </v>
      </c>
      <c r="B39" s="598" t="str">
        <f>'Site Vist fomat  (Design)'!B42</f>
        <v>Available</v>
      </c>
      <c r="C39" s="596" t="str">
        <f>'Site Vist fomat  (Design)'!C42</f>
        <v>Available</v>
      </c>
      <c r="D39" s="596">
        <f>'Site Vist fomat  (Design)'!D42</f>
        <v>0</v>
      </c>
      <c r="E39" s="596">
        <f>'Site Vist fomat  (Design)'!E42</f>
        <v>0</v>
      </c>
      <c r="F39" s="596">
        <f>'Site Vist fomat  (Design)'!F42</f>
        <v>0</v>
      </c>
      <c r="G39" s="596">
        <f>'Site Vist fomat  (Design)'!G42</f>
        <v>0</v>
      </c>
      <c r="H39" s="596">
        <f>'Site Vist fomat  (Design)'!H42</f>
        <v>0</v>
      </c>
      <c r="I39" s="596">
        <f>'Site Vist fomat  (Design)'!I42</f>
        <v>0</v>
      </c>
      <c r="J39" s="596">
        <f>'Site Vist fomat  (Design)'!J42</f>
        <v>0</v>
      </c>
      <c r="K39" s="596">
        <f>'Site Vist fomat  (Design)'!K42</f>
        <v>0</v>
      </c>
      <c r="L39" s="596">
        <f>'Site Vist fomat  (Design)'!L42</f>
        <v>0</v>
      </c>
      <c r="M39" s="596">
        <f>'Site Vist fomat  (Design)'!M42</f>
        <v>0</v>
      </c>
      <c r="N39" s="596">
        <f>'Site Vist fomat  (Design)'!N42</f>
        <v>0</v>
      </c>
      <c r="O39" s="596">
        <f>'Site Vist fomat  (Design)'!O42</f>
        <v>0</v>
      </c>
      <c r="P39" s="599">
        <f>'Site Vist fomat  (Design)'!P42</f>
        <v>0</v>
      </c>
    </row>
    <row r="40" spans="1:16">
      <c r="A40" s="600" t="str">
        <f>'Site Vist fomat  (Design)'!A43</f>
        <v>Type of Water / Quality of water PPM (TDS Level)</v>
      </c>
      <c r="B40" s="598">
        <f>'Site Vist fomat  (Design)'!B43</f>
        <v>0</v>
      </c>
      <c r="C40" s="596">
        <f>'Site Vist fomat  (Design)'!C43</f>
        <v>0</v>
      </c>
      <c r="D40" s="596">
        <f>'Site Vist fomat  (Design)'!D43</f>
        <v>0</v>
      </c>
      <c r="E40" s="596">
        <f>'Site Vist fomat  (Design)'!E43</f>
        <v>0</v>
      </c>
      <c r="F40" s="596">
        <f>'Site Vist fomat  (Design)'!F43</f>
        <v>0</v>
      </c>
      <c r="G40" s="596">
        <f>'Site Vist fomat  (Design)'!G43</f>
        <v>0</v>
      </c>
      <c r="H40" s="596">
        <f>'Site Vist fomat  (Design)'!H43</f>
        <v>0</v>
      </c>
      <c r="I40" s="596">
        <f>'Site Vist fomat  (Design)'!I43</f>
        <v>0</v>
      </c>
      <c r="J40" s="596">
        <f>'Site Vist fomat  (Design)'!J43</f>
        <v>0</v>
      </c>
      <c r="K40" s="596">
        <f>'Site Vist fomat  (Design)'!K43</f>
        <v>0</v>
      </c>
      <c r="L40" s="596">
        <f>'Site Vist fomat  (Design)'!L43</f>
        <v>0</v>
      </c>
      <c r="M40" s="596">
        <f>'Site Vist fomat  (Design)'!M43</f>
        <v>0</v>
      </c>
      <c r="N40" s="596">
        <f>'Site Vist fomat  (Design)'!N43</f>
        <v>0</v>
      </c>
      <c r="O40" s="596">
        <f>'Site Vist fomat  (Design)'!O43</f>
        <v>0</v>
      </c>
      <c r="P40" s="599">
        <f>'Site Vist fomat  (Design)'!P43</f>
        <v>0</v>
      </c>
    </row>
    <row r="41" spans="1:16">
      <c r="A41" s="594" t="str">
        <f>'Site Vist fomat  (Design)'!A44</f>
        <v>Permanent Access to roof location
(None / Monkey Ladder / Step or Staricage Ladder)</v>
      </c>
      <c r="B41" s="598" t="str">
        <f>'Site Vist fomat  (Design)'!B44</f>
        <v>Available</v>
      </c>
      <c r="C41" s="596" t="str">
        <f>'Site Vist fomat  (Design)'!C44</f>
        <v>Available</v>
      </c>
      <c r="D41" s="596" t="str">
        <f>'Site Vist fomat  (Design)'!D44</f>
        <v>NA</v>
      </c>
      <c r="E41" s="596">
        <f>'Site Vist fomat  (Design)'!E44</f>
        <v>0</v>
      </c>
      <c r="F41" s="596">
        <f>'Site Vist fomat  (Design)'!F44</f>
        <v>0</v>
      </c>
      <c r="G41" s="596">
        <f>'Site Vist fomat  (Design)'!G44</f>
        <v>0</v>
      </c>
      <c r="H41" s="596">
        <f>'Site Vist fomat  (Design)'!H44</f>
        <v>0</v>
      </c>
      <c r="I41" s="596">
        <f>'Site Vist fomat  (Design)'!I44</f>
        <v>0</v>
      </c>
      <c r="J41" s="596">
        <f>'Site Vist fomat  (Design)'!J44</f>
        <v>0</v>
      </c>
      <c r="K41" s="596">
        <f>'Site Vist fomat  (Design)'!K44</f>
        <v>0</v>
      </c>
      <c r="L41" s="596">
        <f>'Site Vist fomat  (Design)'!L44</f>
        <v>0</v>
      </c>
      <c r="M41" s="596">
        <f>'Site Vist fomat  (Design)'!M44</f>
        <v>0</v>
      </c>
      <c r="N41" s="596">
        <f>'Site Vist fomat  (Design)'!N44</f>
        <v>0</v>
      </c>
      <c r="O41" s="596">
        <f>'Site Vist fomat  (Design)'!O44</f>
        <v>0</v>
      </c>
      <c r="P41" s="599">
        <f>'Site Vist fomat  (Design)'!P44</f>
        <v>0</v>
      </c>
    </row>
    <row r="42" spans="1:16">
      <c r="A42" s="594" t="str">
        <f>'Site Vist fomat  (Design)'!A45</f>
        <v>Scope of Roof Access</v>
      </c>
      <c r="B42" s="598" t="str">
        <f>'Site Vist fomat  (Design)'!B45</f>
        <v>Client</v>
      </c>
      <c r="C42" s="596" t="str">
        <f>'Site Vist fomat  (Design)'!C45</f>
        <v>Client</v>
      </c>
      <c r="D42" s="596" t="str">
        <f>'Site Vist fomat  (Design)'!D45</f>
        <v>Client</v>
      </c>
      <c r="E42" s="596">
        <f>'Site Vist fomat  (Design)'!E45</f>
        <v>0</v>
      </c>
      <c r="F42" s="596">
        <f>'Site Vist fomat  (Design)'!F45</f>
        <v>0</v>
      </c>
      <c r="G42" s="596">
        <f>'Site Vist fomat  (Design)'!G45</f>
        <v>0</v>
      </c>
      <c r="H42" s="596">
        <f>'Site Vist fomat  (Design)'!H45</f>
        <v>0</v>
      </c>
      <c r="I42" s="596">
        <f>'Site Vist fomat  (Design)'!I45</f>
        <v>0</v>
      </c>
      <c r="J42" s="596">
        <f>'Site Vist fomat  (Design)'!J45</f>
        <v>0</v>
      </c>
      <c r="K42" s="596">
        <f>'Site Vist fomat  (Design)'!K45</f>
        <v>0</v>
      </c>
      <c r="L42" s="596">
        <f>'Site Vist fomat  (Design)'!L45</f>
        <v>0</v>
      </c>
      <c r="M42" s="596">
        <f>'Site Vist fomat  (Design)'!M45</f>
        <v>0</v>
      </c>
      <c r="N42" s="596">
        <f>'Site Vist fomat  (Design)'!N45</f>
        <v>0</v>
      </c>
      <c r="O42" s="596">
        <f>'Site Vist fomat  (Design)'!O45</f>
        <v>0</v>
      </c>
      <c r="P42" s="599">
        <f>'Site Vist fomat  (Design)'!P45</f>
        <v>0</v>
      </c>
    </row>
    <row r="43" spans="1:16">
      <c r="A43" s="600" t="str">
        <f>'Site Vist fomat  (Design)'!A46</f>
        <v>Exisiting Lightening protection system &amp; Coverage radius</v>
      </c>
      <c r="B43" s="598">
        <f>'Site Vist fomat  (Design)'!B46</f>
        <v>0</v>
      </c>
      <c r="C43" s="596">
        <f>'Site Vist fomat  (Design)'!C46</f>
        <v>0</v>
      </c>
      <c r="D43" s="596">
        <f>'Site Vist fomat  (Design)'!D46</f>
        <v>0</v>
      </c>
      <c r="E43" s="596">
        <f>'Site Vist fomat  (Design)'!E46</f>
        <v>0</v>
      </c>
      <c r="F43" s="596">
        <f>'Site Vist fomat  (Design)'!F46</f>
        <v>0</v>
      </c>
      <c r="G43" s="596">
        <f>'Site Vist fomat  (Design)'!G46</f>
        <v>0</v>
      </c>
      <c r="H43" s="596">
        <f>'Site Vist fomat  (Design)'!H46</f>
        <v>0</v>
      </c>
      <c r="I43" s="596">
        <f>'Site Vist fomat  (Design)'!I46</f>
        <v>0</v>
      </c>
      <c r="J43" s="596">
        <f>'Site Vist fomat  (Design)'!J46</f>
        <v>0</v>
      </c>
      <c r="K43" s="596">
        <f>'Site Vist fomat  (Design)'!K46</f>
        <v>0</v>
      </c>
      <c r="L43" s="596">
        <f>'Site Vist fomat  (Design)'!L46</f>
        <v>0</v>
      </c>
      <c r="M43" s="596">
        <f>'Site Vist fomat  (Design)'!M46</f>
        <v>0</v>
      </c>
      <c r="N43" s="596">
        <f>'Site Vist fomat  (Design)'!N46</f>
        <v>0</v>
      </c>
      <c r="O43" s="596">
        <f>'Site Vist fomat  (Design)'!O46</f>
        <v>0</v>
      </c>
      <c r="P43" s="599">
        <f>'Site Vist fomat  (Design)'!P46</f>
        <v>0</v>
      </c>
    </row>
    <row r="44" spans="1:16">
      <c r="A44" s="600" t="str">
        <f>'Site Vist fomat  (Design)'!A47</f>
        <v>Parapet wall availability and Height</v>
      </c>
      <c r="B44" s="598" t="str">
        <f>'Site Vist fomat  (Design)'!B47</f>
        <v>1.2m</v>
      </c>
      <c r="C44" s="596" t="str">
        <f>'Site Vist fomat  (Design)'!C47</f>
        <v>1.2m</v>
      </c>
      <c r="D44" s="596">
        <f>'Site Vist fomat  (Design)'!D47</f>
        <v>0</v>
      </c>
      <c r="E44" s="596">
        <f>'Site Vist fomat  (Design)'!E47</f>
        <v>0</v>
      </c>
      <c r="F44" s="596">
        <f>'Site Vist fomat  (Design)'!F47</f>
        <v>0</v>
      </c>
      <c r="G44" s="596">
        <f>'Site Vist fomat  (Design)'!G47</f>
        <v>0</v>
      </c>
      <c r="H44" s="596">
        <f>'Site Vist fomat  (Design)'!H47</f>
        <v>0</v>
      </c>
      <c r="I44" s="596">
        <f>'Site Vist fomat  (Design)'!I47</f>
        <v>0</v>
      </c>
      <c r="J44" s="596">
        <f>'Site Vist fomat  (Design)'!J47</f>
        <v>0</v>
      </c>
      <c r="K44" s="596">
        <f>'Site Vist fomat  (Design)'!K47</f>
        <v>0</v>
      </c>
      <c r="L44" s="596">
        <f>'Site Vist fomat  (Design)'!L47</f>
        <v>0</v>
      </c>
      <c r="M44" s="596">
        <f>'Site Vist fomat  (Design)'!M47</f>
        <v>0</v>
      </c>
      <c r="N44" s="596">
        <f>'Site Vist fomat  (Design)'!N47</f>
        <v>0</v>
      </c>
      <c r="O44" s="596">
        <f>'Site Vist fomat  (Design)'!O47</f>
        <v>0</v>
      </c>
      <c r="P44" s="599">
        <f>'Site Vist fomat  (Design)'!P47</f>
        <v>0</v>
      </c>
    </row>
    <row r="45" spans="1:16">
      <c r="A45" s="600" t="str">
        <f>'Site Vist fomat  (Design)'!A48</f>
        <v xml:space="preserve">Presence of intermediate column, if yes, height, spacing &amp; dimension of the column </v>
      </c>
      <c r="B45" s="598" t="str">
        <f>'Site Vist fomat  (Design)'!B48</f>
        <v>yes, 10m &amp; 7m</v>
      </c>
      <c r="C45" s="596" t="str">
        <f>'Site Vist fomat  (Design)'!C48</f>
        <v>yes, 10m &amp; 7m</v>
      </c>
      <c r="D45" s="596">
        <f>'Site Vist fomat  (Design)'!D48</f>
        <v>0</v>
      </c>
      <c r="E45" s="596">
        <f>'Site Vist fomat  (Design)'!E48</f>
        <v>0</v>
      </c>
      <c r="F45" s="596">
        <f>'Site Vist fomat  (Design)'!F48</f>
        <v>0</v>
      </c>
      <c r="G45" s="596">
        <f>'Site Vist fomat  (Design)'!G48</f>
        <v>0</v>
      </c>
      <c r="H45" s="596">
        <f>'Site Vist fomat  (Design)'!H48</f>
        <v>0</v>
      </c>
      <c r="I45" s="596">
        <f>'Site Vist fomat  (Design)'!I48</f>
        <v>0</v>
      </c>
      <c r="J45" s="596">
        <f>'Site Vist fomat  (Design)'!J48</f>
        <v>0</v>
      </c>
      <c r="K45" s="596">
        <f>'Site Vist fomat  (Design)'!K48</f>
        <v>0</v>
      </c>
      <c r="L45" s="596">
        <f>'Site Vist fomat  (Design)'!L48</f>
        <v>0</v>
      </c>
      <c r="M45" s="596">
        <f>'Site Vist fomat  (Design)'!M48</f>
        <v>0</v>
      </c>
      <c r="N45" s="596">
        <f>'Site Vist fomat  (Design)'!N48</f>
        <v>0</v>
      </c>
      <c r="O45" s="596">
        <f>'Site Vist fomat  (Design)'!O48</f>
        <v>0</v>
      </c>
      <c r="P45" s="599">
        <f>'Site Vist fomat  (Design)'!P48</f>
        <v>0</v>
      </c>
    </row>
    <row r="46" spans="1:16">
      <c r="A46" s="600" t="str">
        <f>'Site Vist fomat  (Design)'!A49</f>
        <v>Water harvesting availability</v>
      </c>
      <c r="B46" s="598">
        <f>'Site Vist fomat  (Design)'!B49</f>
        <v>0</v>
      </c>
      <c r="C46" s="596">
        <f>'Site Vist fomat  (Design)'!C49</f>
        <v>0</v>
      </c>
      <c r="D46" s="596">
        <f>'Site Vist fomat  (Design)'!D49</f>
        <v>0</v>
      </c>
      <c r="E46" s="596">
        <f>'Site Vist fomat  (Design)'!E49</f>
        <v>0</v>
      </c>
      <c r="F46" s="596">
        <f>'Site Vist fomat  (Design)'!F49</f>
        <v>0</v>
      </c>
      <c r="G46" s="596">
        <f>'Site Vist fomat  (Design)'!G49</f>
        <v>0</v>
      </c>
      <c r="H46" s="596">
        <f>'Site Vist fomat  (Design)'!H49</f>
        <v>0</v>
      </c>
      <c r="I46" s="596">
        <f>'Site Vist fomat  (Design)'!I49</f>
        <v>0</v>
      </c>
      <c r="J46" s="596">
        <f>'Site Vist fomat  (Design)'!J49</f>
        <v>0</v>
      </c>
      <c r="K46" s="596">
        <f>'Site Vist fomat  (Design)'!K49</f>
        <v>0</v>
      </c>
      <c r="L46" s="596">
        <f>'Site Vist fomat  (Design)'!L49</f>
        <v>0</v>
      </c>
      <c r="M46" s="596">
        <f>'Site Vist fomat  (Design)'!M49</f>
        <v>0</v>
      </c>
      <c r="N46" s="596">
        <f>'Site Vist fomat  (Design)'!N49</f>
        <v>0</v>
      </c>
      <c r="O46" s="596">
        <f>'Site Vist fomat  (Design)'!O49</f>
        <v>0</v>
      </c>
      <c r="P46" s="599">
        <f>'Site Vist fomat  (Design)'!P49</f>
        <v>0</v>
      </c>
    </row>
    <row r="47" spans="1:16">
      <c r="A47" s="600" t="str">
        <f>'Site Vist fomat  (Design)'!A50</f>
        <v>Roof penetration is allowed or not (penetration if any shall be sealed properly)</v>
      </c>
      <c r="B47" s="598">
        <f>'Site Vist fomat  (Design)'!B50</f>
        <v>0</v>
      </c>
      <c r="C47" s="596">
        <f>'Site Vist fomat  (Design)'!C50</f>
        <v>0</v>
      </c>
      <c r="D47" s="596">
        <f>'Site Vist fomat  (Design)'!D50</f>
        <v>0</v>
      </c>
      <c r="E47" s="596">
        <f>'Site Vist fomat  (Design)'!E50</f>
        <v>0</v>
      </c>
      <c r="F47" s="596">
        <f>'Site Vist fomat  (Design)'!F50</f>
        <v>0</v>
      </c>
      <c r="G47" s="596">
        <f>'Site Vist fomat  (Design)'!G50</f>
        <v>0</v>
      </c>
      <c r="H47" s="596">
        <f>'Site Vist fomat  (Design)'!H50</f>
        <v>0</v>
      </c>
      <c r="I47" s="596">
        <f>'Site Vist fomat  (Design)'!I50</f>
        <v>0</v>
      </c>
      <c r="J47" s="596">
        <f>'Site Vist fomat  (Design)'!J50</f>
        <v>0</v>
      </c>
      <c r="K47" s="596">
        <f>'Site Vist fomat  (Design)'!K50</f>
        <v>0</v>
      </c>
      <c r="L47" s="596">
        <f>'Site Vist fomat  (Design)'!L50</f>
        <v>0</v>
      </c>
      <c r="M47" s="596">
        <f>'Site Vist fomat  (Design)'!M50</f>
        <v>0</v>
      </c>
      <c r="N47" s="596">
        <f>'Site Vist fomat  (Design)'!N50</f>
        <v>0</v>
      </c>
      <c r="O47" s="596">
        <f>'Site Vist fomat  (Design)'!O50</f>
        <v>0</v>
      </c>
      <c r="P47" s="599">
        <f>'Site Vist fomat  (Design)'!P50</f>
        <v>0</v>
      </c>
    </row>
    <row r="48" spans="1:16" ht="18.600000000000001" thickBot="1">
      <c r="A48" s="607" t="str">
        <f>'Site Vist fomat  (Design)'!A51</f>
        <v>Any Observations/Remarks</v>
      </c>
      <c r="B48" s="601" t="str">
        <f>'Site Vist fomat  (Design)'!B51</f>
        <v>intermediate columns, AHU unit, Water tank present at roof</v>
      </c>
      <c r="C48" s="602" t="str">
        <f>'Site Vist fomat  (Design)'!C51</f>
        <v>intermediate columns, AHU unit, Water tank present at roof</v>
      </c>
      <c r="D48" s="602">
        <f>'Site Vist fomat  (Design)'!D51</f>
        <v>0</v>
      </c>
      <c r="E48" s="602">
        <f>'Site Vist fomat  (Design)'!E51</f>
        <v>0</v>
      </c>
      <c r="F48" s="602">
        <f>'Site Vist fomat  (Design)'!F51</f>
        <v>0</v>
      </c>
      <c r="G48" s="602">
        <f>'Site Vist fomat  (Design)'!G51</f>
        <v>0</v>
      </c>
      <c r="H48" s="602">
        <f>'Site Vist fomat  (Design)'!H51</f>
        <v>0</v>
      </c>
      <c r="I48" s="602">
        <f>'Site Vist fomat  (Design)'!I51</f>
        <v>0</v>
      </c>
      <c r="J48" s="602">
        <f>'Site Vist fomat  (Design)'!J51</f>
        <v>0</v>
      </c>
      <c r="K48" s="602">
        <f>'Site Vist fomat  (Design)'!K51</f>
        <v>0</v>
      </c>
      <c r="L48" s="602">
        <f>'Site Vist fomat  (Design)'!L51</f>
        <v>0</v>
      </c>
      <c r="M48" s="602">
        <f>'Site Vist fomat  (Design)'!M51</f>
        <v>0</v>
      </c>
      <c r="N48" s="602">
        <f>'Site Vist fomat  (Design)'!N51</f>
        <v>0</v>
      </c>
      <c r="O48" s="602">
        <f>'Site Vist fomat  (Design)'!O51</f>
        <v>0</v>
      </c>
      <c r="P48" s="603">
        <f>'Site Vist fomat  (Design)'!P51</f>
        <v>0</v>
      </c>
    </row>
    <row r="49" spans="1:16" ht="18.600000000000001" thickBot="1">
      <c r="A49" s="2648" t="str">
        <f>'Site Vist fomat  (Design)'!A123</f>
        <v>Logistic, Storage &amp; Execution Details</v>
      </c>
      <c r="B49" s="2649"/>
      <c r="C49" s="2649"/>
      <c r="D49" s="2649"/>
      <c r="E49" s="2649"/>
      <c r="F49" s="2649"/>
      <c r="G49" s="2649"/>
      <c r="H49" s="2649"/>
      <c r="I49" s="2649"/>
      <c r="J49" s="2649"/>
      <c r="K49" s="2649"/>
      <c r="L49" s="2649"/>
      <c r="M49" s="2649"/>
      <c r="N49" s="2649"/>
      <c r="O49" s="2649"/>
      <c r="P49" s="2650"/>
    </row>
    <row r="50" spans="1:16">
      <c r="A50" s="551" t="str">
        <f>'Site Vist fomat  (Design)'!A124</f>
        <v xml:space="preserve">Is Site reachable through road? </v>
      </c>
      <c r="B50" s="608" t="str">
        <f>'Site Vist fomat  (Design)'!B124</f>
        <v>Yes</v>
      </c>
      <c r="C50" s="609" t="str">
        <f>'Site Vist fomat  (Design)'!C124</f>
        <v>No</v>
      </c>
      <c r="D50" s="609"/>
      <c r="E50" s="609"/>
      <c r="F50" s="593"/>
      <c r="G50" s="593"/>
      <c r="H50" s="593"/>
      <c r="I50" s="593"/>
      <c r="J50" s="593"/>
      <c r="K50" s="593"/>
      <c r="L50" s="593"/>
      <c r="M50" s="593"/>
      <c r="N50" s="593"/>
      <c r="O50" s="593"/>
      <c r="P50" s="550"/>
    </row>
    <row r="51" spans="1:16">
      <c r="A51" s="551" t="str">
        <f>'Site Vist fomat  (Design)'!D124</f>
        <v>Storage Space for materials        (L x W)</v>
      </c>
      <c r="B51" s="610">
        <f>'Site Vist fomat  (Design)'!E124</f>
        <v>0</v>
      </c>
      <c r="C51" s="611" t="str">
        <f>'Site Vist fomat  (Design)'!F124</f>
        <v>Place</v>
      </c>
      <c r="D51" s="611" t="str">
        <f>'Site Vist fomat  (Design)'!G124</f>
        <v>Distance</v>
      </c>
      <c r="E51" s="611"/>
      <c r="F51" s="612"/>
      <c r="G51" s="612"/>
      <c r="H51" s="612"/>
      <c r="I51" s="612"/>
      <c r="J51" s="612"/>
      <c r="K51" s="612"/>
      <c r="L51" s="612"/>
      <c r="M51" s="612"/>
      <c r="N51" s="612"/>
      <c r="O51" s="612"/>
      <c r="P51" s="562"/>
    </row>
    <row r="52" spans="1:16" ht="36">
      <c r="A52" s="613" t="str">
        <f>'Site Vist fomat  (Design)'!A125</f>
        <v>Can a truck of 40 feet container reach site?
(Observation/Dimension/Photo)</v>
      </c>
      <c r="B52" s="610">
        <f>'Site Vist fomat  (Design)'!B125</f>
        <v>0</v>
      </c>
      <c r="C52" s="611"/>
      <c r="D52" s="611"/>
      <c r="E52" s="611"/>
      <c r="F52" s="612"/>
      <c r="G52" s="612"/>
      <c r="H52" s="612"/>
      <c r="I52" s="612"/>
      <c r="J52" s="612"/>
      <c r="K52" s="612"/>
      <c r="L52" s="612"/>
      <c r="M52" s="612"/>
      <c r="N52" s="612"/>
      <c r="O52" s="612"/>
      <c r="P52" s="562"/>
    </row>
    <row r="53" spans="1:16" ht="119.25" customHeight="1">
      <c r="A53" s="613" t="str">
        <f>'Site Vist fomat  (Design)'!C125</f>
        <v xml:space="preserve">Can a Hydra or Crane can move around structures on side 
(Yes/No)
East ____, West ___, North ___, South ___
Attach Photos </v>
      </c>
      <c r="B53" s="610">
        <f>'Site Vist fomat  (Design)'!D125</f>
        <v>0</v>
      </c>
      <c r="C53" s="611">
        <f>'Site Vist fomat  (Design)'!E125</f>
        <v>0</v>
      </c>
      <c r="D53" s="611">
        <f>'Site Vist fomat  (Design)'!F125</f>
        <v>0</v>
      </c>
      <c r="E53" s="611">
        <f>'Site Vist fomat  (Design)'!G125</f>
        <v>0</v>
      </c>
      <c r="F53" s="612"/>
      <c r="G53" s="612"/>
      <c r="H53" s="612"/>
      <c r="I53" s="612"/>
      <c r="J53" s="612"/>
      <c r="K53" s="612"/>
      <c r="L53" s="612"/>
      <c r="M53" s="612"/>
      <c r="N53" s="612"/>
      <c r="O53" s="612"/>
      <c r="P53" s="562"/>
    </row>
    <row r="54" spans="1:16">
      <c r="A54" s="551" t="str">
        <f>'Site Vist fomat  (Design)'!A126</f>
        <v>No of Working Hours allowed for execution?</v>
      </c>
      <c r="B54" s="610">
        <f>'Site Vist fomat  (Design)'!B126</f>
        <v>0</v>
      </c>
      <c r="C54" s="611"/>
      <c r="D54" s="611"/>
      <c r="E54" s="611"/>
      <c r="F54" s="612"/>
      <c r="G54" s="612"/>
      <c r="H54" s="612"/>
      <c r="I54" s="612"/>
      <c r="J54" s="612"/>
      <c r="K54" s="612"/>
      <c r="L54" s="612"/>
      <c r="M54" s="612"/>
      <c r="N54" s="612"/>
      <c r="O54" s="612"/>
      <c r="P54" s="562"/>
    </row>
    <row r="55" spans="1:16">
      <c r="A55" s="551" t="str">
        <f>'Site Vist fomat  (Design)'!C126</f>
        <v>No of Workers allowed at Site?</v>
      </c>
      <c r="B55" s="610">
        <f>'Site Vist fomat  (Design)'!D126</f>
        <v>0</v>
      </c>
      <c r="C55" s="611"/>
      <c r="D55" s="611"/>
      <c r="E55" s="611"/>
      <c r="F55" s="612"/>
      <c r="G55" s="612"/>
      <c r="H55" s="612"/>
      <c r="I55" s="612"/>
      <c r="J55" s="612"/>
      <c r="K55" s="612"/>
      <c r="L55" s="612"/>
      <c r="M55" s="612"/>
      <c r="N55" s="612"/>
      <c r="O55" s="612"/>
      <c r="P55" s="562"/>
    </row>
    <row r="56" spans="1:16" ht="18.600000000000001" thickBot="1">
      <c r="A56" s="613" t="str">
        <f>'Site Vist fomat  (Design)'!E126</f>
        <v>Any other restrictions related to execution</v>
      </c>
      <c r="B56" s="581">
        <f>'Site Vist fomat  (Design)'!F126</f>
        <v>0</v>
      </c>
      <c r="C56" s="614">
        <f>'Site Vist fomat  (Design)'!G126</f>
        <v>0</v>
      </c>
      <c r="D56" s="614"/>
      <c r="E56" s="614"/>
      <c r="F56" s="615"/>
      <c r="G56" s="615"/>
      <c r="H56" s="615"/>
      <c r="I56" s="615"/>
      <c r="J56" s="615"/>
      <c r="K56" s="615"/>
      <c r="L56" s="615"/>
      <c r="M56" s="615"/>
      <c r="N56" s="615"/>
      <c r="O56" s="615"/>
      <c r="P56" s="616"/>
    </row>
    <row r="57" spans="1:16" s="571" customFormat="1" ht="21.6" thickBot="1">
      <c r="A57" s="2615" t="str">
        <f>'Site Vist fomat  (Design)'!A52</f>
        <v>RCC Roof Details</v>
      </c>
      <c r="B57" s="2633"/>
      <c r="C57" s="2633"/>
      <c r="D57" s="2633"/>
      <c r="E57" s="2633"/>
      <c r="F57" s="2633"/>
      <c r="G57" s="2633"/>
      <c r="H57" s="2633"/>
      <c r="I57" s="2633"/>
      <c r="J57" s="2633"/>
      <c r="K57" s="2633"/>
      <c r="L57" s="2633"/>
      <c r="M57" s="2633"/>
      <c r="N57" s="2633"/>
      <c r="O57" s="2633"/>
      <c r="P57" s="2634"/>
    </row>
    <row r="58" spans="1:16" s="571" customFormat="1">
      <c r="A58" s="591" t="str">
        <f>'Site Vist fomat  (Design)'!A53</f>
        <v>Water proofing type &amp; Thickness in mm</v>
      </c>
      <c r="B58" s="617">
        <f>'Site Vist fomat  (Design)'!B53</f>
        <v>0</v>
      </c>
      <c r="C58" s="618">
        <f>'Site Vist fomat  (Design)'!C53</f>
        <v>0</v>
      </c>
      <c r="D58" s="618">
        <f>'Site Vist fomat  (Design)'!D53</f>
        <v>0</v>
      </c>
      <c r="E58" s="618">
        <f>'Site Vist fomat  (Design)'!E53</f>
        <v>0</v>
      </c>
      <c r="F58" s="618">
        <f>'Site Vist fomat  (Design)'!F53</f>
        <v>0</v>
      </c>
      <c r="G58" s="618">
        <f>'Site Vist fomat  (Design)'!G53</f>
        <v>0</v>
      </c>
      <c r="H58" s="618">
        <f>'Site Vist fomat  (Design)'!H53</f>
        <v>0</v>
      </c>
      <c r="I58" s="618">
        <f>'Site Vist fomat  (Design)'!I53</f>
        <v>0</v>
      </c>
      <c r="J58" s="618">
        <f>'Site Vist fomat  (Design)'!J53</f>
        <v>0</v>
      </c>
      <c r="K58" s="618">
        <f>'Site Vist fomat  (Design)'!K53</f>
        <v>0</v>
      </c>
      <c r="L58" s="618">
        <f>'Site Vist fomat  (Design)'!L53</f>
        <v>0</v>
      </c>
      <c r="M58" s="618">
        <f>'Site Vist fomat  (Design)'!M53</f>
        <v>0</v>
      </c>
      <c r="N58" s="618">
        <f>'Site Vist fomat  (Design)'!N53</f>
        <v>0</v>
      </c>
      <c r="O58" s="618">
        <f>'Site Vist fomat  (Design)'!O53</f>
        <v>0</v>
      </c>
      <c r="P58" s="618">
        <f>'Site Vist fomat  (Design)'!P53</f>
        <v>0</v>
      </c>
    </row>
    <row r="59" spans="1:16" s="571" customFormat="1">
      <c r="A59" s="591" t="str">
        <f>'Site Vist fomat  (Design)'!A54</f>
        <v>Waterproofing removal permission (Yes/No)</v>
      </c>
      <c r="B59" s="617">
        <f>'Site Vist fomat  (Design)'!B54</f>
        <v>0</v>
      </c>
      <c r="C59" s="618">
        <f>'Site Vist fomat  (Design)'!C54</f>
        <v>0</v>
      </c>
      <c r="D59" s="618">
        <f>'Site Vist fomat  (Design)'!D54</f>
        <v>0</v>
      </c>
      <c r="E59" s="618">
        <f>'Site Vist fomat  (Design)'!E54</f>
        <v>0</v>
      </c>
      <c r="F59" s="618">
        <f>'Site Vist fomat  (Design)'!F54</f>
        <v>0</v>
      </c>
      <c r="G59" s="618">
        <f>'Site Vist fomat  (Design)'!G54</f>
        <v>0</v>
      </c>
      <c r="H59" s="618">
        <f>'Site Vist fomat  (Design)'!H54</f>
        <v>0</v>
      </c>
      <c r="I59" s="618">
        <f>'Site Vist fomat  (Design)'!I54</f>
        <v>0</v>
      </c>
      <c r="J59" s="618">
        <f>'Site Vist fomat  (Design)'!J54</f>
        <v>0</v>
      </c>
      <c r="K59" s="618">
        <f>'Site Vist fomat  (Design)'!K54</f>
        <v>0</v>
      </c>
      <c r="L59" s="618">
        <f>'Site Vist fomat  (Design)'!L54</f>
        <v>0</v>
      </c>
      <c r="M59" s="618">
        <f>'Site Vist fomat  (Design)'!M54</f>
        <v>0</v>
      </c>
      <c r="N59" s="618">
        <f>'Site Vist fomat  (Design)'!N54</f>
        <v>0</v>
      </c>
      <c r="O59" s="618">
        <f>'Site Vist fomat  (Design)'!O54</f>
        <v>0</v>
      </c>
      <c r="P59" s="618">
        <f>'Site Vist fomat  (Design)'!P54</f>
        <v>0</v>
      </c>
    </row>
    <row r="60" spans="1:16" ht="19.5" customHeight="1">
      <c r="A60" s="591" t="str">
        <f>'Site Vist fomat  (Design)'!A55</f>
        <v>Height of Building in mtrs</v>
      </c>
      <c r="B60" s="617">
        <f>'Site Vist fomat  (Design)'!B55</f>
        <v>0</v>
      </c>
      <c r="C60" s="618">
        <f>'Site Vist fomat  (Design)'!C55</f>
        <v>0</v>
      </c>
      <c r="D60" s="618">
        <f>'Site Vist fomat  (Design)'!D55</f>
        <v>0</v>
      </c>
      <c r="E60" s="618">
        <f>'Site Vist fomat  (Design)'!E55</f>
        <v>0</v>
      </c>
      <c r="F60" s="618">
        <f>'Site Vist fomat  (Design)'!F55</f>
        <v>0</v>
      </c>
      <c r="G60" s="618">
        <f>'Site Vist fomat  (Design)'!G55</f>
        <v>0</v>
      </c>
      <c r="H60" s="618">
        <f>'Site Vist fomat  (Design)'!H55</f>
        <v>0</v>
      </c>
      <c r="I60" s="618">
        <f>'Site Vist fomat  (Design)'!I55</f>
        <v>0</v>
      </c>
      <c r="J60" s="618">
        <f>'Site Vist fomat  (Design)'!J55</f>
        <v>0</v>
      </c>
      <c r="K60" s="618">
        <f>'Site Vist fomat  (Design)'!K55</f>
        <v>0</v>
      </c>
      <c r="L60" s="618">
        <f>'Site Vist fomat  (Design)'!L55</f>
        <v>0</v>
      </c>
      <c r="M60" s="618">
        <f>'Site Vist fomat  (Design)'!M55</f>
        <v>0</v>
      </c>
      <c r="N60" s="618">
        <f>'Site Vist fomat  (Design)'!N55</f>
        <v>0</v>
      </c>
      <c r="O60" s="618">
        <f>'Site Vist fomat  (Design)'!O55</f>
        <v>0</v>
      </c>
      <c r="P60" s="618">
        <f>'Site Vist fomat  (Design)'!P55</f>
        <v>0</v>
      </c>
    </row>
    <row r="61" spans="1:16" ht="20.25" customHeight="1">
      <c r="A61" s="591" t="str">
        <f>'Site Vist fomat  (Design)'!A56</f>
        <v>Permission for chipping</v>
      </c>
      <c r="B61" s="617">
        <f>'Site Vist fomat  (Design)'!B56</f>
        <v>0</v>
      </c>
      <c r="C61" s="618">
        <f>'Site Vist fomat  (Design)'!C56</f>
        <v>0</v>
      </c>
      <c r="D61" s="618">
        <f>'Site Vist fomat  (Design)'!D56</f>
        <v>0</v>
      </c>
      <c r="E61" s="618">
        <f>'Site Vist fomat  (Design)'!E56</f>
        <v>0</v>
      </c>
      <c r="F61" s="618">
        <f>'Site Vist fomat  (Design)'!F56</f>
        <v>0</v>
      </c>
      <c r="G61" s="618">
        <f>'Site Vist fomat  (Design)'!G56</f>
        <v>0</v>
      </c>
      <c r="H61" s="618">
        <f>'Site Vist fomat  (Design)'!H56</f>
        <v>0</v>
      </c>
      <c r="I61" s="618">
        <f>'Site Vist fomat  (Design)'!I56</f>
        <v>0</v>
      </c>
      <c r="J61" s="618">
        <f>'Site Vist fomat  (Design)'!J56</f>
        <v>0</v>
      </c>
      <c r="K61" s="618">
        <f>'Site Vist fomat  (Design)'!K56</f>
        <v>0</v>
      </c>
      <c r="L61" s="618">
        <f>'Site Vist fomat  (Design)'!L56</f>
        <v>0</v>
      </c>
      <c r="M61" s="618">
        <f>'Site Vist fomat  (Design)'!M56</f>
        <v>0</v>
      </c>
      <c r="N61" s="618">
        <f>'Site Vist fomat  (Design)'!N56</f>
        <v>0</v>
      </c>
      <c r="O61" s="618">
        <f>'Site Vist fomat  (Design)'!O56</f>
        <v>0</v>
      </c>
      <c r="P61" s="618">
        <f>'Site Vist fomat  (Design)'!P56</f>
        <v>0</v>
      </c>
    </row>
    <row r="62" spans="1:16" ht="21.75" customHeight="1">
      <c r="A62" s="591" t="str">
        <f>'Site Vist fomat  (Design)'!A57</f>
        <v xml:space="preserve">Year of construction </v>
      </c>
      <c r="B62" s="617">
        <f>'Site Vist fomat  (Design)'!B57</f>
        <v>0</v>
      </c>
      <c r="C62" s="618" t="str">
        <f>'Site Vist fomat  (Design)'!C57</f>
        <v>2010 around</v>
      </c>
      <c r="D62" s="618">
        <f>'Site Vist fomat  (Design)'!D57</f>
        <v>0</v>
      </c>
      <c r="E62" s="618">
        <f>'Site Vist fomat  (Design)'!E57</f>
        <v>0</v>
      </c>
      <c r="F62" s="618">
        <f>'Site Vist fomat  (Design)'!F57</f>
        <v>0</v>
      </c>
      <c r="G62" s="618">
        <f>'Site Vist fomat  (Design)'!G57</f>
        <v>0</v>
      </c>
      <c r="H62" s="618">
        <f>'Site Vist fomat  (Design)'!H57</f>
        <v>0</v>
      </c>
      <c r="I62" s="618">
        <f>'Site Vist fomat  (Design)'!I57</f>
        <v>0</v>
      </c>
      <c r="J62" s="618">
        <f>'Site Vist fomat  (Design)'!J57</f>
        <v>0</v>
      </c>
      <c r="K62" s="618">
        <f>'Site Vist fomat  (Design)'!K57</f>
        <v>0</v>
      </c>
      <c r="L62" s="618">
        <f>'Site Vist fomat  (Design)'!L57</f>
        <v>0</v>
      </c>
      <c r="M62" s="618">
        <f>'Site Vist fomat  (Design)'!M57</f>
        <v>0</v>
      </c>
      <c r="N62" s="618">
        <f>'Site Vist fomat  (Design)'!N57</f>
        <v>0</v>
      </c>
      <c r="O62" s="618">
        <f>'Site Vist fomat  (Design)'!O57</f>
        <v>0</v>
      </c>
      <c r="P62" s="618">
        <f>'Site Vist fomat  (Design)'!P57</f>
        <v>0</v>
      </c>
    </row>
    <row r="63" spans="1:16">
      <c r="A63" s="591" t="str">
        <f>'Site Vist fomat  (Design)'!A58</f>
        <v xml:space="preserve">Roof Area (Sqm) </v>
      </c>
      <c r="B63" s="617">
        <f>'Site Vist fomat  (Design)'!B58</f>
        <v>0</v>
      </c>
      <c r="C63" s="618">
        <f>'Site Vist fomat  (Design)'!C58</f>
        <v>0</v>
      </c>
      <c r="D63" s="618">
        <f>'Site Vist fomat  (Design)'!D58</f>
        <v>0</v>
      </c>
      <c r="E63" s="618">
        <f>'Site Vist fomat  (Design)'!E58</f>
        <v>0</v>
      </c>
      <c r="F63" s="618">
        <f>'Site Vist fomat  (Design)'!F58</f>
        <v>0</v>
      </c>
      <c r="G63" s="618">
        <f>'Site Vist fomat  (Design)'!G58</f>
        <v>0</v>
      </c>
      <c r="H63" s="618">
        <f>'Site Vist fomat  (Design)'!H58</f>
        <v>0</v>
      </c>
      <c r="I63" s="618">
        <f>'Site Vist fomat  (Design)'!I58</f>
        <v>0</v>
      </c>
      <c r="J63" s="618">
        <f>'Site Vist fomat  (Design)'!J58</f>
        <v>0</v>
      </c>
      <c r="K63" s="618">
        <f>'Site Vist fomat  (Design)'!K58</f>
        <v>0</v>
      </c>
      <c r="L63" s="618">
        <f>'Site Vist fomat  (Design)'!L58</f>
        <v>0</v>
      </c>
      <c r="M63" s="618">
        <f>'Site Vist fomat  (Design)'!M58</f>
        <v>0</v>
      </c>
      <c r="N63" s="618">
        <f>'Site Vist fomat  (Design)'!N58</f>
        <v>0</v>
      </c>
      <c r="O63" s="618">
        <f>'Site Vist fomat  (Design)'!O58</f>
        <v>0</v>
      </c>
      <c r="P63" s="618">
        <f>'Site Vist fomat  (Design)'!P58</f>
        <v>0</v>
      </c>
    </row>
    <row r="64" spans="1:16" ht="20.25" customHeight="1">
      <c r="A64" s="591" t="str">
        <f>'Site Vist fomat  (Design)'!A59</f>
        <v>Roof area available for solar installation (Sqm)</v>
      </c>
      <c r="B64" s="617">
        <f>'Site Vist fomat  (Design)'!B59</f>
        <v>250</v>
      </c>
      <c r="C64" s="618">
        <f>'Site Vist fomat  (Design)'!C59</f>
        <v>2030</v>
      </c>
      <c r="D64" s="618">
        <f>'Site Vist fomat  (Design)'!D59</f>
        <v>0</v>
      </c>
      <c r="E64" s="618">
        <f>'Site Vist fomat  (Design)'!E59</f>
        <v>0</v>
      </c>
      <c r="F64" s="618">
        <f>'Site Vist fomat  (Design)'!F59</f>
        <v>0</v>
      </c>
      <c r="G64" s="618">
        <f>'Site Vist fomat  (Design)'!G59</f>
        <v>0</v>
      </c>
      <c r="H64" s="618">
        <f>'Site Vist fomat  (Design)'!H59</f>
        <v>0</v>
      </c>
      <c r="I64" s="618">
        <f>'Site Vist fomat  (Design)'!I59</f>
        <v>0</v>
      </c>
      <c r="J64" s="618">
        <f>'Site Vist fomat  (Design)'!J59</f>
        <v>0</v>
      </c>
      <c r="K64" s="618">
        <f>'Site Vist fomat  (Design)'!K59</f>
        <v>0</v>
      </c>
      <c r="L64" s="618">
        <f>'Site Vist fomat  (Design)'!L59</f>
        <v>0</v>
      </c>
      <c r="M64" s="618">
        <f>'Site Vist fomat  (Design)'!M59</f>
        <v>0</v>
      </c>
      <c r="N64" s="618">
        <f>'Site Vist fomat  (Design)'!N59</f>
        <v>0</v>
      </c>
      <c r="O64" s="618">
        <f>'Site Vist fomat  (Design)'!O59</f>
        <v>0</v>
      </c>
      <c r="P64" s="618">
        <f>'Site Vist fomat  (Design)'!P59</f>
        <v>0</v>
      </c>
    </row>
    <row r="65" spans="1:16">
      <c r="A65" s="591" t="str">
        <f>'Site Vist fomat  (Design)'!A61</f>
        <v>Thickness of slab in mm</v>
      </c>
      <c r="B65" s="617">
        <f>'Site Vist fomat  (Design)'!B61</f>
        <v>0</v>
      </c>
      <c r="C65" s="618">
        <f>'Site Vist fomat  (Design)'!C61</f>
        <v>0</v>
      </c>
      <c r="D65" s="618">
        <f>'Site Vist fomat  (Design)'!D61</f>
        <v>0</v>
      </c>
      <c r="E65" s="618">
        <f>'Site Vist fomat  (Design)'!E61</f>
        <v>0</v>
      </c>
      <c r="F65" s="618">
        <f>'Site Vist fomat  (Design)'!F61</f>
        <v>0</v>
      </c>
      <c r="G65" s="618">
        <f>'Site Vist fomat  (Design)'!G61</f>
        <v>0</v>
      </c>
      <c r="H65" s="618">
        <f>'Site Vist fomat  (Design)'!H61</f>
        <v>0</v>
      </c>
      <c r="I65" s="618">
        <f>'Site Vist fomat  (Design)'!I61</f>
        <v>0</v>
      </c>
      <c r="J65" s="618">
        <f>'Site Vist fomat  (Design)'!J61</f>
        <v>0</v>
      </c>
      <c r="K65" s="618">
        <f>'Site Vist fomat  (Design)'!K61</f>
        <v>0</v>
      </c>
      <c r="L65" s="618">
        <f>'Site Vist fomat  (Design)'!L61</f>
        <v>0</v>
      </c>
      <c r="M65" s="618">
        <f>'Site Vist fomat  (Design)'!M61</f>
        <v>0</v>
      </c>
      <c r="N65" s="618">
        <f>'Site Vist fomat  (Design)'!N61</f>
        <v>0</v>
      </c>
      <c r="O65" s="618">
        <f>'Site Vist fomat  (Design)'!O61</f>
        <v>0</v>
      </c>
      <c r="P65" s="618">
        <f>'Site Vist fomat  (Design)'!P61</f>
        <v>0</v>
      </c>
    </row>
    <row r="66" spans="1:16" ht="18.600000000000001" thickBot="1">
      <c r="A66" s="619" t="str">
        <f>'Site Vist fomat  (Design)'!A62</f>
        <v xml:space="preserve">Proposed structure height in mm </v>
      </c>
      <c r="B66" s="620" t="str">
        <f>'Site Vist fomat  (Design)'!B62</f>
        <v>3m</v>
      </c>
      <c r="C66" s="621" t="str">
        <f>'Site Vist fomat  (Design)'!C62</f>
        <v>3m</v>
      </c>
      <c r="D66" s="621">
        <f>'Site Vist fomat  (Design)'!D62</f>
        <v>0</v>
      </c>
      <c r="E66" s="621">
        <f>'Site Vist fomat  (Design)'!E62</f>
        <v>0</v>
      </c>
      <c r="F66" s="621">
        <f>'Site Vist fomat  (Design)'!F62</f>
        <v>0</v>
      </c>
      <c r="G66" s="621">
        <f>'Site Vist fomat  (Design)'!G62</f>
        <v>0</v>
      </c>
      <c r="H66" s="621">
        <f>'Site Vist fomat  (Design)'!H62</f>
        <v>0</v>
      </c>
      <c r="I66" s="621">
        <f>'Site Vist fomat  (Design)'!I62</f>
        <v>0</v>
      </c>
      <c r="J66" s="621">
        <f>'Site Vist fomat  (Design)'!J62</f>
        <v>0</v>
      </c>
      <c r="K66" s="621">
        <f>'Site Vist fomat  (Design)'!K62</f>
        <v>0</v>
      </c>
      <c r="L66" s="621">
        <f>'Site Vist fomat  (Design)'!L62</f>
        <v>0</v>
      </c>
      <c r="M66" s="621">
        <f>'Site Vist fomat  (Design)'!M62</f>
        <v>0</v>
      </c>
      <c r="N66" s="621">
        <f>'Site Vist fomat  (Design)'!N62</f>
        <v>0</v>
      </c>
      <c r="O66" s="621">
        <f>'Site Vist fomat  (Design)'!O62</f>
        <v>0</v>
      </c>
      <c r="P66" s="621">
        <f>'Site Vist fomat  (Design)'!P62</f>
        <v>0</v>
      </c>
    </row>
    <row r="67" spans="1:16" s="571" customFormat="1" ht="21.6" thickBot="1">
      <c r="A67" s="2615" t="str">
        <f>'Site Vist fomat  (Design)'!A63</f>
        <v>Shed Roof Details</v>
      </c>
      <c r="B67" s="2633"/>
      <c r="C67" s="2633"/>
      <c r="D67" s="2633"/>
      <c r="E67" s="2633"/>
      <c r="F67" s="2633"/>
      <c r="G67" s="2633"/>
      <c r="H67" s="2633"/>
      <c r="I67" s="2633"/>
      <c r="J67" s="2633"/>
      <c r="K67" s="2633"/>
      <c r="L67" s="2633"/>
      <c r="M67" s="2633"/>
      <c r="N67" s="2633"/>
      <c r="O67" s="2633"/>
      <c r="P67" s="2634"/>
    </row>
    <row r="68" spans="1:16" s="571" customFormat="1">
      <c r="A68" s="622" t="str">
        <f>'Site Vist fomat  (Design)'!A64</f>
        <v>Height of the building at edge in mtrs</v>
      </c>
      <c r="B68" s="623">
        <f>'Site Vist fomat  (Design)'!B64</f>
        <v>0</v>
      </c>
      <c r="C68" s="624">
        <f>'Site Vist fomat  (Design)'!C64</f>
        <v>0</v>
      </c>
      <c r="D68" s="624">
        <f>'Site Vist fomat  (Design)'!D64</f>
        <v>0</v>
      </c>
      <c r="E68" s="624">
        <f>'Site Vist fomat  (Design)'!E64</f>
        <v>0</v>
      </c>
      <c r="F68" s="624">
        <f>'Site Vist fomat  (Design)'!F64</f>
        <v>0</v>
      </c>
      <c r="G68" s="624">
        <f>'Site Vist fomat  (Design)'!G64</f>
        <v>0</v>
      </c>
      <c r="H68" s="624">
        <f>'Site Vist fomat  (Design)'!H64</f>
        <v>0</v>
      </c>
      <c r="I68" s="624">
        <f>'Site Vist fomat  (Design)'!I64</f>
        <v>0</v>
      </c>
      <c r="J68" s="624">
        <f>'Site Vist fomat  (Design)'!J64</f>
        <v>0</v>
      </c>
      <c r="K68" s="624">
        <f>'Site Vist fomat  (Design)'!K64</f>
        <v>0</v>
      </c>
      <c r="L68" s="624">
        <f>'Site Vist fomat  (Design)'!L64</f>
        <v>0</v>
      </c>
      <c r="M68" s="624">
        <f>'Site Vist fomat  (Design)'!M64</f>
        <v>0</v>
      </c>
      <c r="N68" s="624">
        <f>'Site Vist fomat  (Design)'!N64</f>
        <v>0</v>
      </c>
      <c r="O68" s="624">
        <f>'Site Vist fomat  (Design)'!O64</f>
        <v>0</v>
      </c>
      <c r="P68" s="625">
        <f>'Site Vist fomat  (Design)'!P64</f>
        <v>0</v>
      </c>
    </row>
    <row r="69" spans="1:16" s="571" customFormat="1">
      <c r="A69" s="626" t="str">
        <f>'Site Vist fomat  (Design)'!A65</f>
        <v>Height of the building at ridge in mtrs</v>
      </c>
      <c r="B69" s="623">
        <f>'Site Vist fomat  (Design)'!B65</f>
        <v>0</v>
      </c>
      <c r="C69" s="624">
        <f>'Site Vist fomat  (Design)'!C65</f>
        <v>0</v>
      </c>
      <c r="D69" s="624">
        <f>'Site Vist fomat  (Design)'!D65</f>
        <v>0</v>
      </c>
      <c r="E69" s="624">
        <f>'Site Vist fomat  (Design)'!E65</f>
        <v>0</v>
      </c>
      <c r="F69" s="624">
        <f>'Site Vist fomat  (Design)'!F65</f>
        <v>0</v>
      </c>
      <c r="G69" s="624">
        <f>'Site Vist fomat  (Design)'!G65</f>
        <v>0</v>
      </c>
      <c r="H69" s="624">
        <f>'Site Vist fomat  (Design)'!H65</f>
        <v>0</v>
      </c>
      <c r="I69" s="624">
        <f>'Site Vist fomat  (Design)'!I65</f>
        <v>0</v>
      </c>
      <c r="J69" s="624">
        <f>'Site Vist fomat  (Design)'!J65</f>
        <v>0</v>
      </c>
      <c r="K69" s="624">
        <f>'Site Vist fomat  (Design)'!K65</f>
        <v>0</v>
      </c>
      <c r="L69" s="624">
        <f>'Site Vist fomat  (Design)'!L65</f>
        <v>0</v>
      </c>
      <c r="M69" s="624">
        <f>'Site Vist fomat  (Design)'!M65</f>
        <v>0</v>
      </c>
      <c r="N69" s="624">
        <f>'Site Vist fomat  (Design)'!N65</f>
        <v>0</v>
      </c>
      <c r="O69" s="624">
        <f>'Site Vist fomat  (Design)'!O65</f>
        <v>0</v>
      </c>
      <c r="P69" s="625">
        <f>'Site Vist fomat  (Design)'!P65</f>
        <v>0</v>
      </c>
    </row>
    <row r="70" spans="1:16" s="571" customFormat="1">
      <c r="A70" s="626" t="str">
        <f>'Site Vist fomat  (Design)'!A66</f>
        <v>Type of  Shed Asbestos/Trapezoidal sheet/Puff Sheet/Standing seam</v>
      </c>
      <c r="B70" s="623">
        <f>'Site Vist fomat  (Design)'!B66</f>
        <v>0</v>
      </c>
      <c r="C70" s="624">
        <f>'Site Vist fomat  (Design)'!C66</f>
        <v>0</v>
      </c>
      <c r="D70" s="624">
        <f>'Site Vist fomat  (Design)'!D66</f>
        <v>0</v>
      </c>
      <c r="E70" s="624">
        <f>'Site Vist fomat  (Design)'!E66</f>
        <v>0</v>
      </c>
      <c r="F70" s="624">
        <f>'Site Vist fomat  (Design)'!F66</f>
        <v>0</v>
      </c>
      <c r="G70" s="624">
        <f>'Site Vist fomat  (Design)'!G66</f>
        <v>0</v>
      </c>
      <c r="H70" s="624">
        <f>'Site Vist fomat  (Design)'!H66</f>
        <v>0</v>
      </c>
      <c r="I70" s="624">
        <f>'Site Vist fomat  (Design)'!I66</f>
        <v>0</v>
      </c>
      <c r="J70" s="624">
        <f>'Site Vist fomat  (Design)'!J66</f>
        <v>0</v>
      </c>
      <c r="K70" s="624">
        <f>'Site Vist fomat  (Design)'!K66</f>
        <v>0</v>
      </c>
      <c r="L70" s="624">
        <f>'Site Vist fomat  (Design)'!L66</f>
        <v>0</v>
      </c>
      <c r="M70" s="624">
        <f>'Site Vist fomat  (Design)'!M66</f>
        <v>0</v>
      </c>
      <c r="N70" s="624">
        <f>'Site Vist fomat  (Design)'!N66</f>
        <v>0</v>
      </c>
      <c r="O70" s="624">
        <f>'Site Vist fomat  (Design)'!O66</f>
        <v>0</v>
      </c>
      <c r="P70" s="625">
        <f>'Site Vist fomat  (Design)'!P66</f>
        <v>0</v>
      </c>
    </row>
    <row r="71" spans="1:16">
      <c r="A71" s="626" t="str">
        <f>'Site Vist fomat  (Design)'!A67</f>
        <v>Thickness of roof sheet (mm)</v>
      </c>
      <c r="B71" s="623">
        <f>'Site Vist fomat  (Design)'!B67</f>
        <v>0</v>
      </c>
      <c r="C71" s="624">
        <f>'Site Vist fomat  (Design)'!C67</f>
        <v>0</v>
      </c>
      <c r="D71" s="624">
        <f>'Site Vist fomat  (Design)'!D67</f>
        <v>0</v>
      </c>
      <c r="E71" s="624">
        <f>'Site Vist fomat  (Design)'!E67</f>
        <v>0</v>
      </c>
      <c r="F71" s="624">
        <f>'Site Vist fomat  (Design)'!F67</f>
        <v>0</v>
      </c>
      <c r="G71" s="624">
        <f>'Site Vist fomat  (Design)'!G67</f>
        <v>0</v>
      </c>
      <c r="H71" s="624">
        <f>'Site Vist fomat  (Design)'!H67</f>
        <v>0</v>
      </c>
      <c r="I71" s="624">
        <f>'Site Vist fomat  (Design)'!I67</f>
        <v>0</v>
      </c>
      <c r="J71" s="624">
        <f>'Site Vist fomat  (Design)'!J67</f>
        <v>0</v>
      </c>
      <c r="K71" s="624">
        <f>'Site Vist fomat  (Design)'!K67</f>
        <v>0</v>
      </c>
      <c r="L71" s="624">
        <f>'Site Vist fomat  (Design)'!L67</f>
        <v>0</v>
      </c>
      <c r="M71" s="624">
        <f>'Site Vist fomat  (Design)'!M67</f>
        <v>0</v>
      </c>
      <c r="N71" s="624">
        <f>'Site Vist fomat  (Design)'!N67</f>
        <v>0</v>
      </c>
      <c r="O71" s="624">
        <f>'Site Vist fomat  (Design)'!O67</f>
        <v>0</v>
      </c>
      <c r="P71" s="625">
        <f>'Site Vist fomat  (Design)'!P67</f>
        <v>0</v>
      </c>
    </row>
    <row r="72" spans="1:16" s="571" customFormat="1">
      <c r="A72" s="626" t="str">
        <f>'Site Vist fomat  (Design)'!A68</f>
        <v>Tilt/Angle of shed</v>
      </c>
      <c r="B72" s="623">
        <f>'Site Vist fomat  (Design)'!B68</f>
        <v>0</v>
      </c>
      <c r="C72" s="624">
        <f>'Site Vist fomat  (Design)'!C68</f>
        <v>0</v>
      </c>
      <c r="D72" s="624">
        <f>'Site Vist fomat  (Design)'!D68</f>
        <v>0</v>
      </c>
      <c r="E72" s="624">
        <f>'Site Vist fomat  (Design)'!E68</f>
        <v>0</v>
      </c>
      <c r="F72" s="624">
        <f>'Site Vist fomat  (Design)'!F68</f>
        <v>0</v>
      </c>
      <c r="G72" s="624">
        <f>'Site Vist fomat  (Design)'!G68</f>
        <v>0</v>
      </c>
      <c r="H72" s="624">
        <f>'Site Vist fomat  (Design)'!H68</f>
        <v>0</v>
      </c>
      <c r="I72" s="624">
        <f>'Site Vist fomat  (Design)'!I68</f>
        <v>0</v>
      </c>
      <c r="J72" s="624">
        <f>'Site Vist fomat  (Design)'!J68</f>
        <v>0</v>
      </c>
      <c r="K72" s="624">
        <f>'Site Vist fomat  (Design)'!K68</f>
        <v>0</v>
      </c>
      <c r="L72" s="624">
        <f>'Site Vist fomat  (Design)'!L68</f>
        <v>0</v>
      </c>
      <c r="M72" s="624">
        <f>'Site Vist fomat  (Design)'!M68</f>
        <v>0</v>
      </c>
      <c r="N72" s="624">
        <f>'Site Vist fomat  (Design)'!N68</f>
        <v>0</v>
      </c>
      <c r="O72" s="624">
        <f>'Site Vist fomat  (Design)'!O68</f>
        <v>0</v>
      </c>
      <c r="P72" s="625">
        <f>'Site Vist fomat  (Design)'!P68</f>
        <v>0</v>
      </c>
    </row>
    <row r="73" spans="1:16">
      <c r="A73" s="626" t="str">
        <f>'Site Vist fomat  (Design)'!A69</f>
        <v>Railing required ?</v>
      </c>
      <c r="B73" s="623">
        <f>'Site Vist fomat  (Design)'!B69</f>
        <v>0</v>
      </c>
      <c r="C73" s="624">
        <f>'Site Vist fomat  (Design)'!C69</f>
        <v>0</v>
      </c>
      <c r="D73" s="624">
        <f>'Site Vist fomat  (Design)'!D69</f>
        <v>0</v>
      </c>
      <c r="E73" s="624">
        <f>'Site Vist fomat  (Design)'!E69</f>
        <v>0</v>
      </c>
      <c r="F73" s="624">
        <f>'Site Vist fomat  (Design)'!F69</f>
        <v>0</v>
      </c>
      <c r="G73" s="624">
        <f>'Site Vist fomat  (Design)'!G69</f>
        <v>0</v>
      </c>
      <c r="H73" s="624">
        <f>'Site Vist fomat  (Design)'!H69</f>
        <v>0</v>
      </c>
      <c r="I73" s="624">
        <f>'Site Vist fomat  (Design)'!I69</f>
        <v>0</v>
      </c>
      <c r="J73" s="624">
        <f>'Site Vist fomat  (Design)'!J69</f>
        <v>0</v>
      </c>
      <c r="K73" s="624">
        <f>'Site Vist fomat  (Design)'!K69</f>
        <v>0</v>
      </c>
      <c r="L73" s="624">
        <f>'Site Vist fomat  (Design)'!L69</f>
        <v>0</v>
      </c>
      <c r="M73" s="624">
        <f>'Site Vist fomat  (Design)'!M69</f>
        <v>0</v>
      </c>
      <c r="N73" s="624">
        <f>'Site Vist fomat  (Design)'!N69</f>
        <v>0</v>
      </c>
      <c r="O73" s="624">
        <f>'Site Vist fomat  (Design)'!O69</f>
        <v>0</v>
      </c>
      <c r="P73" s="625">
        <f>'Site Vist fomat  (Design)'!P69</f>
        <v>0</v>
      </c>
    </row>
    <row r="74" spans="1:16">
      <c r="A74" s="626" t="str">
        <f>'Site Vist fomat  (Design)'!A70</f>
        <v>Activities under the roof 
(Manufacturing, Heating work, Chemical Emission, Paint shop, others) 
(Capture specific activity having impact on the generation)</v>
      </c>
      <c r="B74" s="623">
        <f>'Site Vist fomat  (Design)'!B70</f>
        <v>0</v>
      </c>
      <c r="C74" s="624">
        <f>'Site Vist fomat  (Design)'!C70</f>
        <v>0</v>
      </c>
      <c r="D74" s="624">
        <f>'Site Vist fomat  (Design)'!D70</f>
        <v>0</v>
      </c>
      <c r="E74" s="624">
        <f>'Site Vist fomat  (Design)'!E70</f>
        <v>0</v>
      </c>
      <c r="F74" s="624">
        <f>'Site Vist fomat  (Design)'!F70</f>
        <v>0</v>
      </c>
      <c r="G74" s="624">
        <f>'Site Vist fomat  (Design)'!G70</f>
        <v>0</v>
      </c>
      <c r="H74" s="624">
        <f>'Site Vist fomat  (Design)'!H70</f>
        <v>0</v>
      </c>
      <c r="I74" s="624">
        <f>'Site Vist fomat  (Design)'!I70</f>
        <v>0</v>
      </c>
      <c r="J74" s="624">
        <f>'Site Vist fomat  (Design)'!J70</f>
        <v>0</v>
      </c>
      <c r="K74" s="624">
        <f>'Site Vist fomat  (Design)'!K70</f>
        <v>0</v>
      </c>
      <c r="L74" s="624">
        <f>'Site Vist fomat  (Design)'!L70</f>
        <v>0</v>
      </c>
      <c r="M74" s="624">
        <f>'Site Vist fomat  (Design)'!M70</f>
        <v>0</v>
      </c>
      <c r="N74" s="624">
        <f>'Site Vist fomat  (Design)'!N70</f>
        <v>0</v>
      </c>
      <c r="O74" s="624">
        <f>'Site Vist fomat  (Design)'!O70</f>
        <v>0</v>
      </c>
      <c r="P74" s="625">
        <f>'Site Vist fomat  (Design)'!P70</f>
        <v>0</v>
      </c>
    </row>
    <row r="75" spans="1:16">
      <c r="A75" s="626" t="str">
        <f>'Site Vist fomat  (Design)'!A71</f>
        <v>Distance between Machinery &amp; Shed?
Any heating furnace operations below the shed?</v>
      </c>
      <c r="B75" s="623">
        <f>'Site Vist fomat  (Design)'!B71</f>
        <v>0</v>
      </c>
      <c r="C75" s="624">
        <f>'Site Vist fomat  (Design)'!C71</f>
        <v>0</v>
      </c>
      <c r="D75" s="624">
        <f>'Site Vist fomat  (Design)'!D71</f>
        <v>0</v>
      </c>
      <c r="E75" s="624">
        <f>'Site Vist fomat  (Design)'!E71</f>
        <v>0</v>
      </c>
      <c r="F75" s="624">
        <f>'Site Vist fomat  (Design)'!F71</f>
        <v>0</v>
      </c>
      <c r="G75" s="624">
        <f>'Site Vist fomat  (Design)'!G71</f>
        <v>0</v>
      </c>
      <c r="H75" s="624">
        <f>'Site Vist fomat  (Design)'!H71</f>
        <v>0</v>
      </c>
      <c r="I75" s="624">
        <f>'Site Vist fomat  (Design)'!I71</f>
        <v>0</v>
      </c>
      <c r="J75" s="624">
        <f>'Site Vist fomat  (Design)'!J71</f>
        <v>0</v>
      </c>
      <c r="K75" s="624">
        <f>'Site Vist fomat  (Design)'!K71</f>
        <v>0</v>
      </c>
      <c r="L75" s="624">
        <f>'Site Vist fomat  (Design)'!L71</f>
        <v>0</v>
      </c>
      <c r="M75" s="624">
        <f>'Site Vist fomat  (Design)'!M71</f>
        <v>0</v>
      </c>
      <c r="N75" s="624">
        <f>'Site Vist fomat  (Design)'!N71</f>
        <v>0</v>
      </c>
      <c r="O75" s="624">
        <f>'Site Vist fomat  (Design)'!O71</f>
        <v>0</v>
      </c>
      <c r="P75" s="625">
        <f>'Site Vist fomat  (Design)'!P71</f>
        <v>0</v>
      </c>
    </row>
    <row r="76" spans="1:16">
      <c r="A76" s="626" t="str">
        <f>'Site Vist fomat  (Design)'!A72</f>
        <v>Last major refurbishment (sheet change, leakage repairs, water proofing etc)</v>
      </c>
      <c r="B76" s="623">
        <f>'Site Vist fomat  (Design)'!B72</f>
        <v>0</v>
      </c>
      <c r="C76" s="624">
        <f>'Site Vist fomat  (Design)'!C72</f>
        <v>0</v>
      </c>
      <c r="D76" s="624">
        <f>'Site Vist fomat  (Design)'!D72</f>
        <v>0</v>
      </c>
      <c r="E76" s="624">
        <f>'Site Vist fomat  (Design)'!E72</f>
        <v>0</v>
      </c>
      <c r="F76" s="624">
        <f>'Site Vist fomat  (Design)'!F72</f>
        <v>0</v>
      </c>
      <c r="G76" s="624">
        <f>'Site Vist fomat  (Design)'!G72</f>
        <v>0</v>
      </c>
      <c r="H76" s="624">
        <f>'Site Vist fomat  (Design)'!H72</f>
        <v>0</v>
      </c>
      <c r="I76" s="624">
        <f>'Site Vist fomat  (Design)'!I72</f>
        <v>0</v>
      </c>
      <c r="J76" s="624">
        <f>'Site Vist fomat  (Design)'!J72</f>
        <v>0</v>
      </c>
      <c r="K76" s="624">
        <f>'Site Vist fomat  (Design)'!K72</f>
        <v>0</v>
      </c>
      <c r="L76" s="624">
        <f>'Site Vist fomat  (Design)'!L72</f>
        <v>0</v>
      </c>
      <c r="M76" s="624">
        <f>'Site Vist fomat  (Design)'!M72</f>
        <v>0</v>
      </c>
      <c r="N76" s="624">
        <f>'Site Vist fomat  (Design)'!N72</f>
        <v>0</v>
      </c>
      <c r="O76" s="624">
        <f>'Site Vist fomat  (Design)'!O72</f>
        <v>0</v>
      </c>
      <c r="P76" s="625">
        <f>'Site Vist fomat  (Design)'!P72</f>
        <v>0</v>
      </c>
    </row>
    <row r="77" spans="1:16">
      <c r="A77" s="626" t="str">
        <f>'Site Vist fomat  (Design)'!A73</f>
        <v>Shadow Casting Objects on or near to the roof 
(Trees,Buildings,Water tank, Exhaust pipes, chillers, Turbo Fan, etc)</v>
      </c>
      <c r="B77" s="623">
        <f>'Site Vist fomat  (Design)'!B55</f>
        <v>0</v>
      </c>
      <c r="C77" s="624">
        <f>'Site Vist fomat  (Design)'!C55</f>
        <v>0</v>
      </c>
      <c r="D77" s="624">
        <f>'Site Vist fomat  (Design)'!D55</f>
        <v>0</v>
      </c>
      <c r="E77" s="624">
        <f>'Site Vist fomat  (Design)'!E55</f>
        <v>0</v>
      </c>
      <c r="F77" s="624">
        <f>'Site Vist fomat  (Design)'!F55</f>
        <v>0</v>
      </c>
      <c r="G77" s="624">
        <f>'Site Vist fomat  (Design)'!G55</f>
        <v>0</v>
      </c>
      <c r="H77" s="624">
        <f>'Site Vist fomat  (Design)'!H55</f>
        <v>0</v>
      </c>
      <c r="I77" s="624">
        <f>'Site Vist fomat  (Design)'!I55</f>
        <v>0</v>
      </c>
      <c r="J77" s="624">
        <f>'Site Vist fomat  (Design)'!J55</f>
        <v>0</v>
      </c>
      <c r="K77" s="624">
        <f>'Site Vist fomat  (Design)'!K55</f>
        <v>0</v>
      </c>
      <c r="L77" s="624">
        <f>'Site Vist fomat  (Design)'!L55</f>
        <v>0</v>
      </c>
      <c r="M77" s="624">
        <f>'Site Vist fomat  (Design)'!M55</f>
        <v>0</v>
      </c>
      <c r="N77" s="624">
        <f>'Site Vist fomat  (Design)'!N55</f>
        <v>0</v>
      </c>
      <c r="O77" s="624">
        <f>'Site Vist fomat  (Design)'!O55</f>
        <v>0</v>
      </c>
      <c r="P77" s="625">
        <f>'Site Vist fomat  (Design)'!P55</f>
        <v>0</v>
      </c>
    </row>
    <row r="78" spans="1:16">
      <c r="A78" s="626" t="str">
        <f>'Site Vist fomat  (Design)'!A74</f>
        <v>Roof Condition (Good/Leakages / repairs / others)</v>
      </c>
      <c r="B78" s="623">
        <f>'Site Vist fomat  (Design)'!B74</f>
        <v>0</v>
      </c>
      <c r="C78" s="624">
        <f>'Site Vist fomat  (Design)'!C74</f>
        <v>0</v>
      </c>
      <c r="D78" s="624">
        <f>'Site Vist fomat  (Design)'!D74</f>
        <v>0</v>
      </c>
      <c r="E78" s="624">
        <f>'Site Vist fomat  (Design)'!E74</f>
        <v>0</v>
      </c>
      <c r="F78" s="624">
        <f>'Site Vist fomat  (Design)'!F74</f>
        <v>0</v>
      </c>
      <c r="G78" s="624">
        <f>'Site Vist fomat  (Design)'!G74</f>
        <v>0</v>
      </c>
      <c r="H78" s="624">
        <f>'Site Vist fomat  (Design)'!H74</f>
        <v>0</v>
      </c>
      <c r="I78" s="624">
        <f>'Site Vist fomat  (Design)'!I74</f>
        <v>0</v>
      </c>
      <c r="J78" s="624">
        <f>'Site Vist fomat  (Design)'!J74</f>
        <v>0</v>
      </c>
      <c r="K78" s="624">
        <f>'Site Vist fomat  (Design)'!K74</f>
        <v>0</v>
      </c>
      <c r="L78" s="624">
        <f>'Site Vist fomat  (Design)'!L74</f>
        <v>0</v>
      </c>
      <c r="M78" s="624">
        <f>'Site Vist fomat  (Design)'!M74</f>
        <v>0</v>
      </c>
      <c r="N78" s="624">
        <f>'Site Vist fomat  (Design)'!N74</f>
        <v>0</v>
      </c>
      <c r="O78" s="624">
        <f>'Site Vist fomat  (Design)'!O74</f>
        <v>0</v>
      </c>
      <c r="P78" s="625">
        <f>'Site Vist fomat  (Design)'!P74</f>
        <v>0</v>
      </c>
    </row>
    <row r="79" spans="1:16">
      <c r="A79" s="626" t="str">
        <f>'Site Vist fomat  (Design)'!A75</f>
        <v xml:space="preserve">Year of construction </v>
      </c>
      <c r="B79" s="623">
        <f>'Site Vist fomat  (Design)'!B75</f>
        <v>0</v>
      </c>
      <c r="C79" s="624">
        <f>'Site Vist fomat  (Design)'!C75</f>
        <v>0</v>
      </c>
      <c r="D79" s="624">
        <f>'Site Vist fomat  (Design)'!D75</f>
        <v>0</v>
      </c>
      <c r="E79" s="624">
        <f>'Site Vist fomat  (Design)'!E75</f>
        <v>0</v>
      </c>
      <c r="F79" s="624">
        <f>'Site Vist fomat  (Design)'!F75</f>
        <v>0</v>
      </c>
      <c r="G79" s="624">
        <f>'Site Vist fomat  (Design)'!G75</f>
        <v>0</v>
      </c>
      <c r="H79" s="624">
        <f>'Site Vist fomat  (Design)'!H75</f>
        <v>0</v>
      </c>
      <c r="I79" s="624">
        <f>'Site Vist fomat  (Design)'!I75</f>
        <v>0</v>
      </c>
      <c r="J79" s="624">
        <f>'Site Vist fomat  (Design)'!J75</f>
        <v>0</v>
      </c>
      <c r="K79" s="624">
        <f>'Site Vist fomat  (Design)'!K75</f>
        <v>0</v>
      </c>
      <c r="L79" s="624">
        <f>'Site Vist fomat  (Design)'!L75</f>
        <v>0</v>
      </c>
      <c r="M79" s="624">
        <f>'Site Vist fomat  (Design)'!M75</f>
        <v>0</v>
      </c>
      <c r="N79" s="624">
        <f>'Site Vist fomat  (Design)'!N75</f>
        <v>0</v>
      </c>
      <c r="O79" s="624">
        <f>'Site Vist fomat  (Design)'!O75</f>
        <v>0</v>
      </c>
      <c r="P79" s="625">
        <f>'Site Vist fomat  (Design)'!P75</f>
        <v>0</v>
      </c>
    </row>
    <row r="80" spans="1:16">
      <c r="A80" s="626" t="str">
        <f>'Site Vist fomat  (Design)'!A76</f>
        <v>Skylight Nos &amp; Dimensions in mm</v>
      </c>
      <c r="B80" s="623">
        <f>'Site Vist fomat  (Design)'!B76</f>
        <v>0</v>
      </c>
      <c r="C80" s="624">
        <f>'Site Vist fomat  (Design)'!C76</f>
        <v>0</v>
      </c>
      <c r="D80" s="624">
        <f>'Site Vist fomat  (Design)'!D76</f>
        <v>0</v>
      </c>
      <c r="E80" s="624">
        <f>'Site Vist fomat  (Design)'!E76</f>
        <v>0</v>
      </c>
      <c r="F80" s="624">
        <f>'Site Vist fomat  (Design)'!F76</f>
        <v>0</v>
      </c>
      <c r="G80" s="624">
        <f>'Site Vist fomat  (Design)'!G76</f>
        <v>0</v>
      </c>
      <c r="H80" s="624">
        <f>'Site Vist fomat  (Design)'!H76</f>
        <v>0</v>
      </c>
      <c r="I80" s="624">
        <f>'Site Vist fomat  (Design)'!I76</f>
        <v>0</v>
      </c>
      <c r="J80" s="624">
        <f>'Site Vist fomat  (Design)'!J76</f>
        <v>0</v>
      </c>
      <c r="K80" s="624">
        <f>'Site Vist fomat  (Design)'!K76</f>
        <v>0</v>
      </c>
      <c r="L80" s="624">
        <f>'Site Vist fomat  (Design)'!L76</f>
        <v>0</v>
      </c>
      <c r="M80" s="624">
        <f>'Site Vist fomat  (Design)'!M76</f>
        <v>0</v>
      </c>
      <c r="N80" s="624">
        <f>'Site Vist fomat  (Design)'!N76</f>
        <v>0</v>
      </c>
      <c r="O80" s="624">
        <f>'Site Vist fomat  (Design)'!O76</f>
        <v>0</v>
      </c>
      <c r="P80" s="625">
        <f>'Site Vist fomat  (Design)'!P76</f>
        <v>0</v>
      </c>
    </row>
    <row r="81" spans="1:16">
      <c r="A81" s="626" t="str">
        <f>'Site Vist fomat  (Design)'!A77</f>
        <v>Sky light to sky light distance in mm</v>
      </c>
      <c r="B81" s="623">
        <f>'Site Vist fomat  (Design)'!B77</f>
        <v>0</v>
      </c>
      <c r="C81" s="624">
        <f>'Site Vist fomat  (Design)'!C77</f>
        <v>0</v>
      </c>
      <c r="D81" s="624">
        <f>'Site Vist fomat  (Design)'!D77</f>
        <v>0</v>
      </c>
      <c r="E81" s="624">
        <f>'Site Vist fomat  (Design)'!E77</f>
        <v>0</v>
      </c>
      <c r="F81" s="624">
        <f>'Site Vist fomat  (Design)'!F77</f>
        <v>0</v>
      </c>
      <c r="G81" s="624">
        <f>'Site Vist fomat  (Design)'!G77</f>
        <v>0</v>
      </c>
      <c r="H81" s="624">
        <f>'Site Vist fomat  (Design)'!H77</f>
        <v>0</v>
      </c>
      <c r="I81" s="624">
        <f>'Site Vist fomat  (Design)'!I77</f>
        <v>0</v>
      </c>
      <c r="J81" s="624">
        <f>'Site Vist fomat  (Design)'!J77</f>
        <v>0</v>
      </c>
      <c r="K81" s="624">
        <f>'Site Vist fomat  (Design)'!K77</f>
        <v>0</v>
      </c>
      <c r="L81" s="624">
        <f>'Site Vist fomat  (Design)'!L77</f>
        <v>0</v>
      </c>
      <c r="M81" s="624">
        <f>'Site Vist fomat  (Design)'!M77</f>
        <v>0</v>
      </c>
      <c r="N81" s="624">
        <f>'Site Vist fomat  (Design)'!N77</f>
        <v>0</v>
      </c>
      <c r="O81" s="624">
        <f>'Site Vist fomat  (Design)'!O77</f>
        <v>0</v>
      </c>
      <c r="P81" s="625">
        <f>'Site Vist fomat  (Design)'!P77</f>
        <v>0</v>
      </c>
    </row>
    <row r="82" spans="1:16">
      <c r="A82" s="626" t="str">
        <f>'Site Vist fomat  (Design)'!A78</f>
        <v>Existing Gutter length in mtrs</v>
      </c>
      <c r="B82" s="623">
        <f>'Site Vist fomat  (Design)'!B78</f>
        <v>0</v>
      </c>
      <c r="C82" s="624">
        <f>'Site Vist fomat  (Design)'!C78</f>
        <v>0</v>
      </c>
      <c r="D82" s="624">
        <f>'Site Vist fomat  (Design)'!D78</f>
        <v>0</v>
      </c>
      <c r="E82" s="624">
        <f>'Site Vist fomat  (Design)'!E78</f>
        <v>0</v>
      </c>
      <c r="F82" s="624">
        <f>'Site Vist fomat  (Design)'!F78</f>
        <v>0</v>
      </c>
      <c r="G82" s="624">
        <f>'Site Vist fomat  (Design)'!G78</f>
        <v>0</v>
      </c>
      <c r="H82" s="624">
        <f>'Site Vist fomat  (Design)'!H78</f>
        <v>0</v>
      </c>
      <c r="I82" s="624">
        <f>'Site Vist fomat  (Design)'!I78</f>
        <v>0</v>
      </c>
      <c r="J82" s="624">
        <f>'Site Vist fomat  (Design)'!J78</f>
        <v>0</v>
      </c>
      <c r="K82" s="624">
        <f>'Site Vist fomat  (Design)'!K78</f>
        <v>0</v>
      </c>
      <c r="L82" s="624">
        <f>'Site Vist fomat  (Design)'!L78</f>
        <v>0</v>
      </c>
      <c r="M82" s="624">
        <f>'Site Vist fomat  (Design)'!M78</f>
        <v>0</v>
      </c>
      <c r="N82" s="624">
        <f>'Site Vist fomat  (Design)'!N78</f>
        <v>0</v>
      </c>
      <c r="O82" s="624">
        <f>'Site Vist fomat  (Design)'!O78</f>
        <v>0</v>
      </c>
      <c r="P82" s="625">
        <f>'Site Vist fomat  (Design)'!P78</f>
        <v>0</v>
      </c>
    </row>
    <row r="83" spans="1:16">
      <c r="A83" s="626" t="str">
        <f>'Site Vist fomat  (Design)'!A79</f>
        <v>Turbo vent dimensions in mm</v>
      </c>
      <c r="B83" s="623">
        <f>'Site Vist fomat  (Design)'!B79</f>
        <v>0</v>
      </c>
      <c r="C83" s="624">
        <f>'Site Vist fomat  (Design)'!C79</f>
        <v>0</v>
      </c>
      <c r="D83" s="624">
        <f>'Site Vist fomat  (Design)'!D79</f>
        <v>0</v>
      </c>
      <c r="E83" s="624">
        <f>'Site Vist fomat  (Design)'!E79</f>
        <v>0</v>
      </c>
      <c r="F83" s="624">
        <f>'Site Vist fomat  (Design)'!F79</f>
        <v>0</v>
      </c>
      <c r="G83" s="624">
        <f>'Site Vist fomat  (Design)'!G79</f>
        <v>0</v>
      </c>
      <c r="H83" s="624">
        <f>'Site Vist fomat  (Design)'!H79</f>
        <v>0</v>
      </c>
      <c r="I83" s="624">
        <f>'Site Vist fomat  (Design)'!I79</f>
        <v>0</v>
      </c>
      <c r="J83" s="624">
        <f>'Site Vist fomat  (Design)'!J79</f>
        <v>0</v>
      </c>
      <c r="K83" s="624">
        <f>'Site Vist fomat  (Design)'!K79</f>
        <v>0</v>
      </c>
      <c r="L83" s="624">
        <f>'Site Vist fomat  (Design)'!L79</f>
        <v>0</v>
      </c>
      <c r="M83" s="624">
        <f>'Site Vist fomat  (Design)'!M79</f>
        <v>0</v>
      </c>
      <c r="N83" s="624">
        <f>'Site Vist fomat  (Design)'!N79</f>
        <v>0</v>
      </c>
      <c r="O83" s="624">
        <f>'Site Vist fomat  (Design)'!O79</f>
        <v>0</v>
      </c>
      <c r="P83" s="625">
        <f>'Site Vist fomat  (Design)'!P79</f>
        <v>0</v>
      </c>
    </row>
    <row r="84" spans="1:16">
      <c r="A84" s="626" t="str">
        <f>'Site Vist fomat  (Design)'!A80</f>
        <v>Turbo vent to turbo vent distance in mm</v>
      </c>
      <c r="B84" s="623">
        <f>'Site Vist fomat  (Design)'!B80</f>
        <v>0</v>
      </c>
      <c r="C84" s="624">
        <f>'Site Vist fomat  (Design)'!C80</f>
        <v>0</v>
      </c>
      <c r="D84" s="624">
        <f>'Site Vist fomat  (Design)'!D80</f>
        <v>0</v>
      </c>
      <c r="E84" s="624">
        <f>'Site Vist fomat  (Design)'!E80</f>
        <v>0</v>
      </c>
      <c r="F84" s="624">
        <f>'Site Vist fomat  (Design)'!F80</f>
        <v>0</v>
      </c>
      <c r="G84" s="624">
        <f>'Site Vist fomat  (Design)'!G80</f>
        <v>0</v>
      </c>
      <c r="H84" s="624">
        <f>'Site Vist fomat  (Design)'!H80</f>
        <v>0</v>
      </c>
      <c r="I84" s="624">
        <f>'Site Vist fomat  (Design)'!I80</f>
        <v>0</v>
      </c>
      <c r="J84" s="624">
        <f>'Site Vist fomat  (Design)'!J80</f>
        <v>0</v>
      </c>
      <c r="K84" s="624">
        <f>'Site Vist fomat  (Design)'!K80</f>
        <v>0</v>
      </c>
      <c r="L84" s="624">
        <f>'Site Vist fomat  (Design)'!L80</f>
        <v>0</v>
      </c>
      <c r="M84" s="624">
        <f>'Site Vist fomat  (Design)'!M80</f>
        <v>0</v>
      </c>
      <c r="N84" s="624">
        <f>'Site Vist fomat  (Design)'!N80</f>
        <v>0</v>
      </c>
      <c r="O84" s="624">
        <f>'Site Vist fomat  (Design)'!O80</f>
        <v>0</v>
      </c>
      <c r="P84" s="625">
        <f>'Site Vist fomat  (Design)'!P80</f>
        <v>0</v>
      </c>
    </row>
    <row r="85" spans="1:16">
      <c r="A85" s="626" t="str">
        <f>'Site Vist fomat  (Design)'!A81</f>
        <v>Any level difference in roof location (indicate location on Roof plan)</v>
      </c>
      <c r="B85" s="623">
        <f>'Site Vist fomat  (Design)'!B81</f>
        <v>0</v>
      </c>
      <c r="C85" s="624">
        <f>'Site Vist fomat  (Design)'!C81</f>
        <v>0</v>
      </c>
      <c r="D85" s="624">
        <f>'Site Vist fomat  (Design)'!D81</f>
        <v>0</v>
      </c>
      <c r="E85" s="624">
        <f>'Site Vist fomat  (Design)'!E81</f>
        <v>0</v>
      </c>
      <c r="F85" s="624">
        <f>'Site Vist fomat  (Design)'!F81</f>
        <v>0</v>
      </c>
      <c r="G85" s="624">
        <f>'Site Vist fomat  (Design)'!G81</f>
        <v>0</v>
      </c>
      <c r="H85" s="624">
        <f>'Site Vist fomat  (Design)'!H81</f>
        <v>0</v>
      </c>
      <c r="I85" s="624">
        <f>'Site Vist fomat  (Design)'!I81</f>
        <v>0</v>
      </c>
      <c r="J85" s="624">
        <f>'Site Vist fomat  (Design)'!J81</f>
        <v>0</v>
      </c>
      <c r="K85" s="624">
        <f>'Site Vist fomat  (Design)'!K81</f>
        <v>0</v>
      </c>
      <c r="L85" s="624">
        <f>'Site Vist fomat  (Design)'!L81</f>
        <v>0</v>
      </c>
      <c r="M85" s="624">
        <f>'Site Vist fomat  (Design)'!M81</f>
        <v>0</v>
      </c>
      <c r="N85" s="624">
        <f>'Site Vist fomat  (Design)'!N81</f>
        <v>0</v>
      </c>
      <c r="O85" s="624">
        <f>'Site Vist fomat  (Design)'!O81</f>
        <v>0</v>
      </c>
      <c r="P85" s="625">
        <f>'Site Vist fomat  (Design)'!P81</f>
        <v>0</v>
      </c>
    </row>
    <row r="86" spans="1:16">
      <c r="A86" s="626" t="str">
        <f>'Site Vist fomat  (Design)'!A82</f>
        <v>Additional load bearing capacity of the roof for Solar PV &amp; installation / maintenance
(Indicative distributed load capacity of 20kg/m2, point load capacity 80 kg/m2.)</v>
      </c>
      <c r="B86" s="623">
        <f>'Site Vist fomat  (Design)'!B82</f>
        <v>0</v>
      </c>
      <c r="C86" s="624">
        <f>'Site Vist fomat  (Design)'!C82</f>
        <v>0</v>
      </c>
      <c r="D86" s="624">
        <f>'Site Vist fomat  (Design)'!D82</f>
        <v>0</v>
      </c>
      <c r="E86" s="624">
        <f>'Site Vist fomat  (Design)'!E82</f>
        <v>0</v>
      </c>
      <c r="F86" s="624">
        <f>'Site Vist fomat  (Design)'!F82</f>
        <v>0</v>
      </c>
      <c r="G86" s="624">
        <f>'Site Vist fomat  (Design)'!G82</f>
        <v>0</v>
      </c>
      <c r="H86" s="624">
        <f>'Site Vist fomat  (Design)'!H82</f>
        <v>0</v>
      </c>
      <c r="I86" s="624">
        <f>'Site Vist fomat  (Design)'!I82</f>
        <v>0</v>
      </c>
      <c r="J86" s="624">
        <f>'Site Vist fomat  (Design)'!J82</f>
        <v>0</v>
      </c>
      <c r="K86" s="624">
        <f>'Site Vist fomat  (Design)'!K82</f>
        <v>0</v>
      </c>
      <c r="L86" s="624">
        <f>'Site Vist fomat  (Design)'!L82</f>
        <v>0</v>
      </c>
      <c r="M86" s="624">
        <f>'Site Vist fomat  (Design)'!M82</f>
        <v>0</v>
      </c>
      <c r="N86" s="624">
        <f>'Site Vist fomat  (Design)'!N82</f>
        <v>0</v>
      </c>
      <c r="O86" s="624">
        <f>'Site Vist fomat  (Design)'!O82</f>
        <v>0</v>
      </c>
      <c r="P86" s="625">
        <f>'Site Vist fomat  (Design)'!P82</f>
        <v>0</v>
      </c>
    </row>
    <row r="87" spans="1:16" ht="18.600000000000001" thickBot="1">
      <c r="A87" s="627" t="str">
        <f>'Site Vist fomat  (Design)'!A83</f>
        <v>Exisiting Lifeline / Walkway availability (indicate location on Roof plan)</v>
      </c>
      <c r="B87" s="628">
        <f>'Site Vist fomat  (Design)'!B83</f>
        <v>0</v>
      </c>
      <c r="C87" s="629">
        <f>'Site Vist fomat  (Design)'!C83</f>
        <v>0</v>
      </c>
      <c r="D87" s="629">
        <f>'Site Vist fomat  (Design)'!D83</f>
        <v>0</v>
      </c>
      <c r="E87" s="629">
        <f>'Site Vist fomat  (Design)'!E83</f>
        <v>0</v>
      </c>
      <c r="F87" s="629">
        <f>'Site Vist fomat  (Design)'!F83</f>
        <v>0</v>
      </c>
      <c r="G87" s="629">
        <f>'Site Vist fomat  (Design)'!G83</f>
        <v>0</v>
      </c>
      <c r="H87" s="629">
        <f>'Site Vist fomat  (Design)'!H83</f>
        <v>0</v>
      </c>
      <c r="I87" s="629">
        <f>'Site Vist fomat  (Design)'!I83</f>
        <v>0</v>
      </c>
      <c r="J87" s="629">
        <f>'Site Vist fomat  (Design)'!J83</f>
        <v>0</v>
      </c>
      <c r="K87" s="629">
        <f>'Site Vist fomat  (Design)'!K83</f>
        <v>0</v>
      </c>
      <c r="L87" s="629">
        <f>'Site Vist fomat  (Design)'!L83</f>
        <v>0</v>
      </c>
      <c r="M87" s="629">
        <f>'Site Vist fomat  (Design)'!M83</f>
        <v>0</v>
      </c>
      <c r="N87" s="629">
        <f>'Site Vist fomat  (Design)'!N83</f>
        <v>0</v>
      </c>
      <c r="O87" s="629">
        <f>'Site Vist fomat  (Design)'!O83</f>
        <v>0</v>
      </c>
      <c r="P87" s="630">
        <f>'Site Vist fomat  (Design)'!P83</f>
        <v>0</v>
      </c>
    </row>
    <row r="88" spans="1:16" ht="18.600000000000001" thickBot="1">
      <c r="A88" s="2618" t="s">
        <v>385</v>
      </c>
      <c r="B88" s="2619"/>
      <c r="C88" s="2619"/>
      <c r="D88" s="2619"/>
      <c r="E88" s="2619"/>
      <c r="F88" s="2619"/>
      <c r="G88" s="2619"/>
      <c r="H88" s="2619"/>
      <c r="I88" s="2619"/>
      <c r="J88" s="2619"/>
      <c r="K88" s="2619"/>
      <c r="L88" s="2619"/>
      <c r="M88" s="2619"/>
      <c r="N88" s="2619"/>
      <c r="O88" s="2619"/>
      <c r="P88" s="2620"/>
    </row>
    <row r="89" spans="1:16" ht="18.600000000000001" thickBot="1">
      <c r="A89" s="631" t="str">
        <f>'Site Vist fomat  (Design)'!A85</f>
        <v>Diagram --&gt;</v>
      </c>
      <c r="B89" s="632">
        <f>'Site Vist fomat  (Design)'!B85</f>
        <v>0</v>
      </c>
      <c r="C89" s="633">
        <f>'Site Vist fomat  (Design)'!C85</f>
        <v>0</v>
      </c>
      <c r="D89" s="633">
        <f>'Site Vist fomat  (Design)'!D85</f>
        <v>0</v>
      </c>
      <c r="E89" s="633">
        <f>'Site Vist fomat  (Design)'!E85</f>
        <v>0</v>
      </c>
      <c r="F89" s="633">
        <f>'Site Vist fomat  (Design)'!F85</f>
        <v>0</v>
      </c>
      <c r="G89" s="633">
        <f>'Site Vist fomat  (Design)'!G85</f>
        <v>0</v>
      </c>
      <c r="H89" s="633">
        <f>'Site Vist fomat  (Design)'!H85</f>
        <v>0</v>
      </c>
      <c r="I89" s="633">
        <f>'Site Vist fomat  (Design)'!I85</f>
        <v>0</v>
      </c>
      <c r="J89" s="633">
        <f>'Site Vist fomat  (Design)'!J85</f>
        <v>0</v>
      </c>
      <c r="K89" s="633">
        <f>'Site Vist fomat  (Design)'!K85</f>
        <v>0</v>
      </c>
      <c r="L89" s="633">
        <f>'Site Vist fomat  (Design)'!L85</f>
        <v>0</v>
      </c>
      <c r="M89" s="633">
        <f>'Site Vist fomat  (Design)'!M85</f>
        <v>0</v>
      </c>
      <c r="N89" s="633">
        <f>'Site Vist fomat  (Design)'!N85</f>
        <v>0</v>
      </c>
      <c r="O89" s="633">
        <f>'Site Vist fomat  (Design)'!O85</f>
        <v>0</v>
      </c>
      <c r="P89" s="634">
        <f>'Site Vist fomat  (Design)'!P85</f>
        <v>0</v>
      </c>
    </row>
    <row r="90" spans="1:16" ht="18.600000000000001" thickBot="1">
      <c r="A90" s="2621" t="s">
        <v>386</v>
      </c>
      <c r="B90" s="2622"/>
      <c r="C90" s="2622"/>
      <c r="D90" s="2622"/>
      <c r="E90" s="2622"/>
      <c r="F90" s="2622"/>
      <c r="G90" s="2622"/>
      <c r="H90" s="2622"/>
      <c r="I90" s="2622"/>
      <c r="J90" s="2622"/>
      <c r="K90" s="2622"/>
      <c r="L90" s="2622"/>
      <c r="M90" s="2622"/>
      <c r="N90" s="2622"/>
      <c r="O90" s="2622"/>
      <c r="P90" s="2623"/>
    </row>
    <row r="91" spans="1:16">
      <c r="A91" s="635" t="str">
        <f>'Site Vist fomat  (Design)'!A87</f>
        <v>Photo 1 --&gt;</v>
      </c>
      <c r="B91" s="609">
        <f>'Site Vist fomat  (Design)'!B87</f>
        <v>0</v>
      </c>
      <c r="C91" s="609">
        <f>'Site Vist fomat  (Design)'!C87</f>
        <v>0</v>
      </c>
      <c r="D91" s="609">
        <f>'Site Vist fomat  (Design)'!D87</f>
        <v>0</v>
      </c>
      <c r="E91" s="609">
        <f>'Site Vist fomat  (Design)'!E87</f>
        <v>0</v>
      </c>
      <c r="F91" s="609">
        <f>'Site Vist fomat  (Design)'!F87</f>
        <v>0</v>
      </c>
      <c r="G91" s="609">
        <f>'Site Vist fomat  (Design)'!G87</f>
        <v>0</v>
      </c>
      <c r="H91" s="609">
        <f>'Site Vist fomat  (Design)'!H87</f>
        <v>0</v>
      </c>
      <c r="I91" s="609">
        <f>'Site Vist fomat  (Design)'!I87</f>
        <v>0</v>
      </c>
      <c r="J91" s="609">
        <f>'Site Vist fomat  (Design)'!J87</f>
        <v>0</v>
      </c>
      <c r="K91" s="609">
        <f>'Site Vist fomat  (Design)'!K87</f>
        <v>0</v>
      </c>
      <c r="L91" s="609">
        <f>'Site Vist fomat  (Design)'!L87</f>
        <v>0</v>
      </c>
      <c r="M91" s="609">
        <f>'Site Vist fomat  (Design)'!M87</f>
        <v>0</v>
      </c>
      <c r="N91" s="609">
        <f>'Site Vist fomat  (Design)'!N87</f>
        <v>0</v>
      </c>
      <c r="O91" s="609">
        <f>'Site Vist fomat  (Design)'!O87</f>
        <v>0</v>
      </c>
      <c r="P91" s="636">
        <f>'Site Vist fomat  (Design)'!P87</f>
        <v>0</v>
      </c>
    </row>
    <row r="92" spans="1:16" ht="18.600000000000001" thickBot="1">
      <c r="A92" s="637" t="str">
        <f>'Site Vist fomat  (Design)'!A88</f>
        <v>Photo 2 --&gt;</v>
      </c>
      <c r="B92" s="614">
        <f>'Site Vist fomat  (Design)'!B88</f>
        <v>0</v>
      </c>
      <c r="C92" s="614">
        <f>'Site Vist fomat  (Design)'!C88</f>
        <v>0</v>
      </c>
      <c r="D92" s="614">
        <f>'Site Vist fomat  (Design)'!D88</f>
        <v>0</v>
      </c>
      <c r="E92" s="614">
        <f>'Site Vist fomat  (Design)'!E88</f>
        <v>0</v>
      </c>
      <c r="F92" s="614">
        <f>'Site Vist fomat  (Design)'!F88</f>
        <v>0</v>
      </c>
      <c r="G92" s="614">
        <f>'Site Vist fomat  (Design)'!G88</f>
        <v>0</v>
      </c>
      <c r="H92" s="614">
        <f>'Site Vist fomat  (Design)'!H88</f>
        <v>0</v>
      </c>
      <c r="I92" s="614">
        <f>'Site Vist fomat  (Design)'!I88</f>
        <v>0</v>
      </c>
      <c r="J92" s="614">
        <f>'Site Vist fomat  (Design)'!J88</f>
        <v>0</v>
      </c>
      <c r="K92" s="614">
        <f>'Site Vist fomat  (Design)'!K88</f>
        <v>0</v>
      </c>
      <c r="L92" s="614">
        <f>'Site Vist fomat  (Design)'!L88</f>
        <v>0</v>
      </c>
      <c r="M92" s="614">
        <f>'Site Vist fomat  (Design)'!M88</f>
        <v>0</v>
      </c>
      <c r="N92" s="614">
        <f>'Site Vist fomat  (Design)'!N88</f>
        <v>0</v>
      </c>
      <c r="O92" s="614">
        <f>'Site Vist fomat  (Design)'!O88</f>
        <v>0</v>
      </c>
      <c r="P92" s="582">
        <f>'Site Vist fomat  (Design)'!P88</f>
        <v>0</v>
      </c>
    </row>
    <row r="93" spans="1:16" ht="18.600000000000001" thickBot="1">
      <c r="A93" s="2624" t="str">
        <f>'Site Vist fomat  (Design)'!A89</f>
        <v>Ground Details</v>
      </c>
      <c r="B93" s="2622"/>
      <c r="C93" s="2622"/>
      <c r="D93" s="2622"/>
      <c r="E93" s="2622"/>
      <c r="F93" s="2622"/>
      <c r="G93" s="2622"/>
      <c r="H93" s="2622"/>
      <c r="I93" s="2622"/>
      <c r="J93" s="2622"/>
      <c r="K93" s="2622"/>
      <c r="L93" s="2622"/>
      <c r="M93" s="2622"/>
      <c r="N93" s="2622"/>
      <c r="O93" s="2622"/>
      <c r="P93" s="2623"/>
    </row>
    <row r="94" spans="1:16">
      <c r="A94" s="638" t="str">
        <f>'Site Vist fomat  (Design)'!A90</f>
        <v>Is Land Clear? (Yes/No)</v>
      </c>
      <c r="B94" s="608">
        <f>'Site Vist fomat  (Design)'!B90</f>
        <v>0</v>
      </c>
      <c r="C94" s="609">
        <f>'Site Vist fomat  (Design)'!C90</f>
        <v>0</v>
      </c>
      <c r="D94" s="609">
        <f>'Site Vist fomat  (Design)'!D90</f>
        <v>0</v>
      </c>
      <c r="E94" s="609">
        <f>'Site Vist fomat  (Design)'!E90</f>
        <v>0</v>
      </c>
      <c r="F94" s="609">
        <f>'Site Vist fomat  (Design)'!F90</f>
        <v>0</v>
      </c>
      <c r="G94" s="609">
        <f>'Site Vist fomat  (Design)'!G90</f>
        <v>0</v>
      </c>
      <c r="H94" s="609">
        <f>'Site Vist fomat  (Design)'!H90</f>
        <v>0</v>
      </c>
      <c r="I94" s="609">
        <f>'Site Vist fomat  (Design)'!I90</f>
        <v>0</v>
      </c>
      <c r="J94" s="609">
        <f>'Site Vist fomat  (Design)'!J90</f>
        <v>0</v>
      </c>
      <c r="K94" s="609">
        <f>'Site Vist fomat  (Design)'!K90</f>
        <v>0</v>
      </c>
      <c r="L94" s="609">
        <f>'Site Vist fomat  (Design)'!L90</f>
        <v>0</v>
      </c>
      <c r="M94" s="609">
        <f>'Site Vist fomat  (Design)'!M90</f>
        <v>0</v>
      </c>
      <c r="N94" s="609">
        <f>'Site Vist fomat  (Design)'!N90</f>
        <v>0</v>
      </c>
      <c r="O94" s="609">
        <f>'Site Vist fomat  (Design)'!O90</f>
        <v>0</v>
      </c>
      <c r="P94" s="636">
        <f>'Site Vist fomat  (Design)'!P90</f>
        <v>0</v>
      </c>
    </row>
    <row r="95" spans="1:16">
      <c r="A95" s="639" t="str">
        <f>'Site Vist fomat  (Design)'!A91</f>
        <v>If No then please mention type of obstacles</v>
      </c>
      <c r="B95" s="610">
        <f>'Site Vist fomat  (Design)'!B91</f>
        <v>0</v>
      </c>
      <c r="C95" s="611">
        <f>'Site Vist fomat  (Design)'!C91</f>
        <v>0</v>
      </c>
      <c r="D95" s="611">
        <f>'Site Vist fomat  (Design)'!D91</f>
        <v>0</v>
      </c>
      <c r="E95" s="611">
        <f>'Site Vist fomat  (Design)'!E91</f>
        <v>0</v>
      </c>
      <c r="F95" s="611">
        <f>'Site Vist fomat  (Design)'!F91</f>
        <v>0</v>
      </c>
      <c r="G95" s="611">
        <f>'Site Vist fomat  (Design)'!G91</f>
        <v>0</v>
      </c>
      <c r="H95" s="611">
        <f>'Site Vist fomat  (Design)'!H91</f>
        <v>0</v>
      </c>
      <c r="I95" s="611">
        <f>'Site Vist fomat  (Design)'!I91</f>
        <v>0</v>
      </c>
      <c r="J95" s="611">
        <f>'Site Vist fomat  (Design)'!J91</f>
        <v>0</v>
      </c>
      <c r="K95" s="611">
        <f>'Site Vist fomat  (Design)'!K91</f>
        <v>0</v>
      </c>
      <c r="L95" s="611">
        <f>'Site Vist fomat  (Design)'!L91</f>
        <v>0</v>
      </c>
      <c r="M95" s="611">
        <f>'Site Vist fomat  (Design)'!M91</f>
        <v>0</v>
      </c>
      <c r="N95" s="611">
        <f>'Site Vist fomat  (Design)'!N91</f>
        <v>0</v>
      </c>
      <c r="O95" s="611">
        <f>'Site Vist fomat  (Design)'!O91</f>
        <v>0</v>
      </c>
      <c r="P95" s="569">
        <f>'Site Vist fomat  (Design)'!P91</f>
        <v>0</v>
      </c>
    </row>
    <row r="96" spans="1:16">
      <c r="A96" s="639" t="str">
        <f>'Site Vist fomat  (Design)'!A92</f>
        <v>Photo 1 --&gt;</v>
      </c>
      <c r="B96" s="610">
        <f>'Site Vist fomat  (Design)'!B92</f>
        <v>0</v>
      </c>
      <c r="C96" s="611">
        <f>'Site Vist fomat  (Design)'!C92</f>
        <v>0</v>
      </c>
      <c r="D96" s="611">
        <f>'Site Vist fomat  (Design)'!D92</f>
        <v>0</v>
      </c>
      <c r="E96" s="611">
        <f>'Site Vist fomat  (Design)'!E92</f>
        <v>0</v>
      </c>
      <c r="F96" s="611">
        <f>'Site Vist fomat  (Design)'!F92</f>
        <v>0</v>
      </c>
      <c r="G96" s="611">
        <f>'Site Vist fomat  (Design)'!G92</f>
        <v>0</v>
      </c>
      <c r="H96" s="611">
        <f>'Site Vist fomat  (Design)'!H92</f>
        <v>0</v>
      </c>
      <c r="I96" s="611">
        <f>'Site Vist fomat  (Design)'!I92</f>
        <v>0</v>
      </c>
      <c r="J96" s="611">
        <f>'Site Vist fomat  (Design)'!J92</f>
        <v>0</v>
      </c>
      <c r="K96" s="611">
        <f>'Site Vist fomat  (Design)'!K92</f>
        <v>0</v>
      </c>
      <c r="L96" s="611">
        <f>'Site Vist fomat  (Design)'!L92</f>
        <v>0</v>
      </c>
      <c r="M96" s="611">
        <f>'Site Vist fomat  (Design)'!M92</f>
        <v>0</v>
      </c>
      <c r="N96" s="611">
        <f>'Site Vist fomat  (Design)'!N92</f>
        <v>0</v>
      </c>
      <c r="O96" s="611">
        <f>'Site Vist fomat  (Design)'!O92</f>
        <v>0</v>
      </c>
      <c r="P96" s="569">
        <f>'Site Vist fomat  (Design)'!P92</f>
        <v>0</v>
      </c>
    </row>
    <row r="97" spans="1:16">
      <c r="A97" s="639" t="str">
        <f>'Site Vist fomat  (Design)'!A93</f>
        <v>Photo 2 --&gt;</v>
      </c>
      <c r="B97" s="610">
        <f>'Site Vist fomat  (Design)'!B93</f>
        <v>0</v>
      </c>
      <c r="C97" s="611">
        <f>'Site Vist fomat  (Design)'!C93</f>
        <v>0</v>
      </c>
      <c r="D97" s="611">
        <f>'Site Vist fomat  (Design)'!D93</f>
        <v>0</v>
      </c>
      <c r="E97" s="611">
        <f>'Site Vist fomat  (Design)'!E93</f>
        <v>0</v>
      </c>
      <c r="F97" s="611">
        <f>'Site Vist fomat  (Design)'!F93</f>
        <v>0</v>
      </c>
      <c r="G97" s="611">
        <f>'Site Vist fomat  (Design)'!G93</f>
        <v>0</v>
      </c>
      <c r="H97" s="611">
        <f>'Site Vist fomat  (Design)'!H93</f>
        <v>0</v>
      </c>
      <c r="I97" s="611">
        <f>'Site Vist fomat  (Design)'!I93</f>
        <v>0</v>
      </c>
      <c r="J97" s="611">
        <f>'Site Vist fomat  (Design)'!J93</f>
        <v>0</v>
      </c>
      <c r="K97" s="611">
        <f>'Site Vist fomat  (Design)'!K93</f>
        <v>0</v>
      </c>
      <c r="L97" s="611">
        <f>'Site Vist fomat  (Design)'!L93</f>
        <v>0</v>
      </c>
      <c r="M97" s="611">
        <f>'Site Vist fomat  (Design)'!M93</f>
        <v>0</v>
      </c>
      <c r="N97" s="611">
        <f>'Site Vist fomat  (Design)'!N93</f>
        <v>0</v>
      </c>
      <c r="O97" s="611">
        <f>'Site Vist fomat  (Design)'!O93</f>
        <v>0</v>
      </c>
      <c r="P97" s="569">
        <f>'Site Vist fomat  (Design)'!P93</f>
        <v>0</v>
      </c>
    </row>
    <row r="98" spans="1:16">
      <c r="A98" s="639" t="str">
        <f>'Site Vist fomat  (Design)'!A94</f>
        <v>Available Ground area in acres</v>
      </c>
      <c r="B98" s="610">
        <f>'Site Vist fomat  (Design)'!B94</f>
        <v>0</v>
      </c>
      <c r="C98" s="611">
        <f>'Site Vist fomat  (Design)'!C94</f>
        <v>0</v>
      </c>
      <c r="D98" s="611">
        <f>'Site Vist fomat  (Design)'!D94</f>
        <v>0</v>
      </c>
      <c r="E98" s="611">
        <f>'Site Vist fomat  (Design)'!E94</f>
        <v>0</v>
      </c>
      <c r="F98" s="611">
        <f>'Site Vist fomat  (Design)'!F94</f>
        <v>0</v>
      </c>
      <c r="G98" s="611">
        <f>'Site Vist fomat  (Design)'!G94</f>
        <v>0</v>
      </c>
      <c r="H98" s="611">
        <f>'Site Vist fomat  (Design)'!H94</f>
        <v>0</v>
      </c>
      <c r="I98" s="611">
        <f>'Site Vist fomat  (Design)'!I94</f>
        <v>0</v>
      </c>
      <c r="J98" s="611">
        <f>'Site Vist fomat  (Design)'!J94</f>
        <v>0</v>
      </c>
      <c r="K98" s="611">
        <f>'Site Vist fomat  (Design)'!K94</f>
        <v>0</v>
      </c>
      <c r="L98" s="611">
        <f>'Site Vist fomat  (Design)'!L94</f>
        <v>0</v>
      </c>
      <c r="M98" s="611">
        <f>'Site Vist fomat  (Design)'!M94</f>
        <v>0</v>
      </c>
      <c r="N98" s="611">
        <f>'Site Vist fomat  (Design)'!N94</f>
        <v>0</v>
      </c>
      <c r="O98" s="611">
        <f>'Site Vist fomat  (Design)'!O94</f>
        <v>0</v>
      </c>
      <c r="P98" s="569">
        <f>'Site Vist fomat  (Design)'!P94</f>
        <v>0</v>
      </c>
    </row>
    <row r="99" spans="1:16">
      <c r="A99" s="638" t="str">
        <f>'Site Vist fomat  (Design)'!A95</f>
        <v xml:space="preserve">Land Levelling required? (Yes/No) </v>
      </c>
      <c r="B99" s="610">
        <f>'Site Vist fomat  (Design)'!B95</f>
        <v>0</v>
      </c>
      <c r="C99" s="611">
        <f>'Site Vist fomat  (Design)'!C95</f>
        <v>0</v>
      </c>
      <c r="D99" s="611">
        <f>'Site Vist fomat  (Design)'!D95</f>
        <v>0</v>
      </c>
      <c r="E99" s="611">
        <f>'Site Vist fomat  (Design)'!E95</f>
        <v>0</v>
      </c>
      <c r="F99" s="611">
        <f>'Site Vist fomat  (Design)'!F95</f>
        <v>0</v>
      </c>
      <c r="G99" s="611">
        <f>'Site Vist fomat  (Design)'!G95</f>
        <v>0</v>
      </c>
      <c r="H99" s="611">
        <f>'Site Vist fomat  (Design)'!H95</f>
        <v>0</v>
      </c>
      <c r="I99" s="611">
        <f>'Site Vist fomat  (Design)'!I95</f>
        <v>0</v>
      </c>
      <c r="J99" s="611">
        <f>'Site Vist fomat  (Design)'!J95</f>
        <v>0</v>
      </c>
      <c r="K99" s="611">
        <f>'Site Vist fomat  (Design)'!K95</f>
        <v>0</v>
      </c>
      <c r="L99" s="611">
        <f>'Site Vist fomat  (Design)'!L95</f>
        <v>0</v>
      </c>
      <c r="M99" s="611">
        <f>'Site Vist fomat  (Design)'!M95</f>
        <v>0</v>
      </c>
      <c r="N99" s="611">
        <f>'Site Vist fomat  (Design)'!N95</f>
        <v>0</v>
      </c>
      <c r="O99" s="611">
        <f>'Site Vist fomat  (Design)'!O95</f>
        <v>0</v>
      </c>
      <c r="P99" s="569">
        <f>'Site Vist fomat  (Design)'!P95</f>
        <v>0</v>
      </c>
    </row>
    <row r="100" spans="1:16">
      <c r="A100" s="638" t="str">
        <f>'Site Vist fomat  (Design)'!A96</f>
        <v>Scope of Vegetation/Trees/obstacle clearing.</v>
      </c>
      <c r="B100" s="610">
        <f>'Site Vist fomat  (Design)'!B96</f>
        <v>0</v>
      </c>
      <c r="C100" s="611">
        <f>'Site Vist fomat  (Design)'!C96</f>
        <v>0</v>
      </c>
      <c r="D100" s="611">
        <f>'Site Vist fomat  (Design)'!D96</f>
        <v>0</v>
      </c>
      <c r="E100" s="611">
        <f>'Site Vist fomat  (Design)'!E96</f>
        <v>0</v>
      </c>
      <c r="F100" s="611">
        <f>'Site Vist fomat  (Design)'!F96</f>
        <v>0</v>
      </c>
      <c r="G100" s="611">
        <f>'Site Vist fomat  (Design)'!G96</f>
        <v>0</v>
      </c>
      <c r="H100" s="611">
        <f>'Site Vist fomat  (Design)'!H96</f>
        <v>0</v>
      </c>
      <c r="I100" s="611">
        <f>'Site Vist fomat  (Design)'!I96</f>
        <v>0</v>
      </c>
      <c r="J100" s="611">
        <f>'Site Vist fomat  (Design)'!J96</f>
        <v>0</v>
      </c>
      <c r="K100" s="611">
        <f>'Site Vist fomat  (Design)'!K96</f>
        <v>0</v>
      </c>
      <c r="L100" s="611">
        <f>'Site Vist fomat  (Design)'!L96</f>
        <v>0</v>
      </c>
      <c r="M100" s="611">
        <f>'Site Vist fomat  (Design)'!M96</f>
        <v>0</v>
      </c>
      <c r="N100" s="611">
        <f>'Site Vist fomat  (Design)'!N96</f>
        <v>0</v>
      </c>
      <c r="O100" s="611">
        <f>'Site Vist fomat  (Design)'!O96</f>
        <v>0</v>
      </c>
      <c r="P100" s="569">
        <f>'Site Vist fomat  (Design)'!P96</f>
        <v>0</v>
      </c>
    </row>
    <row r="101" spans="1:16">
      <c r="A101" s="638" t="str">
        <f>'Site Vist fomat  (Design)'!A98</f>
        <v xml:space="preserve">Soil test report available? (Yes/No) </v>
      </c>
      <c r="B101" s="610">
        <f>'Site Vist fomat  (Design)'!B98</f>
        <v>0</v>
      </c>
      <c r="C101" s="611">
        <f>'Site Vist fomat  (Design)'!C98</f>
        <v>0</v>
      </c>
      <c r="D101" s="611">
        <f>'Site Vist fomat  (Design)'!D98</f>
        <v>0</v>
      </c>
      <c r="E101" s="611">
        <f>'Site Vist fomat  (Design)'!E98</f>
        <v>0</v>
      </c>
      <c r="F101" s="611">
        <f>'Site Vist fomat  (Design)'!F98</f>
        <v>0</v>
      </c>
      <c r="G101" s="611">
        <f>'Site Vist fomat  (Design)'!G98</f>
        <v>0</v>
      </c>
      <c r="H101" s="611">
        <f>'Site Vist fomat  (Design)'!H98</f>
        <v>0</v>
      </c>
      <c r="I101" s="611">
        <f>'Site Vist fomat  (Design)'!I98</f>
        <v>0</v>
      </c>
      <c r="J101" s="611">
        <f>'Site Vist fomat  (Design)'!J98</f>
        <v>0</v>
      </c>
      <c r="K101" s="611">
        <f>'Site Vist fomat  (Design)'!K98</f>
        <v>0</v>
      </c>
      <c r="L101" s="611">
        <f>'Site Vist fomat  (Design)'!L98</f>
        <v>0</v>
      </c>
      <c r="M101" s="611">
        <f>'Site Vist fomat  (Design)'!M98</f>
        <v>0</v>
      </c>
      <c r="N101" s="611">
        <f>'Site Vist fomat  (Design)'!N98</f>
        <v>0</v>
      </c>
      <c r="O101" s="611">
        <f>'Site Vist fomat  (Design)'!O98</f>
        <v>0</v>
      </c>
      <c r="P101" s="569">
        <f>'Site Vist fomat  (Design)'!P98</f>
        <v>0</v>
      </c>
    </row>
    <row r="102" spans="1:16">
      <c r="A102" s="638" t="str">
        <f>'Site Vist fomat  (Design)'!A99</f>
        <v>Scope of  Soil test</v>
      </c>
      <c r="B102" s="610">
        <f>'Site Vist fomat  (Design)'!B99</f>
        <v>0</v>
      </c>
      <c r="C102" s="611">
        <f>'Site Vist fomat  (Design)'!C99</f>
        <v>0</v>
      </c>
      <c r="D102" s="611">
        <f>'Site Vist fomat  (Design)'!D99</f>
        <v>0</v>
      </c>
      <c r="E102" s="611">
        <f>'Site Vist fomat  (Design)'!E99</f>
        <v>0</v>
      </c>
      <c r="F102" s="611">
        <f>'Site Vist fomat  (Design)'!F99</f>
        <v>0</v>
      </c>
      <c r="G102" s="611">
        <f>'Site Vist fomat  (Design)'!G99</f>
        <v>0</v>
      </c>
      <c r="H102" s="611">
        <f>'Site Vist fomat  (Design)'!H99</f>
        <v>0</v>
      </c>
      <c r="I102" s="611">
        <f>'Site Vist fomat  (Design)'!I99</f>
        <v>0</v>
      </c>
      <c r="J102" s="611">
        <f>'Site Vist fomat  (Design)'!J99</f>
        <v>0</v>
      </c>
      <c r="K102" s="611">
        <f>'Site Vist fomat  (Design)'!K99</f>
        <v>0</v>
      </c>
      <c r="L102" s="611">
        <f>'Site Vist fomat  (Design)'!L99</f>
        <v>0</v>
      </c>
      <c r="M102" s="611">
        <f>'Site Vist fomat  (Design)'!M99</f>
        <v>0</v>
      </c>
      <c r="N102" s="611">
        <f>'Site Vist fomat  (Design)'!N99</f>
        <v>0</v>
      </c>
      <c r="O102" s="611">
        <f>'Site Vist fomat  (Design)'!O99</f>
        <v>0</v>
      </c>
      <c r="P102" s="569">
        <f>'Site Vist fomat  (Design)'!P99</f>
        <v>0</v>
      </c>
    </row>
    <row r="103" spans="1:16" ht="36">
      <c r="A103" s="638" t="str">
        <f>'Site Vist fomat  (Design)'!A100</f>
        <v>Specify soil type (if possible) Wet soil/Dry soil/Hard rock/Fissured rock)</v>
      </c>
      <c r="B103" s="610">
        <f>'Site Vist fomat  (Design)'!B100</f>
        <v>0</v>
      </c>
      <c r="C103" s="611">
        <f>'Site Vist fomat  (Design)'!C100</f>
        <v>0</v>
      </c>
      <c r="D103" s="611">
        <f>'Site Vist fomat  (Design)'!D100</f>
        <v>0</v>
      </c>
      <c r="E103" s="611">
        <f>'Site Vist fomat  (Design)'!E100</f>
        <v>0</v>
      </c>
      <c r="F103" s="611">
        <f>'Site Vist fomat  (Design)'!F100</f>
        <v>0</v>
      </c>
      <c r="G103" s="611">
        <f>'Site Vist fomat  (Design)'!G100</f>
        <v>0</v>
      </c>
      <c r="H103" s="611">
        <f>'Site Vist fomat  (Design)'!H100</f>
        <v>0</v>
      </c>
      <c r="I103" s="611">
        <f>'Site Vist fomat  (Design)'!I100</f>
        <v>0</v>
      </c>
      <c r="J103" s="611">
        <f>'Site Vist fomat  (Design)'!J100</f>
        <v>0</v>
      </c>
      <c r="K103" s="611">
        <f>'Site Vist fomat  (Design)'!K100</f>
        <v>0</v>
      </c>
      <c r="L103" s="611">
        <f>'Site Vist fomat  (Design)'!L100</f>
        <v>0</v>
      </c>
      <c r="M103" s="611">
        <f>'Site Vist fomat  (Design)'!M100</f>
        <v>0</v>
      </c>
      <c r="N103" s="611">
        <f>'Site Vist fomat  (Design)'!N100</f>
        <v>0</v>
      </c>
      <c r="O103" s="611">
        <f>'Site Vist fomat  (Design)'!O100</f>
        <v>0</v>
      </c>
      <c r="P103" s="569">
        <f>'Site Vist fomat  (Design)'!P100</f>
        <v>0</v>
      </c>
    </row>
    <row r="104" spans="1:16">
      <c r="A104" s="638" t="str">
        <f>'Site Vist fomat  (Design)'!A101</f>
        <v>Whether Rock area? At what depth</v>
      </c>
      <c r="B104" s="610">
        <f>'Site Vist fomat  (Design)'!B101</f>
        <v>0</v>
      </c>
      <c r="C104" s="611">
        <f>'Site Vist fomat  (Design)'!C101</f>
        <v>0</v>
      </c>
      <c r="D104" s="611">
        <f>'Site Vist fomat  (Design)'!D101</f>
        <v>0</v>
      </c>
      <c r="E104" s="611">
        <f>'Site Vist fomat  (Design)'!E101</f>
        <v>0</v>
      </c>
      <c r="F104" s="611">
        <f>'Site Vist fomat  (Design)'!F101</f>
        <v>0</v>
      </c>
      <c r="G104" s="611">
        <f>'Site Vist fomat  (Design)'!G101</f>
        <v>0</v>
      </c>
      <c r="H104" s="611">
        <f>'Site Vist fomat  (Design)'!H101</f>
        <v>0</v>
      </c>
      <c r="I104" s="611">
        <f>'Site Vist fomat  (Design)'!I101</f>
        <v>0</v>
      </c>
      <c r="J104" s="611">
        <f>'Site Vist fomat  (Design)'!J101</f>
        <v>0</v>
      </c>
      <c r="K104" s="611">
        <f>'Site Vist fomat  (Design)'!K101</f>
        <v>0</v>
      </c>
      <c r="L104" s="611">
        <f>'Site Vist fomat  (Design)'!L101</f>
        <v>0</v>
      </c>
      <c r="M104" s="611">
        <f>'Site Vist fomat  (Design)'!M101</f>
        <v>0</v>
      </c>
      <c r="N104" s="611">
        <f>'Site Vist fomat  (Design)'!N101</f>
        <v>0</v>
      </c>
      <c r="O104" s="611">
        <f>'Site Vist fomat  (Design)'!O101</f>
        <v>0</v>
      </c>
      <c r="P104" s="569">
        <f>'Site Vist fomat  (Design)'!P101</f>
        <v>0</v>
      </c>
    </row>
    <row r="105" spans="1:16">
      <c r="A105" s="638" t="str">
        <f>'Site Vist fomat  (Design)'!A102</f>
        <v>Undulations if any?</v>
      </c>
      <c r="B105" s="610">
        <f>'Site Vist fomat  (Design)'!B102</f>
        <v>0</v>
      </c>
      <c r="C105" s="611">
        <f>'Site Vist fomat  (Design)'!C102</f>
        <v>0</v>
      </c>
      <c r="D105" s="611">
        <f>'Site Vist fomat  (Design)'!D102</f>
        <v>0</v>
      </c>
      <c r="E105" s="611">
        <f>'Site Vist fomat  (Design)'!E102</f>
        <v>0</v>
      </c>
      <c r="F105" s="611">
        <f>'Site Vist fomat  (Design)'!F102</f>
        <v>0</v>
      </c>
      <c r="G105" s="611">
        <f>'Site Vist fomat  (Design)'!G102</f>
        <v>0</v>
      </c>
      <c r="H105" s="611">
        <f>'Site Vist fomat  (Design)'!H102</f>
        <v>0</v>
      </c>
      <c r="I105" s="611">
        <f>'Site Vist fomat  (Design)'!I102</f>
        <v>0</v>
      </c>
      <c r="J105" s="611">
        <f>'Site Vist fomat  (Design)'!J102</f>
        <v>0</v>
      </c>
      <c r="K105" s="611">
        <f>'Site Vist fomat  (Design)'!K102</f>
        <v>0</v>
      </c>
      <c r="L105" s="611">
        <f>'Site Vist fomat  (Design)'!L102</f>
        <v>0</v>
      </c>
      <c r="M105" s="611">
        <f>'Site Vist fomat  (Design)'!M102</f>
        <v>0</v>
      </c>
      <c r="N105" s="611">
        <f>'Site Vist fomat  (Design)'!N102</f>
        <v>0</v>
      </c>
      <c r="O105" s="611">
        <f>'Site Vist fomat  (Design)'!O102</f>
        <v>0</v>
      </c>
      <c r="P105" s="569">
        <f>'Site Vist fomat  (Design)'!P102</f>
        <v>0</v>
      </c>
    </row>
    <row r="106" spans="1:16">
      <c r="A106" s="638" t="str">
        <f>'Site Vist fomat  (Design)'!A103</f>
        <v>Near by Lake/River passing?</v>
      </c>
      <c r="B106" s="610">
        <f>'Site Vist fomat  (Design)'!B103</f>
        <v>0</v>
      </c>
      <c r="C106" s="611">
        <f>'Site Vist fomat  (Design)'!C103</f>
        <v>0</v>
      </c>
      <c r="D106" s="611">
        <f>'Site Vist fomat  (Design)'!D103</f>
        <v>0</v>
      </c>
      <c r="E106" s="611">
        <f>'Site Vist fomat  (Design)'!E103</f>
        <v>0</v>
      </c>
      <c r="F106" s="611">
        <f>'Site Vist fomat  (Design)'!F103</f>
        <v>0</v>
      </c>
      <c r="G106" s="611">
        <f>'Site Vist fomat  (Design)'!G103</f>
        <v>0</v>
      </c>
      <c r="H106" s="611">
        <f>'Site Vist fomat  (Design)'!H103</f>
        <v>0</v>
      </c>
      <c r="I106" s="611">
        <f>'Site Vist fomat  (Design)'!I103</f>
        <v>0</v>
      </c>
      <c r="J106" s="611">
        <f>'Site Vist fomat  (Design)'!J103</f>
        <v>0</v>
      </c>
      <c r="K106" s="611">
        <f>'Site Vist fomat  (Design)'!K103</f>
        <v>0</v>
      </c>
      <c r="L106" s="611">
        <f>'Site Vist fomat  (Design)'!L103</f>
        <v>0</v>
      </c>
      <c r="M106" s="611">
        <f>'Site Vist fomat  (Design)'!M103</f>
        <v>0</v>
      </c>
      <c r="N106" s="611">
        <f>'Site Vist fomat  (Design)'!N103</f>
        <v>0</v>
      </c>
      <c r="O106" s="611">
        <f>'Site Vist fomat  (Design)'!O103</f>
        <v>0</v>
      </c>
      <c r="P106" s="569">
        <f>'Site Vist fomat  (Design)'!P103</f>
        <v>0</v>
      </c>
    </row>
    <row r="107" spans="1:16">
      <c r="A107" s="638" t="str">
        <f>'Site Vist fomat  (Design)'!A104</f>
        <v>Area within client boundary (Yes/No)</v>
      </c>
      <c r="B107" s="610">
        <f>'Site Vist fomat  (Design)'!B98</f>
        <v>0</v>
      </c>
      <c r="C107" s="611">
        <f>'Site Vist fomat  (Design)'!C98</f>
        <v>0</v>
      </c>
      <c r="D107" s="611">
        <f>'Site Vist fomat  (Design)'!D98</f>
        <v>0</v>
      </c>
      <c r="E107" s="611">
        <f>'Site Vist fomat  (Design)'!E98</f>
        <v>0</v>
      </c>
      <c r="F107" s="611">
        <f>'Site Vist fomat  (Design)'!F98</f>
        <v>0</v>
      </c>
      <c r="G107" s="611">
        <f>'Site Vist fomat  (Design)'!G98</f>
        <v>0</v>
      </c>
      <c r="H107" s="611">
        <f>'Site Vist fomat  (Design)'!H98</f>
        <v>0</v>
      </c>
      <c r="I107" s="611">
        <f>'Site Vist fomat  (Design)'!I98</f>
        <v>0</v>
      </c>
      <c r="J107" s="611">
        <f>'Site Vist fomat  (Design)'!J98</f>
        <v>0</v>
      </c>
      <c r="K107" s="611">
        <f>'Site Vist fomat  (Design)'!K98</f>
        <v>0</v>
      </c>
      <c r="L107" s="611">
        <f>'Site Vist fomat  (Design)'!L98</f>
        <v>0</v>
      </c>
      <c r="M107" s="611">
        <f>'Site Vist fomat  (Design)'!M98</f>
        <v>0</v>
      </c>
      <c r="N107" s="611">
        <f>'Site Vist fomat  (Design)'!N98</f>
        <v>0</v>
      </c>
      <c r="O107" s="611">
        <f>'Site Vist fomat  (Design)'!O98</f>
        <v>0</v>
      </c>
      <c r="P107" s="569">
        <f>'Site Vist fomat  (Design)'!P98</f>
        <v>0</v>
      </c>
    </row>
    <row r="108" spans="1:16">
      <c r="A108" s="640" t="str">
        <f>'Site Vist fomat  (Design)'!A105</f>
        <v>Does the client require boundary/fencing (Yes/No)</v>
      </c>
      <c r="B108" s="610">
        <f>'Site Vist fomat  (Design)'!B100</f>
        <v>0</v>
      </c>
      <c r="C108" s="611">
        <f>'Site Vist fomat  (Design)'!C100</f>
        <v>0</v>
      </c>
      <c r="D108" s="611">
        <f>'Site Vist fomat  (Design)'!D100</f>
        <v>0</v>
      </c>
      <c r="E108" s="611">
        <f>'Site Vist fomat  (Design)'!E100</f>
        <v>0</v>
      </c>
      <c r="F108" s="611">
        <f>'Site Vist fomat  (Design)'!F100</f>
        <v>0</v>
      </c>
      <c r="G108" s="611">
        <f>'Site Vist fomat  (Design)'!G100</f>
        <v>0</v>
      </c>
      <c r="H108" s="611">
        <f>'Site Vist fomat  (Design)'!H100</f>
        <v>0</v>
      </c>
      <c r="I108" s="611">
        <f>'Site Vist fomat  (Design)'!I100</f>
        <v>0</v>
      </c>
      <c r="J108" s="611">
        <f>'Site Vist fomat  (Design)'!J100</f>
        <v>0</v>
      </c>
      <c r="K108" s="611">
        <f>'Site Vist fomat  (Design)'!K100</f>
        <v>0</v>
      </c>
      <c r="L108" s="611">
        <f>'Site Vist fomat  (Design)'!L100</f>
        <v>0</v>
      </c>
      <c r="M108" s="611">
        <f>'Site Vist fomat  (Design)'!M100</f>
        <v>0</v>
      </c>
      <c r="N108" s="611">
        <f>'Site Vist fomat  (Design)'!N100</f>
        <v>0</v>
      </c>
      <c r="O108" s="611">
        <f>'Site Vist fomat  (Design)'!O100</f>
        <v>0</v>
      </c>
      <c r="P108" s="569">
        <f>'Site Vist fomat  (Design)'!P100</f>
        <v>0</v>
      </c>
    </row>
    <row r="109" spans="1:16" ht="36">
      <c r="A109" s="640" t="str">
        <f>'Site Vist fomat  (Design)'!A106</f>
        <v>Are there trees/obstacles outside client boundary causing shadows? (Yes/No)</v>
      </c>
      <c r="B109" s="610">
        <f>'Site Vist fomat  (Design)'!B96</f>
        <v>0</v>
      </c>
      <c r="C109" s="611">
        <f>'Site Vist fomat  (Design)'!C96</f>
        <v>0</v>
      </c>
      <c r="D109" s="611">
        <f>'Site Vist fomat  (Design)'!D96</f>
        <v>0</v>
      </c>
      <c r="E109" s="611">
        <f>'Site Vist fomat  (Design)'!E96</f>
        <v>0</v>
      </c>
      <c r="F109" s="611">
        <f>'Site Vist fomat  (Design)'!F96</f>
        <v>0</v>
      </c>
      <c r="G109" s="611">
        <f>'Site Vist fomat  (Design)'!G96</f>
        <v>0</v>
      </c>
      <c r="H109" s="611">
        <f>'Site Vist fomat  (Design)'!H96</f>
        <v>0</v>
      </c>
      <c r="I109" s="611">
        <f>'Site Vist fomat  (Design)'!I96</f>
        <v>0</v>
      </c>
      <c r="J109" s="611">
        <f>'Site Vist fomat  (Design)'!J96</f>
        <v>0</v>
      </c>
      <c r="K109" s="611">
        <f>'Site Vist fomat  (Design)'!K96</f>
        <v>0</v>
      </c>
      <c r="L109" s="611">
        <f>'Site Vist fomat  (Design)'!L96</f>
        <v>0</v>
      </c>
      <c r="M109" s="611">
        <f>'Site Vist fomat  (Design)'!M96</f>
        <v>0</v>
      </c>
      <c r="N109" s="611">
        <f>'Site Vist fomat  (Design)'!N96</f>
        <v>0</v>
      </c>
      <c r="O109" s="611">
        <f>'Site Vist fomat  (Design)'!O96</f>
        <v>0</v>
      </c>
      <c r="P109" s="569">
        <f>'Site Vist fomat  (Design)'!P96</f>
        <v>0</v>
      </c>
    </row>
    <row r="110" spans="1:16" ht="25.5" customHeight="1">
      <c r="A110" s="641" t="str">
        <f>'Site Vist fomat  (Design)'!A107</f>
        <v>Is there any water body/patches in land area?</v>
      </c>
      <c r="B110" s="610">
        <f>'Site Vist fomat  (Design)'!B104</f>
        <v>0</v>
      </c>
      <c r="C110" s="611">
        <f>'Site Vist fomat  (Design)'!C104</f>
        <v>0</v>
      </c>
      <c r="D110" s="611">
        <f>'Site Vist fomat  (Design)'!D104</f>
        <v>0</v>
      </c>
      <c r="E110" s="611">
        <f>'Site Vist fomat  (Design)'!E104</f>
        <v>0</v>
      </c>
      <c r="F110" s="611">
        <f>'Site Vist fomat  (Design)'!F104</f>
        <v>0</v>
      </c>
      <c r="G110" s="611">
        <f>'Site Vist fomat  (Design)'!G104</f>
        <v>0</v>
      </c>
      <c r="H110" s="611">
        <f>'Site Vist fomat  (Design)'!H104</f>
        <v>0</v>
      </c>
      <c r="I110" s="611">
        <f>'Site Vist fomat  (Design)'!I104</f>
        <v>0</v>
      </c>
      <c r="J110" s="611">
        <f>'Site Vist fomat  (Design)'!J104</f>
        <v>0</v>
      </c>
      <c r="K110" s="611">
        <f>'Site Vist fomat  (Design)'!K104</f>
        <v>0</v>
      </c>
      <c r="L110" s="611">
        <f>'Site Vist fomat  (Design)'!L104</f>
        <v>0</v>
      </c>
      <c r="M110" s="611">
        <f>'Site Vist fomat  (Design)'!M104</f>
        <v>0</v>
      </c>
      <c r="N110" s="611">
        <f>'Site Vist fomat  (Design)'!N104</f>
        <v>0</v>
      </c>
      <c r="O110" s="611">
        <f>'Site Vist fomat  (Design)'!O104</f>
        <v>0</v>
      </c>
      <c r="P110" s="569">
        <f>'Site Vist fomat  (Design)'!P104</f>
        <v>0</v>
      </c>
    </row>
    <row r="111" spans="1:16" ht="18.600000000000001" thickBot="1">
      <c r="A111" s="641" t="str">
        <f>'Site Vist fomat  (Design)'!A109</f>
        <v xml:space="preserve">Remark (If any) :- </v>
      </c>
      <c r="B111" s="642">
        <f>'Site Vist fomat  (Design)'!B105</f>
        <v>0</v>
      </c>
      <c r="C111" s="643">
        <f>'Site Vist fomat  (Design)'!C105</f>
        <v>0</v>
      </c>
      <c r="D111" s="643">
        <f>'Site Vist fomat  (Design)'!D105</f>
        <v>0</v>
      </c>
      <c r="E111" s="643">
        <f>'Site Vist fomat  (Design)'!E105</f>
        <v>0</v>
      </c>
      <c r="F111" s="643">
        <f>'Site Vist fomat  (Design)'!F105</f>
        <v>0</v>
      </c>
      <c r="G111" s="643">
        <f>'Site Vist fomat  (Design)'!G105</f>
        <v>0</v>
      </c>
      <c r="H111" s="643">
        <f>'Site Vist fomat  (Design)'!H105</f>
        <v>0</v>
      </c>
      <c r="I111" s="643">
        <f>'Site Vist fomat  (Design)'!I105</f>
        <v>0</v>
      </c>
      <c r="J111" s="643">
        <f>'Site Vist fomat  (Design)'!J105</f>
        <v>0</v>
      </c>
      <c r="K111" s="643">
        <f>'Site Vist fomat  (Design)'!K105</f>
        <v>0</v>
      </c>
      <c r="L111" s="643">
        <f>'Site Vist fomat  (Design)'!L105</f>
        <v>0</v>
      </c>
      <c r="M111" s="643">
        <f>'Site Vist fomat  (Design)'!M105</f>
        <v>0</v>
      </c>
      <c r="N111" s="643">
        <f>'Site Vist fomat  (Design)'!N105</f>
        <v>0</v>
      </c>
      <c r="O111" s="643">
        <f>'Site Vist fomat  (Design)'!O105</f>
        <v>0</v>
      </c>
      <c r="P111" s="644">
        <f>'Site Vist fomat  (Design)'!P105</f>
        <v>0</v>
      </c>
    </row>
    <row r="112" spans="1:16" ht="18.600000000000001" thickBot="1">
      <c r="A112" s="2635" t="str">
        <f>'Site Vist fomat  (Design)'!A110</f>
        <v>Car Parking Details</v>
      </c>
      <c r="B112" s="2636"/>
      <c r="C112" s="2636"/>
      <c r="D112" s="2636"/>
      <c r="E112" s="2636"/>
      <c r="F112" s="2636"/>
      <c r="G112" s="2636"/>
      <c r="H112" s="2636"/>
      <c r="I112" s="2636"/>
      <c r="J112" s="2636"/>
      <c r="K112" s="2636"/>
      <c r="L112" s="2636"/>
      <c r="M112" s="2636"/>
      <c r="N112" s="2636"/>
      <c r="O112" s="2636"/>
      <c r="P112" s="2637"/>
    </row>
    <row r="113" spans="1:16" ht="36">
      <c r="A113" s="645" t="str">
        <f>'Site Vist fomat  (Design)'!A111</f>
        <v>Type of Ground Whether Tiles/ PCC/ RCC/ soil Ground</v>
      </c>
      <c r="B113" s="608">
        <f>'Site Vist fomat  (Design)'!B107</f>
        <v>0</v>
      </c>
      <c r="C113" s="609">
        <f>'Site Vist fomat  (Design)'!C107</f>
        <v>0</v>
      </c>
      <c r="D113" s="609">
        <f>'Site Vist fomat  (Design)'!D107</f>
        <v>0</v>
      </c>
      <c r="E113" s="609">
        <f>'Site Vist fomat  (Design)'!E107</f>
        <v>0</v>
      </c>
      <c r="F113" s="609">
        <f>'Site Vist fomat  (Design)'!F107</f>
        <v>0</v>
      </c>
      <c r="G113" s="609">
        <f>'Site Vist fomat  (Design)'!G107</f>
        <v>0</v>
      </c>
      <c r="H113" s="609">
        <f>'Site Vist fomat  (Design)'!H107</f>
        <v>0</v>
      </c>
      <c r="I113" s="609">
        <f>'Site Vist fomat  (Design)'!I107</f>
        <v>0</v>
      </c>
      <c r="J113" s="609">
        <f>'Site Vist fomat  (Design)'!J107</f>
        <v>0</v>
      </c>
      <c r="K113" s="609">
        <f>'Site Vist fomat  (Design)'!K107</f>
        <v>0</v>
      </c>
      <c r="L113" s="609">
        <f>'Site Vist fomat  (Design)'!L107</f>
        <v>0</v>
      </c>
      <c r="M113" s="609">
        <f>'Site Vist fomat  (Design)'!M107</f>
        <v>0</v>
      </c>
      <c r="N113" s="609">
        <f>'Site Vist fomat  (Design)'!N107</f>
        <v>0</v>
      </c>
      <c r="O113" s="609">
        <f>'Site Vist fomat  (Design)'!O107</f>
        <v>0</v>
      </c>
      <c r="P113" s="636">
        <f>'Site Vist fomat  (Design)'!P107</f>
        <v>0</v>
      </c>
    </row>
    <row r="114" spans="1:16" ht="36">
      <c r="A114" s="641" t="str">
        <f>'Site Vist fomat  (Design)'!A112</f>
        <v>If RCC, Client is ready to Anchoring / Isolated foundation?</v>
      </c>
      <c r="B114" s="610">
        <f>'Site Vist fomat  (Design)'!B108</f>
        <v>0</v>
      </c>
      <c r="C114" s="611">
        <f>'Site Vist fomat  (Design)'!C108</f>
        <v>0</v>
      </c>
      <c r="D114" s="611">
        <f>'Site Vist fomat  (Design)'!D108</f>
        <v>0</v>
      </c>
      <c r="E114" s="611">
        <f>'Site Vist fomat  (Design)'!E108</f>
        <v>0</v>
      </c>
      <c r="F114" s="611">
        <f>'Site Vist fomat  (Design)'!F108</f>
        <v>0</v>
      </c>
      <c r="G114" s="611">
        <f>'Site Vist fomat  (Design)'!G108</f>
        <v>0</v>
      </c>
      <c r="H114" s="611">
        <f>'Site Vist fomat  (Design)'!H108</f>
        <v>0</v>
      </c>
      <c r="I114" s="611">
        <f>'Site Vist fomat  (Design)'!I108</f>
        <v>0</v>
      </c>
      <c r="J114" s="611">
        <f>'Site Vist fomat  (Design)'!J108</f>
        <v>0</v>
      </c>
      <c r="K114" s="611">
        <f>'Site Vist fomat  (Design)'!K108</f>
        <v>0</v>
      </c>
      <c r="L114" s="611">
        <f>'Site Vist fomat  (Design)'!L108</f>
        <v>0</v>
      </c>
      <c r="M114" s="611">
        <f>'Site Vist fomat  (Design)'!M108</f>
        <v>0</v>
      </c>
      <c r="N114" s="611">
        <f>'Site Vist fomat  (Design)'!N108</f>
        <v>0</v>
      </c>
      <c r="O114" s="611">
        <f>'Site Vist fomat  (Design)'!O108</f>
        <v>0</v>
      </c>
      <c r="P114" s="569">
        <f>'Site Vist fomat  (Design)'!P108</f>
        <v>0</v>
      </c>
    </row>
    <row r="115" spans="1:16">
      <c r="A115" s="641" t="str">
        <f>'Site Vist fomat  (Design)'!A113</f>
        <v>No of Cars Parking</v>
      </c>
      <c r="B115" s="610">
        <f>'Site Vist fomat  (Design)'!B109</f>
        <v>0</v>
      </c>
      <c r="C115" s="611">
        <f>'Site Vist fomat  (Design)'!C109</f>
        <v>0</v>
      </c>
      <c r="D115" s="611">
        <f>'Site Vist fomat  (Design)'!D109</f>
        <v>0</v>
      </c>
      <c r="E115" s="611">
        <f>'Site Vist fomat  (Design)'!E109</f>
        <v>0</v>
      </c>
      <c r="F115" s="611">
        <f>'Site Vist fomat  (Design)'!F109</f>
        <v>0</v>
      </c>
      <c r="G115" s="611">
        <f>'Site Vist fomat  (Design)'!G109</f>
        <v>0</v>
      </c>
      <c r="H115" s="611">
        <f>'Site Vist fomat  (Design)'!H109</f>
        <v>0</v>
      </c>
      <c r="I115" s="611">
        <f>'Site Vist fomat  (Design)'!I109</f>
        <v>0</v>
      </c>
      <c r="J115" s="611">
        <f>'Site Vist fomat  (Design)'!J109</f>
        <v>0</v>
      </c>
      <c r="K115" s="611">
        <f>'Site Vist fomat  (Design)'!K109</f>
        <v>0</v>
      </c>
      <c r="L115" s="611">
        <f>'Site Vist fomat  (Design)'!L109</f>
        <v>0</v>
      </c>
      <c r="M115" s="611">
        <f>'Site Vist fomat  (Design)'!M109</f>
        <v>0</v>
      </c>
      <c r="N115" s="611">
        <f>'Site Vist fomat  (Design)'!N109</f>
        <v>0</v>
      </c>
      <c r="O115" s="611">
        <f>'Site Vist fomat  (Design)'!O109</f>
        <v>0</v>
      </c>
      <c r="P115" s="569">
        <f>'Site Vist fomat  (Design)'!P109</f>
        <v>0</v>
      </c>
    </row>
    <row r="116" spans="1:16">
      <c r="A116" s="641" t="str">
        <f>'Site Vist fomat  (Design)'!A114</f>
        <v>Any transmission lines passing over Parking area?</v>
      </c>
      <c r="B116" s="610">
        <f>'Site Vist fomat  (Design)'!B110</f>
        <v>0</v>
      </c>
      <c r="C116" s="611">
        <f>'Site Vist fomat  (Design)'!C110</f>
        <v>0</v>
      </c>
      <c r="D116" s="611">
        <f>'Site Vist fomat  (Design)'!D110</f>
        <v>0</v>
      </c>
      <c r="E116" s="611">
        <f>'Site Vist fomat  (Design)'!E110</f>
        <v>0</v>
      </c>
      <c r="F116" s="611">
        <f>'Site Vist fomat  (Design)'!F110</f>
        <v>0</v>
      </c>
      <c r="G116" s="611">
        <f>'Site Vist fomat  (Design)'!G110</f>
        <v>0</v>
      </c>
      <c r="H116" s="611" t="str">
        <f>'Site Vist fomat  (Design)'!H110</f>
        <v>Car Parking Details</v>
      </c>
      <c r="I116" s="611">
        <f>'Site Vist fomat  (Design)'!I110</f>
        <v>0</v>
      </c>
      <c r="J116" s="611">
        <f>'Site Vist fomat  (Design)'!J110</f>
        <v>0</v>
      </c>
      <c r="K116" s="611">
        <f>'Site Vist fomat  (Design)'!K110</f>
        <v>0</v>
      </c>
      <c r="L116" s="611">
        <f>'Site Vist fomat  (Design)'!L110</f>
        <v>0</v>
      </c>
      <c r="M116" s="611">
        <f>'Site Vist fomat  (Design)'!M110</f>
        <v>0</v>
      </c>
      <c r="N116" s="611">
        <f>'Site Vist fomat  (Design)'!N110</f>
        <v>0</v>
      </c>
      <c r="O116" s="611">
        <f>'Site Vist fomat  (Design)'!O110</f>
        <v>0</v>
      </c>
      <c r="P116" s="569">
        <f>'Site Vist fomat  (Design)'!P110</f>
        <v>0</v>
      </c>
    </row>
    <row r="117" spans="1:16" ht="36">
      <c r="A117" s="641" t="str">
        <f>'Site Vist fomat  (Design)'!A115</f>
        <v>If yellow parking markings available, Length and width of markings</v>
      </c>
      <c r="B117" s="610">
        <f>'Site Vist fomat  (Design)'!B111</f>
        <v>0</v>
      </c>
      <c r="C117" s="611" t="str">
        <f>'Site Vist fomat  (Design)'!C111</f>
        <v>paver block</v>
      </c>
      <c r="D117" s="611">
        <f>'Site Vist fomat  (Design)'!D111</f>
        <v>0</v>
      </c>
      <c r="E117" s="611">
        <f>'Site Vist fomat  (Design)'!E111</f>
        <v>0</v>
      </c>
      <c r="F117" s="611">
        <f>'Site Vist fomat  (Design)'!F111</f>
        <v>0</v>
      </c>
      <c r="G117" s="611">
        <f>'Site Vist fomat  (Design)'!G111</f>
        <v>0</v>
      </c>
      <c r="H117" s="611">
        <f>'Site Vist fomat  (Design)'!H111</f>
        <v>0</v>
      </c>
      <c r="I117" s="611">
        <f>'Site Vist fomat  (Design)'!I111</f>
        <v>0</v>
      </c>
      <c r="J117" s="611">
        <f>'Site Vist fomat  (Design)'!J111</f>
        <v>0</v>
      </c>
      <c r="K117" s="611">
        <f>'Site Vist fomat  (Design)'!K111</f>
        <v>0</v>
      </c>
      <c r="L117" s="611">
        <f>'Site Vist fomat  (Design)'!L111</f>
        <v>0</v>
      </c>
      <c r="M117" s="611">
        <f>'Site Vist fomat  (Design)'!M111</f>
        <v>0</v>
      </c>
      <c r="N117" s="611">
        <f>'Site Vist fomat  (Design)'!N111</f>
        <v>0</v>
      </c>
      <c r="O117" s="611">
        <f>'Site Vist fomat  (Design)'!O111</f>
        <v>0</v>
      </c>
      <c r="P117" s="569">
        <f>'Site Vist fomat  (Design)'!P111</f>
        <v>0</v>
      </c>
    </row>
    <row r="118" spans="1:16">
      <c r="A118" s="641" t="str">
        <f>'Site Vist fomat  (Design)'!A116</f>
        <v xml:space="preserve">Proposed structure height in mm </v>
      </c>
      <c r="B118" s="610">
        <f>'Site Vist fomat  (Design)'!B112</f>
        <v>0</v>
      </c>
      <c r="C118" s="611">
        <f>'Site Vist fomat  (Design)'!C112</f>
        <v>0</v>
      </c>
      <c r="D118" s="611">
        <f>'Site Vist fomat  (Design)'!D112</f>
        <v>0</v>
      </c>
      <c r="E118" s="611">
        <f>'Site Vist fomat  (Design)'!E112</f>
        <v>0</v>
      </c>
      <c r="F118" s="611">
        <f>'Site Vist fomat  (Design)'!F112</f>
        <v>0</v>
      </c>
      <c r="G118" s="611">
        <f>'Site Vist fomat  (Design)'!G112</f>
        <v>0</v>
      </c>
      <c r="H118" s="611">
        <f>'Site Vist fomat  (Design)'!H112</f>
        <v>0</v>
      </c>
      <c r="I118" s="611">
        <f>'Site Vist fomat  (Design)'!I112</f>
        <v>0</v>
      </c>
      <c r="J118" s="611">
        <f>'Site Vist fomat  (Design)'!J112</f>
        <v>0</v>
      </c>
      <c r="K118" s="611">
        <f>'Site Vist fomat  (Design)'!K112</f>
        <v>0</v>
      </c>
      <c r="L118" s="611">
        <f>'Site Vist fomat  (Design)'!L112</f>
        <v>0</v>
      </c>
      <c r="M118" s="611">
        <f>'Site Vist fomat  (Design)'!M112</f>
        <v>0</v>
      </c>
      <c r="N118" s="611">
        <f>'Site Vist fomat  (Design)'!N112</f>
        <v>0</v>
      </c>
      <c r="O118" s="611">
        <f>'Site Vist fomat  (Design)'!O112</f>
        <v>0</v>
      </c>
      <c r="P118" s="569">
        <f>'Site Vist fomat  (Design)'!P112</f>
        <v>0</v>
      </c>
    </row>
    <row r="119" spans="1:16" ht="18.600000000000001" thickBot="1">
      <c r="A119" s="641" t="str">
        <f>'Site Vist fomat  (Design)'!A117</f>
        <v xml:space="preserve">Remark (If any) :- </v>
      </c>
      <c r="B119" s="581">
        <f>'Site Vist fomat  (Design)'!B113</f>
        <v>0</v>
      </c>
      <c r="C119" s="614" t="str">
        <f>'Site Vist fomat  (Design)'!C113</f>
        <v>as per area</v>
      </c>
      <c r="D119" s="614">
        <f>'Site Vist fomat  (Design)'!D113</f>
        <v>0</v>
      </c>
      <c r="E119" s="614">
        <f>'Site Vist fomat  (Design)'!E113</f>
        <v>0</v>
      </c>
      <c r="F119" s="614">
        <f>'Site Vist fomat  (Design)'!F113</f>
        <v>0</v>
      </c>
      <c r="G119" s="614">
        <f>'Site Vist fomat  (Design)'!G113</f>
        <v>0</v>
      </c>
      <c r="H119" s="614">
        <f>'Site Vist fomat  (Design)'!H113</f>
        <v>0</v>
      </c>
      <c r="I119" s="614">
        <f>'Site Vist fomat  (Design)'!I113</f>
        <v>0</v>
      </c>
      <c r="J119" s="614">
        <f>'Site Vist fomat  (Design)'!J113</f>
        <v>0</v>
      </c>
      <c r="K119" s="614">
        <f>'Site Vist fomat  (Design)'!K113</f>
        <v>0</v>
      </c>
      <c r="L119" s="614">
        <f>'Site Vist fomat  (Design)'!L113</f>
        <v>0</v>
      </c>
      <c r="M119" s="614">
        <f>'Site Vist fomat  (Design)'!M113</f>
        <v>0</v>
      </c>
      <c r="N119" s="614">
        <f>'Site Vist fomat  (Design)'!N113</f>
        <v>0</v>
      </c>
      <c r="O119" s="614">
        <f>'Site Vist fomat  (Design)'!O113</f>
        <v>0</v>
      </c>
      <c r="P119" s="582">
        <f>'Site Vist fomat  (Design)'!P113</f>
        <v>0</v>
      </c>
    </row>
    <row r="120" spans="1:16" ht="21.6" thickBot="1">
      <c r="A120" s="2615" t="s">
        <v>387</v>
      </c>
      <c r="B120" s="2616"/>
      <c r="C120" s="2616"/>
      <c r="D120" s="2616"/>
      <c r="E120" s="2616"/>
      <c r="F120" s="2616"/>
      <c r="G120" s="2616"/>
      <c r="H120" s="2616"/>
      <c r="I120" s="2616"/>
      <c r="J120" s="2616"/>
      <c r="K120" s="2617"/>
      <c r="L120" s="646"/>
      <c r="M120" s="646"/>
      <c r="N120" s="646"/>
      <c r="O120" s="646"/>
      <c r="P120" s="646"/>
    </row>
    <row r="121" spans="1:16">
      <c r="A121" s="647" t="str">
        <f>'Site Vist fomat  (Design)'!A119</f>
        <v>Type of Pond for Floating (Natural/Constructed)</v>
      </c>
      <c r="B121" s="648">
        <f>'Site Vist fomat  (Design)'!B119</f>
        <v>0</v>
      </c>
      <c r="C121" s="649"/>
      <c r="D121" s="649"/>
      <c r="E121" s="649"/>
      <c r="F121" s="649"/>
      <c r="G121" s="649"/>
      <c r="H121" s="649"/>
      <c r="I121" s="649"/>
      <c r="J121" s="649"/>
      <c r="K121" s="646"/>
      <c r="L121" s="566"/>
      <c r="M121" s="566"/>
      <c r="N121" s="566"/>
      <c r="O121" s="566"/>
      <c r="P121" s="566"/>
    </row>
    <row r="122" spans="1:16">
      <c r="A122" s="650" t="str">
        <f>'Site Vist fomat  (Design)'!C119</f>
        <v>Depth of Pond? In mtrs</v>
      </c>
      <c r="B122" s="565">
        <f>'Site Vist fomat  (Design)'!D119</f>
        <v>0</v>
      </c>
      <c r="C122" s="651"/>
      <c r="D122" s="651"/>
      <c r="E122" s="651"/>
      <c r="F122" s="651"/>
      <c r="G122" s="651"/>
      <c r="H122" s="651"/>
      <c r="I122" s="651"/>
      <c r="J122" s="651"/>
      <c r="K122" s="566"/>
      <c r="L122" s="566"/>
      <c r="M122" s="566"/>
      <c r="N122" s="566"/>
      <c r="O122" s="566"/>
      <c r="P122" s="566"/>
    </row>
    <row r="123" spans="1:16">
      <c r="A123" s="650" t="str">
        <f>'Site Vist fomat  (Design)'!E119</f>
        <v>Minimum Water Level that can be maintained?</v>
      </c>
      <c r="B123" s="565">
        <f>'Site Vist fomat  (Design)'!F119</f>
        <v>0</v>
      </c>
      <c r="C123" s="651">
        <f>'Site Vist fomat  (Design)'!G119</f>
        <v>0</v>
      </c>
      <c r="D123" s="651"/>
      <c r="E123" s="651"/>
      <c r="F123" s="651"/>
      <c r="G123" s="651"/>
      <c r="H123" s="651"/>
      <c r="I123" s="651"/>
      <c r="J123" s="651"/>
      <c r="K123" s="566"/>
      <c r="L123" s="566"/>
      <c r="M123" s="566"/>
      <c r="N123" s="566"/>
      <c r="O123" s="566"/>
      <c r="P123" s="566"/>
    </row>
    <row r="124" spans="1:16">
      <c r="A124" s="650" t="str">
        <f>'Site Vist fomat  (Design)'!A120</f>
        <v>Water Source</v>
      </c>
      <c r="B124" s="565">
        <f>'Site Vist fomat  (Design)'!B120</f>
        <v>0</v>
      </c>
      <c r="C124" s="651"/>
      <c r="D124" s="651"/>
      <c r="E124" s="651"/>
      <c r="F124" s="651"/>
      <c r="G124" s="651"/>
      <c r="H124" s="651"/>
      <c r="I124" s="651"/>
      <c r="J124" s="651"/>
      <c r="K124" s="566"/>
      <c r="L124" s="566"/>
      <c r="M124" s="566"/>
      <c r="N124" s="566"/>
      <c r="O124" s="566"/>
      <c r="P124" s="566"/>
    </row>
    <row r="125" spans="1:16">
      <c r="A125" s="650" t="str">
        <f>'Site Vist fomat  (Design)'!C120</f>
        <v>Water Quality</v>
      </c>
      <c r="B125" s="565">
        <f>'Site Vist fomat  (Design)'!D120</f>
        <v>0</v>
      </c>
      <c r="C125" s="651"/>
      <c r="D125" s="651"/>
      <c r="E125" s="651"/>
      <c r="F125" s="651"/>
      <c r="G125" s="651"/>
      <c r="H125" s="651"/>
      <c r="I125" s="651"/>
      <c r="J125" s="651"/>
      <c r="K125" s="566"/>
      <c r="L125" s="566"/>
      <c r="M125" s="566"/>
      <c r="N125" s="566"/>
      <c r="O125" s="566"/>
      <c r="P125" s="566"/>
    </row>
    <row r="126" spans="1:16">
      <c r="A126" s="650" t="str">
        <f>'Site Vist fomat  (Design)'!E120</f>
        <v>History of drought in last 10 Yrs</v>
      </c>
      <c r="B126" s="565">
        <f>'Site Vist fomat  (Design)'!F120</f>
        <v>0</v>
      </c>
      <c r="C126" s="651">
        <f>'Site Vist fomat  (Design)'!G120</f>
        <v>0</v>
      </c>
      <c r="D126" s="651"/>
      <c r="E126" s="651"/>
      <c r="F126" s="651"/>
      <c r="G126" s="651"/>
      <c r="H126" s="651"/>
      <c r="I126" s="651"/>
      <c r="J126" s="651"/>
      <c r="K126" s="566"/>
      <c r="L126" s="566"/>
      <c r="M126" s="566"/>
      <c r="N126" s="566"/>
      <c r="O126" s="566"/>
      <c r="P126" s="566"/>
    </row>
    <row r="127" spans="1:16">
      <c r="A127" s="650" t="str">
        <f>'Site Vist fomat  (Design)'!A121</f>
        <v>Bathymetric survey available? (Yes/No)</v>
      </c>
      <c r="B127" s="565">
        <f>'Site Vist fomat  (Design)'!B121</f>
        <v>0</v>
      </c>
      <c r="C127" s="651"/>
      <c r="D127" s="651"/>
      <c r="E127" s="651"/>
      <c r="F127" s="651"/>
      <c r="G127" s="651"/>
      <c r="H127" s="651"/>
      <c r="I127" s="651"/>
      <c r="J127" s="651"/>
      <c r="K127" s="566"/>
      <c r="L127" s="566"/>
      <c r="M127" s="566"/>
      <c r="N127" s="566"/>
      <c r="O127" s="566"/>
      <c r="P127" s="566"/>
    </row>
    <row r="128" spans="1:16">
      <c r="A128" s="551" t="str">
        <f>'Site Vist fomat  (Design)'!C121</f>
        <v>Anchoring (Bottom/Side)</v>
      </c>
      <c r="B128" s="565">
        <f>'Site Vist fomat  (Design)'!D121</f>
        <v>0</v>
      </c>
      <c r="C128" s="651">
        <f>'Site Vist fomat  (Design)'!E121</f>
        <v>0</v>
      </c>
      <c r="D128" s="651">
        <f>'Site Vist fomat  (Design)'!F121</f>
        <v>0</v>
      </c>
      <c r="E128" s="651">
        <f>'Site Vist fomat  (Design)'!G121</f>
        <v>0</v>
      </c>
      <c r="F128" s="651"/>
      <c r="G128" s="651">
        <f>'Site Vist fomat  (Design)'!H121</f>
        <v>0</v>
      </c>
      <c r="H128" s="651">
        <f>'Site Vist fomat  (Design)'!I121</f>
        <v>0</v>
      </c>
      <c r="I128" s="651">
        <f>'Site Vist fomat  (Design)'!J121</f>
        <v>0</v>
      </c>
      <c r="J128" s="651">
        <f>'Site Vist fomat  (Design)'!K121</f>
        <v>0</v>
      </c>
      <c r="K128" s="566">
        <f>'Site Vist fomat  (Design)'!L121</f>
        <v>0</v>
      </c>
      <c r="L128" s="566">
        <f>'Site Vist fomat  (Design)'!M121</f>
        <v>0</v>
      </c>
      <c r="M128" s="566">
        <f>'Site Vist fomat  (Design)'!N121</f>
        <v>0</v>
      </c>
      <c r="N128" s="566">
        <f>'Site Vist fomat  (Design)'!O121</f>
        <v>0</v>
      </c>
      <c r="O128" s="566">
        <f>'Site Vist fomat  (Design)'!P121</f>
        <v>0</v>
      </c>
      <c r="P128" s="566">
        <f>'Site Vist fomat  (Design)'!Q121</f>
        <v>0</v>
      </c>
    </row>
    <row r="129" spans="1:16" ht="18.600000000000001" thickBot="1">
      <c r="A129" s="652" t="str">
        <f>'Site Vist fomat  (Design)'!A122</f>
        <v xml:space="preserve">Remark (If any) :- </v>
      </c>
      <c r="B129" s="653">
        <f>'Site Vist fomat  (Design)'!B122</f>
        <v>0</v>
      </c>
      <c r="C129" s="654">
        <f>'Site Vist fomat  (Design)'!C122</f>
        <v>0</v>
      </c>
      <c r="D129" s="654">
        <f>'Site Vist fomat  (Design)'!D122</f>
        <v>0</v>
      </c>
      <c r="E129" s="654">
        <f>'Site Vist fomat  (Design)'!E122</f>
        <v>0</v>
      </c>
      <c r="F129" s="654">
        <f>'Site Vist fomat  (Design)'!F122</f>
        <v>0</v>
      </c>
      <c r="G129" s="654">
        <f>'Site Vist fomat  (Design)'!G122</f>
        <v>0</v>
      </c>
      <c r="H129" s="654"/>
      <c r="I129" s="654">
        <f>'Site Vist fomat  (Design)'!H122</f>
        <v>0</v>
      </c>
      <c r="J129" s="654">
        <f>'Site Vist fomat  (Design)'!I122</f>
        <v>0</v>
      </c>
      <c r="K129" s="579">
        <f>'Site Vist fomat  (Design)'!J122</f>
        <v>0</v>
      </c>
      <c r="L129" s="579">
        <f>'Site Vist fomat  (Design)'!K122</f>
        <v>0</v>
      </c>
      <c r="M129" s="579">
        <f>'Site Vist fomat  (Design)'!L122</f>
        <v>0</v>
      </c>
      <c r="N129" s="579">
        <f>'Site Vist fomat  (Design)'!M122</f>
        <v>0</v>
      </c>
      <c r="O129" s="579">
        <f>'Site Vist fomat  (Design)'!N122</f>
        <v>0</v>
      </c>
      <c r="P129" s="579">
        <f>'Site Vist fomat  (Design)'!O122</f>
        <v>0</v>
      </c>
    </row>
    <row r="130" spans="1:16" ht="19.5" customHeight="1" thickBot="1">
      <c r="A130" s="2651" t="s">
        <v>388</v>
      </c>
      <c r="B130" s="2619"/>
      <c r="C130" s="2619"/>
      <c r="D130" s="2619"/>
      <c r="E130" s="2619"/>
      <c r="F130" s="2619"/>
      <c r="G130" s="2619"/>
      <c r="H130" s="2619"/>
      <c r="I130" s="2619"/>
      <c r="J130" s="2619"/>
      <c r="K130" s="2620"/>
    </row>
    <row r="131" spans="1:16" ht="102" customHeight="1">
      <c r="A131" s="655" t="s">
        <v>389</v>
      </c>
      <c r="B131" s="656" t="str">
        <f>'Site Vist fomat  (Design)'!B128</f>
        <v>Yes</v>
      </c>
      <c r="C131" s="657">
        <f>'Site Vist fomat  (Design)'!C128</f>
        <v>0</v>
      </c>
      <c r="D131" s="657">
        <f>'Site Vist fomat  (Design)'!D128</f>
        <v>0</v>
      </c>
      <c r="E131" s="657">
        <f>'Site Vist fomat  (Design)'!E128</f>
        <v>0</v>
      </c>
      <c r="F131" s="657">
        <f>'Site Vist fomat  (Design)'!F128</f>
        <v>0</v>
      </c>
      <c r="G131" s="657">
        <f>'Site Vist fomat  (Design)'!G128</f>
        <v>0</v>
      </c>
      <c r="H131" s="657">
        <f>'Site Vist fomat  (Design)'!H128</f>
        <v>0</v>
      </c>
      <c r="I131" s="658">
        <f>'Site Vist fomat  (Design)'!I128</f>
        <v>0</v>
      </c>
      <c r="J131" s="659"/>
      <c r="K131" s="658"/>
    </row>
    <row r="132" spans="1:16" ht="96.75" customHeight="1">
      <c r="A132" s="660" t="s">
        <v>390</v>
      </c>
      <c r="B132" s="565" t="str">
        <f>'Site Vist fomat  (Design)'!B129</f>
        <v>Yes</v>
      </c>
      <c r="C132" s="651">
        <f>'Site Vist fomat  (Design)'!C129</f>
        <v>0</v>
      </c>
      <c r="D132" s="651">
        <f>'Site Vist fomat  (Design)'!D129</f>
        <v>0</v>
      </c>
      <c r="E132" s="651">
        <f>'Site Vist fomat  (Design)'!E129</f>
        <v>0</v>
      </c>
      <c r="F132" s="651">
        <f>'Site Vist fomat  (Design)'!F129</f>
        <v>0</v>
      </c>
      <c r="G132" s="651">
        <f>'Site Vist fomat  (Design)'!G129</f>
        <v>0</v>
      </c>
      <c r="H132" s="651">
        <f>'Site Vist fomat  (Design)'!H129</f>
        <v>0</v>
      </c>
      <c r="I132" s="566">
        <f>'Site Vist fomat  (Design)'!I129</f>
        <v>0</v>
      </c>
      <c r="J132" s="661"/>
      <c r="K132" s="566"/>
    </row>
    <row r="133" spans="1:16" ht="98.25" customHeight="1">
      <c r="A133" s="660" t="s">
        <v>391</v>
      </c>
      <c r="B133" s="565" t="str">
        <f>'Site Vist fomat  (Design)'!B130</f>
        <v>Yes</v>
      </c>
      <c r="C133" s="651">
        <f>'Site Vist fomat  (Design)'!C130</f>
        <v>0</v>
      </c>
      <c r="D133" s="651">
        <f>'Site Vist fomat  (Design)'!D130</f>
        <v>0</v>
      </c>
      <c r="E133" s="651">
        <f>'Site Vist fomat  (Design)'!E130</f>
        <v>0</v>
      </c>
      <c r="F133" s="651">
        <f>'Site Vist fomat  (Design)'!F130</f>
        <v>0</v>
      </c>
      <c r="G133" s="651">
        <f>'Site Vist fomat  (Design)'!G130</f>
        <v>0</v>
      </c>
      <c r="H133" s="651">
        <f>'Site Vist fomat  (Design)'!H130</f>
        <v>0</v>
      </c>
      <c r="I133" s="566">
        <f>'Site Vist fomat  (Design)'!I130</f>
        <v>0</v>
      </c>
      <c r="J133" s="661"/>
      <c r="K133" s="566"/>
    </row>
    <row r="134" spans="1:16" ht="18.600000000000001" thickBot="1">
      <c r="A134" s="662" t="s">
        <v>392</v>
      </c>
      <c r="B134" s="653" t="str">
        <f>'Site Vist fomat  (Design)'!B131</f>
        <v>shadows of adjacent redidential tower might occure in morning hours, need to verify</v>
      </c>
      <c r="C134" s="654">
        <f>'Site Vist fomat  (Design)'!C131</f>
        <v>0</v>
      </c>
      <c r="D134" s="654">
        <f>'Site Vist fomat  (Design)'!D131</f>
        <v>0</v>
      </c>
      <c r="E134" s="654">
        <f>'Site Vist fomat  (Design)'!E131</f>
        <v>0</v>
      </c>
      <c r="F134" s="654">
        <f>'Site Vist fomat  (Design)'!F131</f>
        <v>0</v>
      </c>
      <c r="G134" s="654">
        <f>'Site Vist fomat  (Design)'!G131</f>
        <v>0</v>
      </c>
      <c r="H134" s="654">
        <f>'Site Vist fomat  (Design)'!H131</f>
        <v>0</v>
      </c>
      <c r="I134" s="579">
        <f>'Site Vist fomat  (Design)'!I131</f>
        <v>0</v>
      </c>
      <c r="J134" s="663"/>
      <c r="K134" s="579"/>
    </row>
    <row r="135" spans="1:16" ht="18.600000000000001" thickBot="1">
      <c r="A135" s="2618" t="s">
        <v>393</v>
      </c>
      <c r="B135" s="2688"/>
      <c r="C135" s="2688"/>
      <c r="D135" s="2688"/>
      <c r="E135" s="2688"/>
      <c r="F135" s="2688"/>
      <c r="G135" s="2688"/>
      <c r="H135" s="2688"/>
      <c r="I135" s="2688"/>
      <c r="J135" s="2689"/>
      <c r="K135" s="2690"/>
    </row>
    <row r="136" spans="1:16">
      <c r="A136" s="664" t="s">
        <v>394</v>
      </c>
      <c r="B136" s="2668">
        <f>'Site Vist fomat  (Design)'!B134</f>
        <v>0</v>
      </c>
      <c r="C136" s="2669"/>
      <c r="D136" s="2670"/>
      <c r="E136" s="2691" t="s">
        <v>395</v>
      </c>
      <c r="F136" s="2692"/>
      <c r="G136" s="2662">
        <f>'Site Vist fomat  (Design)'!F134</f>
        <v>0</v>
      </c>
      <c r="H136" s="2663"/>
      <c r="K136" s="665"/>
    </row>
    <row r="137" spans="1:16">
      <c r="A137" s="666" t="s">
        <v>396</v>
      </c>
      <c r="B137" s="2671">
        <f>'Site Vist fomat  (Design)'!D134</f>
        <v>0</v>
      </c>
      <c r="C137" s="2626"/>
      <c r="D137" s="2672"/>
      <c r="E137" s="2666" t="s">
        <v>397</v>
      </c>
      <c r="F137" s="2667"/>
      <c r="G137" s="2664" t="str">
        <f>'Site Vist fomat  (Design)'!B135</f>
        <v>Yes</v>
      </c>
      <c r="H137" s="2665"/>
      <c r="K137" s="665"/>
    </row>
    <row r="138" spans="1:16">
      <c r="A138" s="666" t="s">
        <v>398</v>
      </c>
      <c r="B138" s="2671">
        <f>'Site Vist fomat  (Design)'!D135</f>
        <v>0</v>
      </c>
      <c r="C138" s="2626"/>
      <c r="D138" s="2672"/>
      <c r="E138" s="2666" t="s">
        <v>399</v>
      </c>
      <c r="F138" s="2667"/>
      <c r="G138" s="2664">
        <f>'Site Vist fomat  (Design)'!F135</f>
        <v>0</v>
      </c>
      <c r="H138" s="2665"/>
      <c r="K138" s="665"/>
    </row>
    <row r="139" spans="1:16">
      <c r="A139" s="666" t="s">
        <v>400</v>
      </c>
      <c r="B139" s="2671">
        <f>'Site Vist fomat  (Design)'!B136</f>
        <v>0</v>
      </c>
      <c r="C139" s="2626"/>
      <c r="D139" s="2672"/>
      <c r="E139" s="2666" t="s">
        <v>401</v>
      </c>
      <c r="F139" s="2667"/>
      <c r="G139" s="2664">
        <f>'Site Vist fomat  (Design)'!D136</f>
        <v>0</v>
      </c>
      <c r="H139" s="2665"/>
      <c r="K139" s="665"/>
    </row>
    <row r="140" spans="1:16" ht="18.600000000000001" thickBot="1">
      <c r="A140" s="667" t="s">
        <v>402</v>
      </c>
      <c r="B140" s="2655">
        <f>'Site Vist fomat  (Design)'!F136</f>
        <v>0</v>
      </c>
      <c r="C140" s="2656"/>
      <c r="D140" s="2657"/>
      <c r="E140" s="2658"/>
      <c r="F140" s="2659"/>
      <c r="G140" s="2654"/>
      <c r="H140" s="2654"/>
      <c r="I140" s="668"/>
      <c r="J140" s="668"/>
      <c r="K140" s="669"/>
    </row>
    <row r="141" spans="1:16" ht="18.600000000000001" thickBot="1">
      <c r="A141" s="2651" t="s">
        <v>403</v>
      </c>
      <c r="B141" s="2619"/>
      <c r="C141" s="2619"/>
      <c r="D141" s="2619"/>
      <c r="E141" s="2619"/>
      <c r="F141" s="2619"/>
      <c r="G141" s="2619"/>
      <c r="H141" s="2619"/>
      <c r="I141" s="2619"/>
      <c r="J141" s="2619"/>
      <c r="K141" s="2620"/>
    </row>
    <row r="142" spans="1:16" ht="84" customHeight="1">
      <c r="A142" s="670" t="s">
        <v>404</v>
      </c>
      <c r="B142" s="2652" t="str">
        <f>'Site Vist fomat  (Design)'!B138</f>
        <v>- Total required capacity is 400kWp
- total capacity is to be terminated into 4 diffent panels as below.
i)Block D, ii)Block B, iii)Zingverse iv)Zingeria
- accordingly 4 diff inverters, LT panels, generation meters need to consider</v>
      </c>
      <c r="C142" s="2652"/>
      <c r="D142" s="2652"/>
      <c r="E142" s="2652"/>
      <c r="F142" s="2652"/>
      <c r="G142" s="2652"/>
      <c r="H142" s="2652"/>
      <c r="I142" s="2652"/>
      <c r="J142" s="2652"/>
      <c r="K142" s="2653"/>
    </row>
    <row r="143" spans="1:16" ht="51.75" customHeight="1" thickBot="1">
      <c r="A143" s="671" t="s">
        <v>405</v>
      </c>
      <c r="B143" s="2654">
        <f>'Site Vist fomat  (Design)'!B139</f>
        <v>0</v>
      </c>
      <c r="C143" s="2654"/>
      <c r="D143" s="2654"/>
      <c r="E143" s="672" t="str">
        <f>'Site Vist fomat  (Design)'!D139</f>
        <v xml:space="preserve">Name of Customer &amp; Signature </v>
      </c>
      <c r="F143" s="2660"/>
      <c r="G143" s="2656"/>
      <c r="H143" s="2656"/>
      <c r="I143" s="2656"/>
      <c r="J143" s="2656"/>
      <c r="K143" s="2661"/>
    </row>
    <row r="144" spans="1:16">
      <c r="A144" s="571"/>
    </row>
    <row r="145" spans="1:7">
      <c r="A145" s="571"/>
    </row>
    <row r="146" spans="1:7">
      <c r="A146" s="571"/>
    </row>
    <row r="147" spans="1:7">
      <c r="A147" s="571"/>
    </row>
    <row r="148" spans="1:7" ht="18.600000000000001" thickBot="1"/>
    <row r="149" spans="1:7" ht="18.600000000000001" thickBot="1">
      <c r="C149" s="2679" t="s">
        <v>117</v>
      </c>
      <c r="D149" s="2680"/>
      <c r="E149" s="2679"/>
      <c r="F149" s="2681"/>
      <c r="G149" s="2680"/>
    </row>
    <row r="150" spans="1:7">
      <c r="C150" s="2682"/>
      <c r="D150" s="2683"/>
      <c r="E150" s="2683"/>
      <c r="F150" s="2683"/>
      <c r="G150" s="2684"/>
    </row>
    <row r="151" spans="1:7">
      <c r="C151" s="2685"/>
      <c r="D151" s="2686"/>
      <c r="E151" s="2686"/>
      <c r="F151" s="2686"/>
      <c r="G151" s="2687"/>
    </row>
    <row r="152" spans="1:7">
      <c r="C152" s="2685"/>
      <c r="D152" s="2686"/>
      <c r="E152" s="2686"/>
      <c r="F152" s="2686"/>
      <c r="G152" s="2687"/>
    </row>
    <row r="153" spans="1:7">
      <c r="C153" s="2685"/>
      <c r="D153" s="2686"/>
      <c r="E153" s="2686"/>
      <c r="F153" s="2686"/>
      <c r="G153" s="2687"/>
    </row>
    <row r="154" spans="1:7" ht="18.600000000000001" thickBot="1">
      <c r="C154" s="2673"/>
      <c r="D154" s="2674"/>
      <c r="E154" s="2674"/>
      <c r="F154" s="2674"/>
      <c r="G154" s="2675"/>
    </row>
    <row r="198" spans="1:1">
      <c r="A198" s="673" t="s">
        <v>406</v>
      </c>
    </row>
    <row r="199" spans="1:1">
      <c r="A199" s="673" t="s">
        <v>407</v>
      </c>
    </row>
    <row r="200" spans="1:1">
      <c r="A200" s="673" t="s">
        <v>12</v>
      </c>
    </row>
    <row r="201" spans="1:1">
      <c r="A201" s="673" t="s">
        <v>7</v>
      </c>
    </row>
    <row r="203" spans="1:1">
      <c r="A203" s="547" t="str">
        <f>A198</f>
        <v>Client scope</v>
      </c>
    </row>
    <row r="204" spans="1:1">
      <c r="A204" s="547" t="str">
        <f>A200</f>
        <v>4PEL Scope</v>
      </c>
    </row>
    <row r="206" spans="1:1">
      <c r="A206" s="547" t="s">
        <v>408</v>
      </c>
    </row>
    <row r="207" spans="1:1">
      <c r="A207" s="547" t="s">
        <v>409</v>
      </c>
    </row>
    <row r="238" spans="2:8">
      <c r="C238" s="673" t="s">
        <v>406</v>
      </c>
      <c r="G238" s="552" t="s">
        <v>410</v>
      </c>
    </row>
    <row r="239" spans="2:8">
      <c r="B239" s="547" t="s">
        <v>411</v>
      </c>
      <c r="C239" s="673" t="s">
        <v>407</v>
      </c>
      <c r="G239" s="552" t="s">
        <v>412</v>
      </c>
    </row>
    <row r="240" spans="2:8">
      <c r="B240" s="547" t="s">
        <v>384</v>
      </c>
      <c r="C240" s="673"/>
      <c r="G240" s="674" t="s">
        <v>413</v>
      </c>
      <c r="H240" s="675"/>
    </row>
    <row r="241" spans="1:8">
      <c r="B241" s="547" t="s">
        <v>1</v>
      </c>
      <c r="C241" s="673"/>
      <c r="G241" s="674" t="s">
        <v>414</v>
      </c>
      <c r="H241" s="675"/>
    </row>
    <row r="242" spans="1:8">
      <c r="B242" s="547" t="s">
        <v>387</v>
      </c>
      <c r="C242" s="673" t="s">
        <v>12</v>
      </c>
    </row>
    <row r="243" spans="1:8">
      <c r="C243" s="673" t="s">
        <v>7</v>
      </c>
    </row>
    <row r="245" spans="1:8">
      <c r="B245" s="547" t="s">
        <v>151</v>
      </c>
      <c r="C245" s="547" t="s">
        <v>415</v>
      </c>
    </row>
    <row r="246" spans="1:8">
      <c r="B246" s="547" t="s">
        <v>63</v>
      </c>
      <c r="C246" s="547" t="s">
        <v>406</v>
      </c>
    </row>
    <row r="248" spans="1:8">
      <c r="B248" s="547" t="s">
        <v>136</v>
      </c>
      <c r="C248" s="547" t="s">
        <v>121</v>
      </c>
    </row>
    <row r="249" spans="1:8">
      <c r="B249" s="547" t="s">
        <v>138</v>
      </c>
      <c r="C249" s="547" t="s">
        <v>7</v>
      </c>
    </row>
    <row r="251" spans="1:8">
      <c r="B251" s="547" t="s">
        <v>416</v>
      </c>
    </row>
    <row r="252" spans="1:8">
      <c r="B252" s="547" t="s">
        <v>417</v>
      </c>
    </row>
    <row r="253" spans="1:8">
      <c r="A253" s="651" t="s">
        <v>418</v>
      </c>
      <c r="C253" s="547" t="s">
        <v>419</v>
      </c>
    </row>
    <row r="254" spans="1:8">
      <c r="A254" s="651" t="s">
        <v>420</v>
      </c>
      <c r="C254" s="547" t="s">
        <v>406</v>
      </c>
    </row>
    <row r="255" spans="1:8">
      <c r="C255" s="547" t="s">
        <v>14</v>
      </c>
    </row>
    <row r="256" spans="1:8">
      <c r="C256" s="547" t="s">
        <v>2</v>
      </c>
    </row>
    <row r="257" spans="1:3">
      <c r="C257" s="547" t="s">
        <v>7</v>
      </c>
    </row>
    <row r="258" spans="1:3">
      <c r="A258" s="676" t="s">
        <v>421</v>
      </c>
    </row>
    <row r="259" spans="1:3">
      <c r="A259" s="676" t="s">
        <v>422</v>
      </c>
    </row>
    <row r="260" spans="1:3">
      <c r="A260" s="676" t="s">
        <v>423</v>
      </c>
    </row>
    <row r="261" spans="1:3">
      <c r="A261" s="676" t="s">
        <v>424</v>
      </c>
    </row>
    <row r="278" spans="1:1">
      <c r="A278" s="673" t="s">
        <v>151</v>
      </c>
    </row>
    <row r="279" spans="1:1">
      <c r="A279" s="673" t="s">
        <v>425</v>
      </c>
    </row>
    <row r="280" spans="1:1">
      <c r="A280" s="673" t="s">
        <v>426</v>
      </c>
    </row>
    <row r="281" spans="1:1">
      <c r="A281" s="673"/>
    </row>
    <row r="282" spans="1:1">
      <c r="A282" s="673" t="s">
        <v>146</v>
      </c>
    </row>
    <row r="283" spans="1:1">
      <c r="A283" s="673" t="s">
        <v>106</v>
      </c>
    </row>
    <row r="284" spans="1:1">
      <c r="A284" s="673" t="s">
        <v>427</v>
      </c>
    </row>
  </sheetData>
  <sheetProtection algorithmName="SHA-512" hashValue="y9k1iP9cYbnPinbKzOW4IvALcHhle/t1zVla1Zsu3xy/Tu4+BPgAJfq9ZImgB0sLL+/yDIoYXPlGpy6xto2D3Q==" saltValue="iwV3lHm6STvMaxS1A7bkHQ==" spinCount="100000" sheet="1" objects="1" scenarios="1"/>
  <dataConsolidate/>
  <mergeCells count="70">
    <mergeCell ref="A1:E3"/>
    <mergeCell ref="F1:H1"/>
    <mergeCell ref="F2:H2"/>
    <mergeCell ref="F3:H3"/>
    <mergeCell ref="A4:H4"/>
    <mergeCell ref="F12:G12"/>
    <mergeCell ref="F13:G13"/>
    <mergeCell ref="A5:H5"/>
    <mergeCell ref="B13:D13"/>
    <mergeCell ref="F15:H15"/>
    <mergeCell ref="F6:G6"/>
    <mergeCell ref="B6:D6"/>
    <mergeCell ref="F7:H7"/>
    <mergeCell ref="F8:H8"/>
    <mergeCell ref="F11:H11"/>
    <mergeCell ref="B7:D7"/>
    <mergeCell ref="B11:D11"/>
    <mergeCell ref="B12:D12"/>
    <mergeCell ref="B14:D14"/>
    <mergeCell ref="F14:G14"/>
    <mergeCell ref="C154:G154"/>
    <mergeCell ref="B8:D8"/>
    <mergeCell ref="B10:D10"/>
    <mergeCell ref="B17:D17"/>
    <mergeCell ref="F17:H17"/>
    <mergeCell ref="B9:D9"/>
    <mergeCell ref="F18:H18"/>
    <mergeCell ref="C149:D149"/>
    <mergeCell ref="E149:G149"/>
    <mergeCell ref="C150:G150"/>
    <mergeCell ref="C151:G151"/>
    <mergeCell ref="A130:K130"/>
    <mergeCell ref="A135:K135"/>
    <mergeCell ref="E136:F136"/>
    <mergeCell ref="C152:G152"/>
    <mergeCell ref="C153:G153"/>
    <mergeCell ref="E137:F137"/>
    <mergeCell ref="E138:F138"/>
    <mergeCell ref="E139:F139"/>
    <mergeCell ref="B136:D136"/>
    <mergeCell ref="B137:D137"/>
    <mergeCell ref="B138:D138"/>
    <mergeCell ref="B139:D139"/>
    <mergeCell ref="G136:H136"/>
    <mergeCell ref="G137:H137"/>
    <mergeCell ref="G138:H138"/>
    <mergeCell ref="G139:H139"/>
    <mergeCell ref="G140:H140"/>
    <mergeCell ref="A141:K141"/>
    <mergeCell ref="B142:K142"/>
    <mergeCell ref="B143:D143"/>
    <mergeCell ref="B140:D140"/>
    <mergeCell ref="E140:F140"/>
    <mergeCell ref="F143:K143"/>
    <mergeCell ref="A120:K120"/>
    <mergeCell ref="A88:P88"/>
    <mergeCell ref="A90:P90"/>
    <mergeCell ref="A93:P93"/>
    <mergeCell ref="B18:D18"/>
    <mergeCell ref="A26:P26"/>
    <mergeCell ref="A36:P36"/>
    <mergeCell ref="A57:P57"/>
    <mergeCell ref="A112:P112"/>
    <mergeCell ref="A67:P67"/>
    <mergeCell ref="A23:H23"/>
    <mergeCell ref="B21:D21"/>
    <mergeCell ref="F21:H21"/>
    <mergeCell ref="B19:D19"/>
    <mergeCell ref="B20:D20"/>
    <mergeCell ref="A49:P49"/>
  </mergeCells>
  <phoneticPr fontId="8" type="noConversion"/>
  <conditionalFormatting sqref="B28:P35 B37:P48 B50:B56">
    <cfRule type="expression" dxfId="960" priority="83">
      <formula>$B$25=0</formula>
    </cfRule>
  </conditionalFormatting>
  <conditionalFormatting sqref="B68:P87 B89:P89 B91:P92">
    <cfRule type="expression" dxfId="959" priority="67">
      <formula>$B$25&lt;&gt;"Shed"</formula>
    </cfRule>
  </conditionalFormatting>
  <conditionalFormatting sqref="C50:C56">
    <cfRule type="expression" dxfId="958" priority="82">
      <formula>$C$25=0</formula>
    </cfRule>
  </conditionalFormatting>
  <conditionalFormatting sqref="D50:D56">
    <cfRule type="expression" dxfId="957" priority="81">
      <formula>$D$25=0</formula>
    </cfRule>
  </conditionalFormatting>
  <conditionalFormatting sqref="E50:E56">
    <cfRule type="expression" dxfId="956" priority="80">
      <formula>$E$25=0</formula>
    </cfRule>
  </conditionalFormatting>
  <conditionalFormatting sqref="F50:F56">
    <cfRule type="expression" dxfId="955" priority="79">
      <formula>$F$25=0</formula>
    </cfRule>
  </conditionalFormatting>
  <conditionalFormatting sqref="G50:G56">
    <cfRule type="expression" dxfId="954" priority="78">
      <formula>$G$25=0</formula>
    </cfRule>
  </conditionalFormatting>
  <conditionalFormatting sqref="H50:H56">
    <cfRule type="expression" dxfId="953" priority="77">
      <formula>$H$25=0</formula>
    </cfRule>
  </conditionalFormatting>
  <conditionalFormatting sqref="I50:I56">
    <cfRule type="expression" dxfId="952" priority="76">
      <formula>$I$25=0</formula>
    </cfRule>
  </conditionalFormatting>
  <conditionalFormatting sqref="J50:J56">
    <cfRule type="expression" dxfId="951" priority="75">
      <formula>$J$25=0</formula>
    </cfRule>
  </conditionalFormatting>
  <conditionalFormatting sqref="K50:K56">
    <cfRule type="expression" dxfId="950" priority="74">
      <formula>$K$25=0</formula>
    </cfRule>
  </conditionalFormatting>
  <conditionalFormatting sqref="L50:L56">
    <cfRule type="expression" dxfId="949" priority="73">
      <formula>$L$25=0</formula>
    </cfRule>
  </conditionalFormatting>
  <conditionalFormatting sqref="M50:M56">
    <cfRule type="expression" dxfId="948" priority="72">
      <formula>$M$25=0</formula>
    </cfRule>
  </conditionalFormatting>
  <conditionalFormatting sqref="N50:N56">
    <cfRule type="expression" dxfId="947" priority="71">
      <formula>$N$25=0</formula>
    </cfRule>
  </conditionalFormatting>
  <conditionalFormatting sqref="O50:O56">
    <cfRule type="expression" dxfId="946" priority="70">
      <formula>$O$25=0</formula>
    </cfRule>
  </conditionalFormatting>
  <conditionalFormatting sqref="P50:P56">
    <cfRule type="expression" dxfId="945" priority="69">
      <formula>$P$25=0</formula>
    </cfRule>
  </conditionalFormatting>
  <dataValidations count="4">
    <dataValidation type="list" allowBlank="1" showInputMessage="1" showErrorMessage="1" sqref="H6 H12:H14" xr:uid="{867B4FC8-C261-4237-9453-2EF827725FD1}">
      <formula1>$A$282:$A$284</formula1>
    </dataValidation>
    <dataValidation type="list" allowBlank="1" showInputMessage="1" showErrorMessage="1" sqref="B22 B16" xr:uid="{D48621D9-AAF4-4738-9A2E-6F1091F5A7C6}">
      <formula1>$B$245:$B$246</formula1>
    </dataValidation>
    <dataValidation type="list" allowBlank="1" showInputMessage="1" showErrorMessage="1" sqref="D16" xr:uid="{274E7E95-A5B2-4385-9EEB-63CD9C90C44A}">
      <formula1>$A$253:$A$254</formula1>
    </dataValidation>
    <dataValidation type="list" allowBlank="1" showInputMessage="1" showErrorMessage="1" sqref="B25:P25" xr:uid="{16A56EEC-EEDA-41AF-AAA5-2A599C99D74E}">
      <formula1>$B$239:$B$242</formula1>
    </dataValidation>
  </dataValidations>
  <pageMargins left="0.7" right="0.7" top="0.75" bottom="0.75" header="0.3" footer="0.3"/>
  <pageSetup paperSize="9" scale="31"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BF0D4-31EC-48E5-B97D-33DB77A0645E}">
  <sheetPr codeName="Sheet5">
    <tabColor rgb="FF00B050"/>
    <pageSetUpPr fitToPage="1"/>
  </sheetPr>
  <dimension ref="A1:AE182"/>
  <sheetViews>
    <sheetView topLeftCell="A25" zoomScale="55" zoomScaleNormal="55" zoomScaleSheetLayoutView="25" zoomScalePageLayoutView="10" workbookViewId="0">
      <selection activeCell="D31" sqref="D31"/>
    </sheetView>
  </sheetViews>
  <sheetFormatPr defaultColWidth="14.44140625" defaultRowHeight="50.1" customHeight="1"/>
  <cols>
    <col min="1" max="1" width="83" style="456" customWidth="1"/>
    <col min="2" max="2" width="37.6640625" style="416" bestFit="1" customWidth="1"/>
    <col min="3" max="3" width="39.6640625" style="416" customWidth="1"/>
    <col min="4" max="4" width="45.6640625" style="416" customWidth="1"/>
    <col min="5" max="5" width="43" style="416" customWidth="1"/>
    <col min="6" max="7" width="44.6640625" style="416" customWidth="1"/>
    <col min="8" max="12" width="40.6640625" style="416" bestFit="1" customWidth="1"/>
    <col min="13" max="13" width="33.6640625" style="416" customWidth="1"/>
    <col min="14" max="16" width="40.6640625" style="416" bestFit="1" customWidth="1"/>
    <col min="17" max="17" width="10.6640625" style="416" bestFit="1" customWidth="1"/>
    <col min="18" max="19" width="13.44140625" style="416" bestFit="1" customWidth="1"/>
    <col min="20" max="31" width="11.6640625" style="416" bestFit="1" customWidth="1"/>
    <col min="32" max="16384" width="14.44140625" style="416"/>
  </cols>
  <sheetData>
    <row r="1" spans="1:16" ht="49.5" customHeight="1">
      <c r="A1" s="2738" t="s">
        <v>428</v>
      </c>
      <c r="B1" s="2739"/>
      <c r="C1" s="2739"/>
      <c r="D1" s="2740"/>
      <c r="E1" s="765" t="s">
        <v>429</v>
      </c>
      <c r="F1" s="2734" t="s">
        <v>430</v>
      </c>
      <c r="G1" s="2735"/>
      <c r="H1" s="766"/>
      <c r="I1" s="766"/>
      <c r="J1" s="766"/>
      <c r="K1" s="766"/>
      <c r="L1" s="766"/>
      <c r="M1" s="766"/>
      <c r="N1" s="766"/>
      <c r="O1" s="766"/>
      <c r="P1" s="766"/>
    </row>
    <row r="2" spans="1:16" ht="49.5" customHeight="1">
      <c r="A2" s="2741"/>
      <c r="B2" s="2742"/>
      <c r="C2" s="2742"/>
      <c r="D2" s="2743"/>
      <c r="E2" s="767" t="s">
        <v>431</v>
      </c>
      <c r="F2" s="2736" t="s">
        <v>432</v>
      </c>
      <c r="G2" s="2737"/>
      <c r="H2" s="766"/>
      <c r="I2" s="766"/>
      <c r="J2" s="766"/>
      <c r="K2" s="766"/>
      <c r="L2" s="766"/>
      <c r="M2" s="766"/>
      <c r="N2" s="766"/>
      <c r="O2" s="766"/>
      <c r="P2" s="766"/>
    </row>
    <row r="3" spans="1:16" ht="49.5" customHeight="1" thickBot="1">
      <c r="A3" s="2741"/>
      <c r="B3" s="2742"/>
      <c r="C3" s="2742"/>
      <c r="D3" s="2743"/>
      <c r="E3" s="768" t="s">
        <v>433</v>
      </c>
      <c r="F3" s="2736">
        <v>2</v>
      </c>
      <c r="G3" s="2737"/>
      <c r="H3" s="766"/>
      <c r="I3" s="766"/>
      <c r="J3" s="766"/>
      <c r="K3" s="766"/>
      <c r="L3" s="766"/>
      <c r="M3" s="766"/>
      <c r="N3" s="766"/>
      <c r="O3" s="766"/>
      <c r="P3" s="766"/>
    </row>
    <row r="4" spans="1:16" ht="49.5" customHeight="1" thickBot="1">
      <c r="A4" s="2760" t="s">
        <v>434</v>
      </c>
      <c r="B4" s="2761"/>
      <c r="C4" s="2761"/>
      <c r="D4" s="2762"/>
      <c r="E4" s="768" t="s">
        <v>435</v>
      </c>
      <c r="F4" s="2763">
        <v>46153</v>
      </c>
      <c r="G4" s="2764"/>
      <c r="H4" s="766"/>
      <c r="I4" s="766"/>
      <c r="J4" s="766"/>
      <c r="K4" s="766"/>
      <c r="L4" s="766"/>
      <c r="M4" s="766"/>
      <c r="N4" s="766"/>
      <c r="O4" s="766"/>
      <c r="P4" s="766"/>
    </row>
    <row r="5" spans="1:16" s="452" customFormat="1" ht="50.1" customHeight="1" thickBot="1">
      <c r="A5" s="2721" t="s">
        <v>436</v>
      </c>
      <c r="B5" s="2722"/>
      <c r="C5" s="2722"/>
      <c r="D5" s="2722"/>
      <c r="E5" s="2723"/>
      <c r="F5" s="2723"/>
      <c r="G5" s="2724"/>
      <c r="H5" s="769"/>
      <c r="I5" s="769"/>
      <c r="J5" s="769"/>
      <c r="K5" s="769"/>
      <c r="L5" s="769"/>
      <c r="M5" s="769"/>
      <c r="N5" s="769"/>
      <c r="O5" s="769"/>
      <c r="P5" s="769"/>
    </row>
    <row r="6" spans="1:16" ht="50.1" customHeight="1">
      <c r="A6" s="770" t="s">
        <v>437</v>
      </c>
      <c r="B6" s="2725" t="s">
        <v>1979</v>
      </c>
      <c r="C6" s="2726"/>
      <c r="D6" s="2726"/>
      <c r="E6" s="2726"/>
      <c r="F6" s="2726"/>
      <c r="G6" s="2727"/>
      <c r="H6" s="766"/>
      <c r="I6" s="766"/>
      <c r="J6" s="766"/>
      <c r="K6" s="766"/>
      <c r="L6" s="766"/>
      <c r="M6" s="766"/>
      <c r="N6" s="766"/>
      <c r="O6" s="766"/>
      <c r="P6" s="766"/>
    </row>
    <row r="7" spans="1:16" ht="50.1" customHeight="1">
      <c r="A7" s="771" t="s">
        <v>438</v>
      </c>
      <c r="B7" s="2728"/>
      <c r="C7" s="2729"/>
      <c r="D7" s="461" t="s">
        <v>439</v>
      </c>
      <c r="E7" s="460"/>
      <c r="F7" s="461" t="s">
        <v>440</v>
      </c>
      <c r="G7" s="462"/>
      <c r="H7" s="766"/>
      <c r="I7" s="766"/>
      <c r="J7" s="766"/>
      <c r="K7" s="766"/>
      <c r="L7" s="766"/>
      <c r="M7" s="766"/>
      <c r="N7" s="766"/>
      <c r="O7" s="766"/>
      <c r="P7" s="766"/>
    </row>
    <row r="8" spans="1:16" ht="50.1" customHeight="1">
      <c r="A8" s="771" t="s">
        <v>441</v>
      </c>
      <c r="B8" s="2728" t="s">
        <v>1973</v>
      </c>
      <c r="C8" s="2729"/>
      <c r="D8" s="2729"/>
      <c r="E8" s="2729"/>
      <c r="F8" s="2729"/>
      <c r="G8" s="2730"/>
      <c r="H8" s="766"/>
      <c r="I8" s="766"/>
      <c r="J8" s="766"/>
      <c r="K8" s="766"/>
      <c r="L8" s="766"/>
      <c r="M8" s="766"/>
      <c r="N8" s="766"/>
      <c r="O8" s="766"/>
      <c r="P8" s="766"/>
    </row>
    <row r="9" spans="1:16" ht="50.1" customHeight="1">
      <c r="A9" s="771" t="s">
        <v>333</v>
      </c>
      <c r="B9" s="459" t="s">
        <v>1986</v>
      </c>
      <c r="C9" s="460" t="s">
        <v>1987</v>
      </c>
      <c r="D9" s="461" t="s">
        <v>442</v>
      </c>
      <c r="E9" s="461" t="s">
        <v>1988</v>
      </c>
      <c r="F9" s="461" t="s">
        <v>443</v>
      </c>
      <c r="G9" s="463" t="s">
        <v>1989</v>
      </c>
      <c r="H9" s="766"/>
      <c r="I9" s="766"/>
      <c r="J9" s="766"/>
      <c r="K9" s="766"/>
      <c r="L9" s="766"/>
      <c r="M9" s="766"/>
      <c r="N9" s="766"/>
      <c r="O9" s="766"/>
      <c r="P9" s="766"/>
    </row>
    <row r="10" spans="1:16" ht="50.1" customHeight="1">
      <c r="A10" s="771" t="s">
        <v>444</v>
      </c>
      <c r="B10" s="2731" t="s">
        <v>1990</v>
      </c>
      <c r="C10" s="2732"/>
      <c r="D10" s="2732"/>
      <c r="E10" s="2732"/>
      <c r="F10" s="2732"/>
      <c r="G10" s="2733"/>
      <c r="H10" s="766"/>
      <c r="I10" s="766"/>
      <c r="J10" s="766"/>
      <c r="K10" s="766"/>
      <c r="L10" s="766"/>
      <c r="M10" s="766"/>
      <c r="N10" s="766"/>
      <c r="O10" s="766"/>
      <c r="P10" s="766"/>
    </row>
    <row r="11" spans="1:16" ht="50.1" customHeight="1">
      <c r="A11" s="772" t="s">
        <v>445</v>
      </c>
      <c r="B11" s="465" t="s">
        <v>446</v>
      </c>
      <c r="C11" s="434" t="s">
        <v>447</v>
      </c>
      <c r="D11" s="434" t="s">
        <v>448</v>
      </c>
      <c r="E11" s="434" t="s">
        <v>449</v>
      </c>
      <c r="F11" s="434" t="s">
        <v>450</v>
      </c>
      <c r="G11" s="464" t="s">
        <v>1991</v>
      </c>
      <c r="H11" s="766"/>
      <c r="I11" s="766"/>
      <c r="J11" s="766"/>
      <c r="K11" s="766"/>
      <c r="L11" s="766"/>
      <c r="M11" s="766"/>
      <c r="N11" s="766"/>
      <c r="O11" s="766"/>
      <c r="P11" s="766"/>
    </row>
    <row r="12" spans="1:16" ht="50.1" customHeight="1">
      <c r="A12" s="772" t="s">
        <v>451</v>
      </c>
      <c r="B12" s="913"/>
      <c r="C12" s="914" t="s">
        <v>411</v>
      </c>
      <c r="D12" s="914"/>
      <c r="E12" s="914" t="s">
        <v>622</v>
      </c>
      <c r="F12" s="914"/>
      <c r="G12" s="915"/>
      <c r="H12" s="766"/>
      <c r="I12" s="766"/>
      <c r="J12" s="766"/>
      <c r="K12" s="766"/>
      <c r="L12" s="766"/>
      <c r="M12" s="766"/>
      <c r="N12" s="766"/>
      <c r="O12" s="766"/>
      <c r="P12" s="766"/>
    </row>
    <row r="13" spans="1:16" ht="50.1" customHeight="1" thickBot="1">
      <c r="A13" s="773" t="s">
        <v>452</v>
      </c>
      <c r="B13" s="466" t="s">
        <v>453</v>
      </c>
      <c r="C13" s="437" t="s">
        <v>454</v>
      </c>
      <c r="D13" s="437" t="s">
        <v>455</v>
      </c>
      <c r="E13" s="467" t="s">
        <v>456</v>
      </c>
      <c r="F13" s="437" t="s">
        <v>151</v>
      </c>
      <c r="G13" s="436" t="s">
        <v>63</v>
      </c>
      <c r="H13" s="766"/>
      <c r="I13" s="766"/>
      <c r="J13" s="766"/>
      <c r="K13" s="766"/>
      <c r="L13" s="766"/>
      <c r="M13" s="766"/>
      <c r="N13" s="766"/>
      <c r="O13" s="766"/>
      <c r="P13" s="766"/>
    </row>
    <row r="14" spans="1:16" s="452" customFormat="1" ht="50.1" customHeight="1" thickBot="1">
      <c r="A14" s="2744" t="s">
        <v>457</v>
      </c>
      <c r="B14" s="2765"/>
      <c r="C14" s="2765"/>
      <c r="D14" s="2765"/>
      <c r="E14" s="2765"/>
      <c r="F14" s="2765"/>
      <c r="G14" s="2766"/>
      <c r="H14" s="769"/>
      <c r="I14" s="769"/>
      <c r="J14" s="769"/>
      <c r="K14" s="769"/>
      <c r="L14" s="769"/>
      <c r="M14" s="769"/>
      <c r="N14" s="769"/>
      <c r="O14" s="769"/>
      <c r="P14" s="769"/>
    </row>
    <row r="15" spans="1:16" ht="50.1" customHeight="1">
      <c r="A15" s="774" t="s">
        <v>458</v>
      </c>
      <c r="B15" s="700" t="s">
        <v>459</v>
      </c>
      <c r="C15" s="457" t="s">
        <v>460</v>
      </c>
      <c r="D15" s="457" t="s">
        <v>461</v>
      </c>
      <c r="E15" s="701" t="s">
        <v>462</v>
      </c>
      <c r="F15" s="429" t="s">
        <v>463</v>
      </c>
      <c r="G15" s="458" t="s">
        <v>464</v>
      </c>
      <c r="H15" s="766"/>
      <c r="I15" s="766"/>
      <c r="J15" s="766"/>
      <c r="K15" s="766"/>
      <c r="L15" s="766"/>
      <c r="M15" s="766"/>
      <c r="N15" s="766"/>
      <c r="O15" s="766"/>
      <c r="P15" s="766"/>
    </row>
    <row r="16" spans="1:16" ht="50.1" customHeight="1" thickBot="1">
      <c r="A16" s="775" t="s">
        <v>465</v>
      </c>
      <c r="B16" s="702" t="s">
        <v>466</v>
      </c>
      <c r="C16" s="2749" t="s">
        <v>467</v>
      </c>
      <c r="D16" s="2767"/>
      <c r="E16" s="2767"/>
      <c r="F16" s="2768"/>
      <c r="G16" s="703"/>
      <c r="H16" s="766"/>
      <c r="I16" s="766"/>
      <c r="J16" s="766"/>
      <c r="K16" s="766"/>
      <c r="L16" s="766"/>
      <c r="M16" s="766"/>
      <c r="N16" s="766"/>
      <c r="O16" s="766"/>
      <c r="P16" s="766"/>
    </row>
    <row r="17" spans="1:31" s="452" customFormat="1" ht="50.1" customHeight="1" thickBot="1">
      <c r="A17" s="2744" t="s">
        <v>468</v>
      </c>
      <c r="B17" s="2745"/>
      <c r="C17" s="2745"/>
      <c r="D17" s="2745"/>
      <c r="E17" s="2745"/>
      <c r="F17" s="2745"/>
      <c r="G17" s="2746"/>
      <c r="H17" s="769"/>
      <c r="I17" s="769"/>
      <c r="J17" s="769"/>
      <c r="K17" s="769"/>
      <c r="L17" s="769"/>
      <c r="M17" s="769"/>
      <c r="N17" s="769"/>
      <c r="O17" s="769"/>
      <c r="P17" s="769"/>
    </row>
    <row r="18" spans="1:31" ht="50.1" customHeight="1">
      <c r="A18" s="770" t="s">
        <v>469</v>
      </c>
      <c r="B18" s="468" t="s">
        <v>1992</v>
      </c>
      <c r="C18" s="688" t="s">
        <v>470</v>
      </c>
      <c r="D18" s="689" t="s">
        <v>1993</v>
      </c>
      <c r="E18" s="690" t="s">
        <v>471</v>
      </c>
      <c r="F18" s="691" t="s">
        <v>472</v>
      </c>
      <c r="G18" s="692" t="s">
        <v>1994</v>
      </c>
      <c r="H18" s="766"/>
      <c r="I18" s="766"/>
      <c r="J18" s="766"/>
      <c r="K18" s="766"/>
      <c r="L18" s="766"/>
      <c r="M18" s="766"/>
      <c r="N18" s="766"/>
      <c r="O18" s="766"/>
      <c r="P18" s="766"/>
    </row>
    <row r="19" spans="1:31" s="422" customFormat="1" ht="50.1" customHeight="1">
      <c r="A19" s="771" t="s">
        <v>473</v>
      </c>
      <c r="B19" s="465" t="s">
        <v>1995</v>
      </c>
      <c r="C19" s="431" t="s">
        <v>474</v>
      </c>
      <c r="D19" s="431" t="s">
        <v>475</v>
      </c>
      <c r="E19" s="431" t="s">
        <v>476</v>
      </c>
      <c r="F19" s="460" t="s">
        <v>477</v>
      </c>
      <c r="G19" s="464" t="s">
        <v>478</v>
      </c>
      <c r="H19" s="766"/>
      <c r="I19" s="766"/>
      <c r="J19" s="766"/>
      <c r="K19" s="766"/>
      <c r="L19" s="766"/>
      <c r="M19" s="766"/>
      <c r="N19" s="766"/>
      <c r="O19" s="766"/>
      <c r="P19" s="766"/>
    </row>
    <row r="20" spans="1:31" ht="50.1" customHeight="1">
      <c r="A20" s="771" t="s">
        <v>479</v>
      </c>
      <c r="B20" s="2161" t="s">
        <v>480</v>
      </c>
      <c r="C20" s="446" t="s">
        <v>481</v>
      </c>
      <c r="D20" s="434" t="s">
        <v>482</v>
      </c>
      <c r="E20" s="540" t="s">
        <v>483</v>
      </c>
      <c r="F20" s="461" t="s">
        <v>484</v>
      </c>
      <c r="G20" s="462" t="s">
        <v>1997</v>
      </c>
      <c r="H20" s="766"/>
      <c r="I20" s="766"/>
      <c r="J20" s="766"/>
      <c r="K20" s="766"/>
      <c r="L20" s="766"/>
      <c r="M20" s="766"/>
      <c r="N20" s="766"/>
      <c r="O20" s="766"/>
      <c r="P20" s="766"/>
    </row>
    <row r="21" spans="1:31" ht="50.1" customHeight="1">
      <c r="A21" s="2747" t="s">
        <v>485</v>
      </c>
      <c r="B21" s="693" t="s">
        <v>486</v>
      </c>
      <c r="C21" s="694" t="s">
        <v>487</v>
      </c>
      <c r="D21" s="695" t="s">
        <v>488</v>
      </c>
      <c r="E21" s="461" t="s">
        <v>489</v>
      </c>
      <c r="F21" s="434" t="s">
        <v>151</v>
      </c>
      <c r="G21" s="462" t="s">
        <v>63</v>
      </c>
      <c r="H21" s="766"/>
      <c r="I21" s="766"/>
      <c r="J21" s="766"/>
      <c r="K21" s="766"/>
      <c r="L21" s="766"/>
      <c r="M21" s="766"/>
      <c r="N21" s="766"/>
      <c r="O21" s="766"/>
      <c r="P21" s="766"/>
    </row>
    <row r="22" spans="1:31" ht="50.1" customHeight="1">
      <c r="A22" s="2748"/>
      <c r="B22" s="693" t="s">
        <v>490</v>
      </c>
      <c r="C22" s="694" t="s">
        <v>491</v>
      </c>
      <c r="D22" s="695" t="s">
        <v>488</v>
      </c>
      <c r="E22" s="695" t="s">
        <v>492</v>
      </c>
      <c r="F22" s="694" t="s">
        <v>493</v>
      </c>
      <c r="G22" s="696" t="s">
        <v>494</v>
      </c>
      <c r="H22" s="766"/>
      <c r="I22" s="766"/>
      <c r="J22" s="766"/>
      <c r="K22" s="766"/>
      <c r="L22" s="766"/>
      <c r="M22" s="766"/>
      <c r="N22" s="766"/>
      <c r="O22" s="766"/>
      <c r="P22" s="766"/>
    </row>
    <row r="23" spans="1:31" ht="50.1" customHeight="1">
      <c r="A23" s="771" t="s">
        <v>495</v>
      </c>
      <c r="B23" s="697" t="s">
        <v>496</v>
      </c>
      <c r="C23" s="695" t="s">
        <v>492</v>
      </c>
      <c r="D23" s="694" t="s">
        <v>497</v>
      </c>
      <c r="E23" s="460" t="s">
        <v>1998</v>
      </c>
      <c r="F23" s="431" t="s">
        <v>1999</v>
      </c>
      <c r="G23" s="462" t="s">
        <v>2000</v>
      </c>
      <c r="H23" s="766"/>
      <c r="I23" s="766"/>
      <c r="J23" s="766"/>
      <c r="K23" s="766"/>
      <c r="L23" s="766"/>
      <c r="M23" s="766"/>
      <c r="N23" s="766"/>
      <c r="O23" s="766"/>
      <c r="P23" s="766"/>
    </row>
    <row r="24" spans="1:31" s="422" customFormat="1" ht="50.1" customHeight="1">
      <c r="A24" s="772" t="s">
        <v>498</v>
      </c>
      <c r="B24" s="1952" t="s">
        <v>1996</v>
      </c>
      <c r="C24" s="2113">
        <v>0</v>
      </c>
      <c r="D24" s="694" t="s">
        <v>499</v>
      </c>
      <c r="E24" s="460" t="s">
        <v>500</v>
      </c>
      <c r="F24" s="694" t="s">
        <v>501</v>
      </c>
      <c r="G24" s="462" t="s">
        <v>500</v>
      </c>
      <c r="H24" s="766"/>
      <c r="I24" s="766"/>
      <c r="J24" s="766"/>
      <c r="K24" s="766"/>
      <c r="L24" s="766"/>
      <c r="M24" s="766"/>
      <c r="N24" s="766"/>
      <c r="O24" s="766"/>
      <c r="P24" s="766"/>
    </row>
    <row r="25" spans="1:31" s="422" customFormat="1" ht="39.6">
      <c r="A25" s="772" t="s">
        <v>502</v>
      </c>
      <c r="B25" s="698" t="s">
        <v>503</v>
      </c>
      <c r="C25" s="694" t="s">
        <v>504</v>
      </c>
      <c r="D25" s="694" t="s">
        <v>505</v>
      </c>
      <c r="E25" s="694" t="s">
        <v>506</v>
      </c>
      <c r="F25" s="434"/>
      <c r="G25" s="462"/>
      <c r="H25" s="766"/>
      <c r="I25" s="766"/>
      <c r="J25" s="766"/>
      <c r="K25" s="766"/>
      <c r="L25" s="766"/>
      <c r="M25" s="766"/>
      <c r="N25" s="766"/>
      <c r="O25" s="766"/>
      <c r="P25" s="766"/>
    </row>
    <row r="26" spans="1:31" s="422" customFormat="1" ht="50.1" customHeight="1" thickBot="1">
      <c r="A26" s="776" t="s">
        <v>507</v>
      </c>
      <c r="B26" s="2139">
        <v>2</v>
      </c>
      <c r="C26" s="699" t="s">
        <v>508</v>
      </c>
      <c r="D26" s="437"/>
      <c r="E26" s="699" t="s">
        <v>509</v>
      </c>
      <c r="F26" s="2749" t="s">
        <v>510</v>
      </c>
      <c r="G26" s="2750"/>
      <c r="H26" s="766"/>
      <c r="I26" s="766"/>
      <c r="J26" s="766"/>
      <c r="K26" s="766"/>
      <c r="L26" s="766"/>
      <c r="M26" s="766"/>
      <c r="N26" s="766"/>
      <c r="O26" s="766"/>
      <c r="P26" s="766"/>
    </row>
    <row r="27" spans="1:31" s="452" customFormat="1" ht="50.1" customHeight="1" thickBot="1">
      <c r="A27" s="2769" t="s">
        <v>511</v>
      </c>
      <c r="B27" s="2770"/>
      <c r="C27" s="2770"/>
      <c r="D27" s="2770"/>
      <c r="E27" s="2770"/>
      <c r="F27" s="2770"/>
      <c r="G27" s="2771"/>
      <c r="H27" s="2770" t="s">
        <v>511</v>
      </c>
      <c r="I27" s="2770"/>
      <c r="J27" s="2770"/>
      <c r="K27" s="2770"/>
      <c r="L27" s="2770"/>
      <c r="M27" s="2770"/>
      <c r="N27" s="2770"/>
      <c r="O27" s="2770"/>
      <c r="P27" s="2771"/>
    </row>
    <row r="28" spans="1:31" ht="50.1" customHeight="1">
      <c r="A28" s="777" t="s">
        <v>512</v>
      </c>
      <c r="B28" s="428" t="s">
        <v>2051</v>
      </c>
      <c r="C28" s="468" t="s">
        <v>2050</v>
      </c>
      <c r="D28" s="428" t="s">
        <v>622</v>
      </c>
      <c r="E28" s="468"/>
      <c r="F28" s="457"/>
      <c r="G28" s="458"/>
      <c r="H28" s="428"/>
      <c r="I28" s="469"/>
      <c r="J28" s="457"/>
      <c r="K28" s="457"/>
      <c r="L28" s="457"/>
      <c r="M28" s="457"/>
      <c r="N28" s="457"/>
      <c r="O28" s="457"/>
      <c r="P28" s="458"/>
      <c r="Q28" s="422"/>
      <c r="R28" s="422"/>
      <c r="S28" s="422"/>
      <c r="T28" s="422"/>
      <c r="U28" s="422"/>
      <c r="V28" s="422"/>
      <c r="W28" s="422"/>
      <c r="X28" s="422"/>
      <c r="Y28" s="422"/>
      <c r="Z28" s="422"/>
      <c r="AA28" s="422"/>
      <c r="AB28" s="422"/>
      <c r="AC28" s="422"/>
      <c r="AD28" s="422"/>
      <c r="AE28" s="422"/>
    </row>
    <row r="29" spans="1:31" ht="50.1" customHeight="1">
      <c r="A29" s="778" t="s">
        <v>513</v>
      </c>
      <c r="B29" s="2164" t="s">
        <v>2053</v>
      </c>
      <c r="C29" s="2165" t="s">
        <v>2054</v>
      </c>
      <c r="D29" s="2164" t="s">
        <v>2053</v>
      </c>
      <c r="E29" s="2165"/>
      <c r="F29" s="471"/>
      <c r="G29" s="472"/>
      <c r="H29" s="473"/>
      <c r="I29" s="427"/>
      <c r="J29" s="471"/>
      <c r="K29" s="471"/>
      <c r="L29" s="471"/>
      <c r="M29" s="471"/>
      <c r="N29" s="471"/>
      <c r="O29" s="471"/>
      <c r="P29" s="472"/>
    </row>
    <row r="30" spans="1:31" ht="50.1" customHeight="1">
      <c r="A30" s="778" t="s">
        <v>514</v>
      </c>
      <c r="B30" s="427"/>
      <c r="C30" s="470"/>
      <c r="D30" s="427"/>
      <c r="E30" s="470"/>
      <c r="F30" s="471"/>
      <c r="G30" s="472"/>
      <c r="H30" s="473"/>
      <c r="I30" s="427"/>
      <c r="J30" s="471"/>
      <c r="K30" s="471"/>
      <c r="L30" s="471"/>
      <c r="M30" s="471"/>
      <c r="N30" s="471"/>
      <c r="O30" s="471"/>
      <c r="P30" s="472"/>
    </row>
    <row r="31" spans="1:31" s="422" customFormat="1" ht="50.1" customHeight="1">
      <c r="A31" s="778" t="s">
        <v>515</v>
      </c>
      <c r="B31" s="427">
        <v>170</v>
      </c>
      <c r="C31" s="470">
        <v>220</v>
      </c>
      <c r="D31" s="427">
        <v>200</v>
      </c>
      <c r="E31" s="470"/>
      <c r="F31" s="427"/>
      <c r="G31" s="427"/>
      <c r="H31" s="427"/>
      <c r="I31" s="427"/>
      <c r="J31" s="471"/>
      <c r="K31" s="471"/>
      <c r="L31" s="471"/>
      <c r="M31" s="471"/>
      <c r="N31" s="471"/>
      <c r="O31" s="471"/>
      <c r="P31" s="472"/>
    </row>
    <row r="32" spans="1:31" s="422" customFormat="1" ht="50.1" customHeight="1">
      <c r="A32" s="779" t="s">
        <v>516</v>
      </c>
      <c r="B32" s="433" t="s">
        <v>2001</v>
      </c>
      <c r="C32" s="465" t="s">
        <v>2001</v>
      </c>
      <c r="D32" s="433" t="s">
        <v>2002</v>
      </c>
      <c r="E32" s="465"/>
      <c r="F32" s="460"/>
      <c r="G32" s="462"/>
      <c r="H32" s="433"/>
      <c r="I32" s="431"/>
      <c r="J32" s="460"/>
      <c r="K32" s="460"/>
      <c r="L32" s="460"/>
      <c r="M32" s="460"/>
      <c r="N32" s="460"/>
      <c r="O32" s="460"/>
      <c r="P32" s="462"/>
    </row>
    <row r="33" spans="1:16" s="422" customFormat="1" ht="50.1" customHeight="1">
      <c r="A33" s="779" t="s">
        <v>517</v>
      </c>
      <c r="B33" s="431" t="s">
        <v>425</v>
      </c>
      <c r="C33" s="465" t="s">
        <v>63</v>
      </c>
      <c r="D33" s="431" t="s">
        <v>425</v>
      </c>
      <c r="E33" s="465"/>
      <c r="F33" s="460"/>
      <c r="G33" s="462"/>
      <c r="H33" s="433"/>
      <c r="I33" s="431"/>
      <c r="J33" s="460"/>
      <c r="K33" s="460"/>
      <c r="L33" s="460"/>
      <c r="M33" s="460"/>
      <c r="N33" s="460"/>
      <c r="O33" s="460"/>
      <c r="P33" s="462"/>
    </row>
    <row r="34" spans="1:16" s="422" customFormat="1" ht="50.1" customHeight="1">
      <c r="A34" s="779" t="s">
        <v>518</v>
      </c>
      <c r="B34" s="465"/>
      <c r="C34" s="431"/>
      <c r="D34" s="431"/>
      <c r="E34" s="460"/>
      <c r="F34" s="460"/>
      <c r="G34" s="462"/>
      <c r="H34" s="433"/>
      <c r="I34" s="431"/>
      <c r="J34" s="460"/>
      <c r="K34" s="460"/>
      <c r="L34" s="460"/>
      <c r="M34" s="460"/>
      <c r="N34" s="460"/>
      <c r="O34" s="460"/>
      <c r="P34" s="462"/>
    </row>
    <row r="35" spans="1:16" s="422" customFormat="1" ht="50.1" customHeight="1">
      <c r="A35" s="779" t="s">
        <v>519</v>
      </c>
      <c r="B35" s="465"/>
      <c r="C35" s="431"/>
      <c r="D35" s="431"/>
      <c r="E35" s="460"/>
      <c r="F35" s="460"/>
      <c r="G35" s="462"/>
      <c r="H35" s="433"/>
      <c r="I35" s="431"/>
      <c r="J35" s="460"/>
      <c r="K35" s="460"/>
      <c r="L35" s="460"/>
      <c r="M35" s="460"/>
      <c r="N35" s="460"/>
      <c r="O35" s="460"/>
      <c r="P35" s="462"/>
    </row>
    <row r="36" spans="1:16" s="422" customFormat="1" ht="50.1" customHeight="1">
      <c r="A36" s="779" t="s">
        <v>520</v>
      </c>
      <c r="B36" s="465"/>
      <c r="C36" s="431"/>
      <c r="D36" s="431"/>
      <c r="E36" s="460"/>
      <c r="F36" s="460"/>
      <c r="G36" s="462"/>
      <c r="H36" s="433"/>
      <c r="I36" s="431"/>
      <c r="J36" s="460"/>
      <c r="K36" s="460"/>
      <c r="L36" s="460"/>
      <c r="M36" s="460"/>
      <c r="N36" s="460"/>
      <c r="O36" s="460"/>
      <c r="P36" s="462"/>
    </row>
    <row r="37" spans="1:16" s="422" customFormat="1" ht="50.1" customHeight="1">
      <c r="A37" s="779" t="s">
        <v>521</v>
      </c>
      <c r="B37" s="465"/>
      <c r="C37" s="431"/>
      <c r="D37" s="431"/>
      <c r="E37" s="460"/>
      <c r="F37" s="460"/>
      <c r="G37" s="462"/>
      <c r="H37" s="433"/>
      <c r="I37" s="431"/>
      <c r="J37" s="460"/>
      <c r="K37" s="460"/>
      <c r="L37" s="460"/>
      <c r="M37" s="460"/>
      <c r="N37" s="460"/>
      <c r="O37" s="460"/>
      <c r="P37" s="462"/>
    </row>
    <row r="38" spans="1:16" s="422" customFormat="1" ht="50.1" customHeight="1" thickBot="1">
      <c r="A38" s="780" t="s">
        <v>522</v>
      </c>
      <c r="B38" s="474" t="s">
        <v>2003</v>
      </c>
      <c r="C38" s="435" t="s">
        <v>2003</v>
      </c>
      <c r="D38" s="435" t="s">
        <v>2003</v>
      </c>
      <c r="E38" s="475"/>
      <c r="F38" s="475"/>
      <c r="G38" s="476"/>
      <c r="H38" s="477"/>
      <c r="I38" s="435"/>
      <c r="J38" s="475"/>
      <c r="K38" s="475"/>
      <c r="L38" s="475"/>
      <c r="M38" s="475"/>
      <c r="N38" s="475"/>
      <c r="O38" s="475"/>
      <c r="P38" s="476"/>
    </row>
    <row r="39" spans="1:16" s="452" customFormat="1" ht="50.1" customHeight="1" thickBot="1">
      <c r="A39" s="2769" t="s">
        <v>523</v>
      </c>
      <c r="B39" s="2770"/>
      <c r="C39" s="2770"/>
      <c r="D39" s="2770"/>
      <c r="E39" s="2770"/>
      <c r="F39" s="2770"/>
      <c r="G39" s="2771"/>
      <c r="H39" s="2770" t="s">
        <v>524</v>
      </c>
      <c r="I39" s="2770"/>
      <c r="J39" s="2770"/>
      <c r="K39" s="2770"/>
      <c r="L39" s="2770"/>
      <c r="M39" s="2770"/>
      <c r="N39" s="2770"/>
      <c r="O39" s="2770"/>
      <c r="P39" s="2771"/>
    </row>
    <row r="40" spans="1:16" ht="50.1" customHeight="1">
      <c r="A40" s="777" t="s">
        <v>525</v>
      </c>
      <c r="B40" s="478" t="s">
        <v>2004</v>
      </c>
      <c r="C40" s="478" t="s">
        <v>2004</v>
      </c>
      <c r="D40" s="479" t="s">
        <v>2004</v>
      </c>
      <c r="E40" s="480"/>
      <c r="F40" s="480"/>
      <c r="G40" s="481"/>
      <c r="H40" s="482"/>
      <c r="I40" s="479"/>
      <c r="J40" s="480"/>
      <c r="K40" s="480"/>
      <c r="L40" s="480"/>
      <c r="M40" s="480"/>
      <c r="N40" s="480"/>
      <c r="O40" s="480"/>
      <c r="P40" s="481"/>
    </row>
    <row r="41" spans="1:16" ht="50.1" customHeight="1">
      <c r="A41" s="781" t="s">
        <v>526</v>
      </c>
      <c r="B41" s="483" t="s">
        <v>2005</v>
      </c>
      <c r="C41" s="483" t="s">
        <v>2005</v>
      </c>
      <c r="D41" s="484" t="s">
        <v>2002</v>
      </c>
      <c r="E41" s="485"/>
      <c r="F41" s="485"/>
      <c r="G41" s="486"/>
      <c r="H41" s="487"/>
      <c r="I41" s="484"/>
      <c r="J41" s="485"/>
      <c r="K41" s="485"/>
      <c r="L41" s="485"/>
      <c r="M41" s="485"/>
      <c r="N41" s="485"/>
      <c r="O41" s="485"/>
      <c r="P41" s="486"/>
    </row>
    <row r="42" spans="1:16" ht="50.1" customHeight="1">
      <c r="A42" s="780" t="s">
        <v>527</v>
      </c>
      <c r="B42" s="488" t="s">
        <v>2006</v>
      </c>
      <c r="C42" s="488" t="s">
        <v>2006</v>
      </c>
      <c r="D42" s="489"/>
      <c r="E42" s="490"/>
      <c r="F42" s="490"/>
      <c r="G42" s="491"/>
      <c r="H42" s="492"/>
      <c r="I42" s="489"/>
      <c r="J42" s="490"/>
      <c r="K42" s="490"/>
      <c r="L42" s="490"/>
      <c r="M42" s="490"/>
      <c r="N42" s="490"/>
      <c r="O42" s="490"/>
      <c r="P42" s="491"/>
    </row>
    <row r="43" spans="1:16" ht="50.1" customHeight="1">
      <c r="A43" s="780" t="s">
        <v>528</v>
      </c>
      <c r="B43" s="488"/>
      <c r="C43" s="488"/>
      <c r="D43" s="489"/>
      <c r="E43" s="490"/>
      <c r="F43" s="490"/>
      <c r="G43" s="491"/>
      <c r="H43" s="492"/>
      <c r="I43" s="489"/>
      <c r="J43" s="490"/>
      <c r="K43" s="490"/>
      <c r="L43" s="490"/>
      <c r="M43" s="490"/>
      <c r="N43" s="490"/>
      <c r="O43" s="490"/>
      <c r="P43" s="491"/>
    </row>
    <row r="44" spans="1:16" s="422" customFormat="1" ht="50.1" customHeight="1">
      <c r="A44" s="771" t="s">
        <v>529</v>
      </c>
      <c r="B44" s="493" t="s">
        <v>2006</v>
      </c>
      <c r="C44" s="493" t="s">
        <v>2006</v>
      </c>
      <c r="D44" s="494" t="s">
        <v>295</v>
      </c>
      <c r="E44" s="495"/>
      <c r="F44" s="495"/>
      <c r="G44" s="496"/>
      <c r="H44" s="497"/>
      <c r="I44" s="494"/>
      <c r="J44" s="495"/>
      <c r="K44" s="495"/>
      <c r="L44" s="495"/>
      <c r="M44" s="495"/>
      <c r="N44" s="495"/>
      <c r="O44" s="495"/>
      <c r="P44" s="496"/>
    </row>
    <row r="45" spans="1:16" ht="50.1" customHeight="1">
      <c r="A45" s="775" t="s">
        <v>530</v>
      </c>
      <c r="B45" s="488" t="s">
        <v>2007</v>
      </c>
      <c r="C45" s="488" t="s">
        <v>2007</v>
      </c>
      <c r="D45" s="489" t="s">
        <v>2007</v>
      </c>
      <c r="E45" s="490"/>
      <c r="F45" s="490"/>
      <c r="G45" s="491"/>
      <c r="H45" s="492"/>
      <c r="I45" s="489"/>
      <c r="J45" s="490"/>
      <c r="K45" s="490"/>
      <c r="L45" s="490"/>
      <c r="M45" s="490"/>
      <c r="N45" s="490"/>
      <c r="O45" s="490"/>
      <c r="P45" s="491"/>
    </row>
    <row r="46" spans="1:16" ht="50.1" customHeight="1">
      <c r="A46" s="771" t="s">
        <v>531</v>
      </c>
      <c r="B46" s="493"/>
      <c r="C46" s="493"/>
      <c r="D46" s="494"/>
      <c r="E46" s="461"/>
      <c r="F46" s="461"/>
      <c r="G46" s="463"/>
      <c r="H46" s="497"/>
      <c r="I46" s="494"/>
      <c r="J46" s="461"/>
      <c r="K46" s="461"/>
      <c r="L46" s="461"/>
      <c r="M46" s="461"/>
      <c r="N46" s="461"/>
      <c r="O46" s="461"/>
      <c r="P46" s="463"/>
    </row>
    <row r="47" spans="1:16" ht="50.1" customHeight="1">
      <c r="A47" s="771" t="s">
        <v>532</v>
      </c>
      <c r="B47" s="493" t="s">
        <v>2008</v>
      </c>
      <c r="C47" s="493" t="s">
        <v>2008</v>
      </c>
      <c r="D47" s="494"/>
      <c r="E47" s="461"/>
      <c r="F47" s="461"/>
      <c r="G47" s="463"/>
      <c r="H47" s="497"/>
      <c r="I47" s="494"/>
      <c r="J47" s="461"/>
      <c r="K47" s="461"/>
      <c r="L47" s="461"/>
      <c r="M47" s="461"/>
      <c r="N47" s="461"/>
      <c r="O47" s="461"/>
      <c r="P47" s="463"/>
    </row>
    <row r="48" spans="1:16" ht="50.1" customHeight="1">
      <c r="A48" s="771" t="s">
        <v>533</v>
      </c>
      <c r="B48" s="493" t="s">
        <v>2009</v>
      </c>
      <c r="C48" s="493" t="s">
        <v>2009</v>
      </c>
      <c r="D48" s="494"/>
      <c r="E48" s="461"/>
      <c r="F48" s="461"/>
      <c r="G48" s="463"/>
      <c r="H48" s="497"/>
      <c r="I48" s="494"/>
      <c r="J48" s="461"/>
      <c r="K48" s="461"/>
      <c r="L48" s="461"/>
      <c r="M48" s="461"/>
      <c r="N48" s="461"/>
      <c r="O48" s="461"/>
      <c r="P48" s="463"/>
    </row>
    <row r="49" spans="1:31" ht="50.1" customHeight="1">
      <c r="A49" s="771" t="s">
        <v>534</v>
      </c>
      <c r="B49" s="493"/>
      <c r="C49" s="493"/>
      <c r="D49" s="494"/>
      <c r="E49" s="461"/>
      <c r="F49" s="461"/>
      <c r="G49" s="463"/>
      <c r="H49" s="497"/>
      <c r="I49" s="494"/>
      <c r="J49" s="461"/>
      <c r="K49" s="461"/>
      <c r="L49" s="461"/>
      <c r="M49" s="461"/>
      <c r="N49" s="461"/>
      <c r="O49" s="461"/>
      <c r="P49" s="463"/>
    </row>
    <row r="50" spans="1:31" ht="50.1" customHeight="1">
      <c r="A50" s="771" t="s">
        <v>535</v>
      </c>
      <c r="B50" s="493"/>
      <c r="C50" s="493"/>
      <c r="D50" s="494"/>
      <c r="E50" s="461"/>
      <c r="F50" s="461"/>
      <c r="G50" s="463"/>
      <c r="H50" s="497"/>
      <c r="I50" s="494"/>
      <c r="J50" s="461"/>
      <c r="K50" s="461"/>
      <c r="L50" s="461"/>
      <c r="M50" s="461"/>
      <c r="N50" s="461"/>
      <c r="O50" s="461"/>
      <c r="P50" s="463"/>
    </row>
    <row r="51" spans="1:31" ht="50.1" customHeight="1" thickBot="1">
      <c r="A51" s="782" t="s">
        <v>536</v>
      </c>
      <c r="B51" s="498" t="s">
        <v>2010</v>
      </c>
      <c r="C51" s="498" t="s">
        <v>2010</v>
      </c>
      <c r="D51" s="499"/>
      <c r="E51" s="500"/>
      <c r="F51" s="500"/>
      <c r="G51" s="501"/>
      <c r="H51" s="502"/>
      <c r="I51" s="499"/>
      <c r="J51" s="500"/>
      <c r="K51" s="500"/>
      <c r="L51" s="500"/>
      <c r="M51" s="500"/>
      <c r="N51" s="500"/>
      <c r="O51" s="500"/>
      <c r="P51" s="501"/>
    </row>
    <row r="52" spans="1:31" s="452" customFormat="1" ht="50.1" customHeight="1" thickBot="1">
      <c r="A52" s="2751" t="s">
        <v>537</v>
      </c>
      <c r="B52" s="2752"/>
      <c r="C52" s="2752"/>
      <c r="D52" s="2752"/>
      <c r="E52" s="2752"/>
      <c r="F52" s="2752"/>
      <c r="G52" s="2753"/>
      <c r="H52" s="2751" t="s">
        <v>538</v>
      </c>
      <c r="I52" s="2752"/>
      <c r="J52" s="2752"/>
      <c r="K52" s="2752"/>
      <c r="L52" s="2752"/>
      <c r="M52" s="2752"/>
      <c r="N52" s="2752"/>
      <c r="O52" s="2752"/>
      <c r="P52" s="2753"/>
    </row>
    <row r="53" spans="1:31" s="422" customFormat="1" ht="50.1" customHeight="1">
      <c r="A53" s="779" t="s">
        <v>539</v>
      </c>
      <c r="B53" s="494"/>
      <c r="C53" s="493"/>
      <c r="D53" s="493"/>
      <c r="E53" s="460"/>
      <c r="F53" s="460"/>
      <c r="G53" s="462"/>
      <c r="H53" s="503"/>
      <c r="I53" s="504"/>
      <c r="J53" s="471"/>
      <c r="K53" s="471"/>
      <c r="L53" s="471"/>
      <c r="M53" s="471"/>
      <c r="N53" s="471"/>
      <c r="O53" s="471"/>
      <c r="P53" s="472"/>
    </row>
    <row r="54" spans="1:31" s="422" customFormat="1" ht="50.1" customHeight="1">
      <c r="A54" s="771" t="s">
        <v>540</v>
      </c>
      <c r="B54" s="494"/>
      <c r="C54" s="493"/>
      <c r="D54" s="493"/>
      <c r="E54" s="460"/>
      <c r="F54" s="460"/>
      <c r="G54" s="462"/>
      <c r="H54" s="497"/>
      <c r="I54" s="494"/>
      <c r="J54" s="460"/>
      <c r="K54" s="460"/>
      <c r="L54" s="460"/>
      <c r="M54" s="460"/>
      <c r="N54" s="460"/>
      <c r="O54" s="460"/>
      <c r="P54" s="462"/>
    </row>
    <row r="55" spans="1:31" ht="50.1" customHeight="1">
      <c r="A55" s="771" t="s">
        <v>541</v>
      </c>
      <c r="B55" s="431"/>
      <c r="C55" s="465"/>
      <c r="D55" s="465"/>
      <c r="E55" s="460"/>
      <c r="F55" s="460"/>
      <c r="G55" s="462"/>
      <c r="H55" s="497"/>
      <c r="I55" s="494"/>
      <c r="J55" s="460"/>
      <c r="K55" s="460"/>
      <c r="L55" s="460"/>
      <c r="M55" s="460"/>
      <c r="N55" s="460"/>
      <c r="O55" s="460"/>
      <c r="P55" s="462"/>
    </row>
    <row r="56" spans="1:31" s="422" customFormat="1" ht="50.1" customHeight="1">
      <c r="A56" s="779" t="s">
        <v>542</v>
      </c>
      <c r="B56" s="494"/>
      <c r="C56" s="493"/>
      <c r="D56" s="493"/>
      <c r="E56" s="460"/>
      <c r="F56" s="460"/>
      <c r="G56" s="462"/>
      <c r="H56" s="497"/>
      <c r="I56" s="494"/>
      <c r="J56" s="460"/>
      <c r="K56" s="460"/>
      <c r="L56" s="460"/>
      <c r="M56" s="460"/>
      <c r="N56" s="460"/>
      <c r="O56" s="460"/>
      <c r="P56" s="462"/>
    </row>
    <row r="57" spans="1:31" s="422" customFormat="1" ht="50.1" customHeight="1">
      <c r="A57" s="779" t="s">
        <v>543</v>
      </c>
      <c r="B57" s="494"/>
      <c r="C57" s="493" t="s">
        <v>2011</v>
      </c>
      <c r="D57" s="493"/>
      <c r="E57" s="505"/>
      <c r="F57" s="505"/>
      <c r="G57" s="506"/>
      <c r="H57" s="497"/>
      <c r="I57" s="494"/>
      <c r="J57" s="505"/>
      <c r="K57" s="505"/>
      <c r="L57" s="505"/>
      <c r="M57" s="505"/>
      <c r="N57" s="505"/>
      <c r="O57" s="505"/>
      <c r="P57" s="506"/>
    </row>
    <row r="58" spans="1:31" s="422" customFormat="1" ht="50.1" customHeight="1">
      <c r="A58" s="779" t="s">
        <v>544</v>
      </c>
      <c r="B58" s="494"/>
      <c r="C58" s="493"/>
      <c r="D58" s="493"/>
      <c r="E58" s="505"/>
      <c r="F58" s="505"/>
      <c r="G58" s="506"/>
      <c r="H58" s="497"/>
      <c r="I58" s="494"/>
      <c r="J58" s="505"/>
      <c r="K58" s="505"/>
      <c r="L58" s="505"/>
      <c r="M58" s="505"/>
      <c r="N58" s="505"/>
      <c r="O58" s="505"/>
      <c r="P58" s="506"/>
    </row>
    <row r="59" spans="1:31" s="422" customFormat="1" ht="50.1" customHeight="1">
      <c r="A59" s="779" t="s">
        <v>545</v>
      </c>
      <c r="B59" s="494">
        <v>250</v>
      </c>
      <c r="C59" s="493">
        <v>2030</v>
      </c>
      <c r="D59" s="493"/>
      <c r="E59" s="505"/>
      <c r="F59" s="505"/>
      <c r="G59" s="506"/>
      <c r="H59" s="497"/>
      <c r="I59" s="494"/>
      <c r="J59" s="505"/>
      <c r="K59" s="505"/>
      <c r="L59" s="505"/>
      <c r="M59" s="505"/>
      <c r="N59" s="505"/>
      <c r="O59" s="505"/>
      <c r="P59" s="506"/>
    </row>
    <row r="60" spans="1:31" s="422" customFormat="1" ht="50.1" customHeight="1">
      <c r="A60" s="779" t="s">
        <v>546</v>
      </c>
      <c r="B60" s="494" t="s">
        <v>2013</v>
      </c>
      <c r="C60" s="493" t="s">
        <v>2012</v>
      </c>
      <c r="D60" s="493"/>
      <c r="E60" s="505"/>
      <c r="F60" s="505"/>
      <c r="G60" s="506"/>
      <c r="H60" s="497"/>
      <c r="I60" s="494"/>
      <c r="J60" s="505"/>
      <c r="K60" s="505"/>
      <c r="L60" s="505"/>
      <c r="M60" s="505"/>
      <c r="N60" s="505"/>
      <c r="O60" s="505"/>
      <c r="P60" s="506"/>
    </row>
    <row r="61" spans="1:31" s="422" customFormat="1" ht="50.1" customHeight="1">
      <c r="A61" s="779" t="s">
        <v>547</v>
      </c>
      <c r="B61" s="494"/>
      <c r="C61" s="493"/>
      <c r="D61" s="493"/>
      <c r="E61" s="505"/>
      <c r="F61" s="505"/>
      <c r="G61" s="506"/>
      <c r="H61" s="497"/>
      <c r="I61" s="494"/>
      <c r="J61" s="505"/>
      <c r="K61" s="505"/>
      <c r="L61" s="505"/>
      <c r="M61" s="505"/>
      <c r="N61" s="505"/>
      <c r="O61" s="505"/>
      <c r="P61" s="506"/>
    </row>
    <row r="62" spans="1:31" s="422" customFormat="1" ht="50.1" customHeight="1" thickBot="1">
      <c r="A62" s="780" t="s">
        <v>548</v>
      </c>
      <c r="B62" s="489" t="s">
        <v>2014</v>
      </c>
      <c r="C62" s="488" t="s">
        <v>2014</v>
      </c>
      <c r="D62" s="488"/>
      <c r="E62" s="507"/>
      <c r="F62" s="507"/>
      <c r="G62" s="508"/>
      <c r="H62" s="492"/>
      <c r="I62" s="489"/>
      <c r="J62" s="507"/>
      <c r="K62" s="507"/>
      <c r="L62" s="507"/>
      <c r="M62" s="507"/>
      <c r="N62" s="507"/>
      <c r="O62" s="507"/>
      <c r="P62" s="508"/>
    </row>
    <row r="63" spans="1:31" s="452" customFormat="1" ht="50.1" customHeight="1" thickBot="1">
      <c r="A63" s="2751" t="s">
        <v>549</v>
      </c>
      <c r="B63" s="2752"/>
      <c r="C63" s="2752"/>
      <c r="D63" s="2752"/>
      <c r="E63" s="2752"/>
      <c r="F63" s="2752"/>
      <c r="G63" s="2753"/>
      <c r="H63" s="2752" t="s">
        <v>550</v>
      </c>
      <c r="I63" s="2752"/>
      <c r="J63" s="2752"/>
      <c r="K63" s="2752"/>
      <c r="L63" s="2752"/>
      <c r="M63" s="2752"/>
      <c r="N63" s="2752"/>
      <c r="O63" s="2752"/>
      <c r="P63" s="2753"/>
    </row>
    <row r="64" spans="1:31" ht="50.1" customHeight="1">
      <c r="A64" s="777" t="s">
        <v>551</v>
      </c>
      <c r="B64" s="468"/>
      <c r="C64" s="428"/>
      <c r="D64" s="457"/>
      <c r="E64" s="457"/>
      <c r="F64" s="457"/>
      <c r="G64" s="458"/>
      <c r="H64" s="428"/>
      <c r="I64" s="469"/>
      <c r="J64" s="457"/>
      <c r="K64" s="457"/>
      <c r="L64" s="457"/>
      <c r="M64" s="457"/>
      <c r="N64" s="457"/>
      <c r="O64" s="457"/>
      <c r="P64" s="458"/>
      <c r="Q64" s="422"/>
      <c r="R64" s="422"/>
      <c r="S64" s="422"/>
      <c r="T64" s="422"/>
      <c r="U64" s="422"/>
      <c r="V64" s="422"/>
      <c r="W64" s="422"/>
      <c r="X64" s="422"/>
      <c r="Y64" s="422"/>
      <c r="Z64" s="422"/>
      <c r="AA64" s="422"/>
      <c r="AB64" s="422"/>
      <c r="AC64" s="422"/>
      <c r="AD64" s="422"/>
      <c r="AE64" s="422"/>
    </row>
    <row r="65" spans="1:16" ht="50.1" customHeight="1">
      <c r="A65" s="779" t="s">
        <v>552</v>
      </c>
      <c r="B65" s="465"/>
      <c r="C65" s="431"/>
      <c r="D65" s="460"/>
      <c r="E65" s="460"/>
      <c r="F65" s="460"/>
      <c r="G65" s="462"/>
      <c r="H65" s="497"/>
      <c r="I65" s="494"/>
      <c r="J65" s="460"/>
      <c r="K65" s="460"/>
      <c r="L65" s="460"/>
      <c r="M65" s="460"/>
      <c r="N65" s="460"/>
      <c r="O65" s="460"/>
      <c r="P65" s="462"/>
    </row>
    <row r="66" spans="1:16" s="422" customFormat="1" ht="50.1" customHeight="1">
      <c r="A66" s="779" t="s">
        <v>553</v>
      </c>
      <c r="B66" s="465"/>
      <c r="C66" s="434"/>
      <c r="D66" s="434"/>
      <c r="E66" s="434"/>
      <c r="F66" s="434"/>
      <c r="G66" s="432"/>
      <c r="H66" s="433"/>
      <c r="I66" s="434"/>
      <c r="J66" s="434"/>
      <c r="K66" s="434"/>
      <c r="L66" s="434"/>
      <c r="M66" s="434"/>
      <c r="N66" s="434"/>
      <c r="O66" s="434"/>
      <c r="P66" s="432"/>
    </row>
    <row r="67" spans="1:16" s="422" customFormat="1" ht="50.1" customHeight="1">
      <c r="A67" s="779" t="s">
        <v>554</v>
      </c>
      <c r="B67" s="465"/>
      <c r="C67" s="434"/>
      <c r="D67" s="460"/>
      <c r="E67" s="505"/>
      <c r="F67" s="505"/>
      <c r="G67" s="506"/>
      <c r="H67" s="497"/>
      <c r="I67" s="494"/>
      <c r="J67" s="505"/>
      <c r="K67" s="505"/>
      <c r="L67" s="505"/>
      <c r="M67" s="505"/>
      <c r="N67" s="505"/>
      <c r="O67" s="505"/>
      <c r="P67" s="506"/>
    </row>
    <row r="68" spans="1:16" s="422" customFormat="1" ht="50.1" customHeight="1">
      <c r="A68" s="779" t="s">
        <v>555</v>
      </c>
      <c r="B68" s="465"/>
      <c r="C68" s="434"/>
      <c r="D68" s="460"/>
      <c r="E68" s="505"/>
      <c r="F68" s="505"/>
      <c r="G68" s="506"/>
      <c r="H68" s="497"/>
      <c r="I68" s="494"/>
      <c r="J68" s="505"/>
      <c r="K68" s="505"/>
      <c r="L68" s="505"/>
      <c r="M68" s="505"/>
      <c r="N68" s="505"/>
      <c r="O68" s="505"/>
      <c r="P68" s="506"/>
    </row>
    <row r="69" spans="1:16" s="422" customFormat="1" ht="50.1" customHeight="1">
      <c r="A69" s="779" t="s">
        <v>556</v>
      </c>
      <c r="B69" s="465"/>
      <c r="C69" s="434"/>
      <c r="D69" s="460"/>
      <c r="E69" s="505"/>
      <c r="F69" s="505"/>
      <c r="G69" s="506"/>
      <c r="H69" s="497"/>
      <c r="I69" s="494"/>
      <c r="J69" s="505"/>
      <c r="K69" s="505"/>
      <c r="L69" s="505"/>
      <c r="M69" s="505"/>
      <c r="N69" s="505"/>
      <c r="O69" s="505"/>
      <c r="P69" s="506"/>
    </row>
    <row r="70" spans="1:16" ht="79.2">
      <c r="A70" s="779" t="s">
        <v>557</v>
      </c>
      <c r="B70" s="465"/>
      <c r="C70" s="431"/>
      <c r="D70" s="460"/>
      <c r="E70" s="505"/>
      <c r="F70" s="505"/>
      <c r="G70" s="506"/>
      <c r="H70" s="497"/>
      <c r="I70" s="494"/>
      <c r="J70" s="505"/>
      <c r="K70" s="505"/>
      <c r="L70" s="505"/>
      <c r="M70" s="505"/>
      <c r="N70" s="505"/>
      <c r="O70" s="505"/>
      <c r="P70" s="506"/>
    </row>
    <row r="71" spans="1:16" ht="50.1" customHeight="1">
      <c r="A71" s="779" t="s">
        <v>558</v>
      </c>
      <c r="B71" s="465"/>
      <c r="C71" s="431"/>
      <c r="D71" s="460"/>
      <c r="E71" s="505"/>
      <c r="F71" s="505"/>
      <c r="G71" s="506"/>
      <c r="H71" s="497"/>
      <c r="I71" s="494"/>
      <c r="J71" s="505"/>
      <c r="K71" s="505"/>
      <c r="L71" s="505"/>
      <c r="M71" s="505"/>
      <c r="N71" s="505"/>
      <c r="O71" s="505"/>
      <c r="P71" s="506"/>
    </row>
    <row r="72" spans="1:16" ht="50.1" customHeight="1">
      <c r="A72" s="779" t="s">
        <v>559</v>
      </c>
      <c r="B72" s="465"/>
      <c r="C72" s="431"/>
      <c r="D72" s="460"/>
      <c r="E72" s="505"/>
      <c r="F72" s="505"/>
      <c r="G72" s="506"/>
      <c r="H72" s="497"/>
      <c r="I72" s="494"/>
      <c r="J72" s="505"/>
      <c r="K72" s="505"/>
      <c r="L72" s="505"/>
      <c r="M72" s="505"/>
      <c r="N72" s="505"/>
      <c r="O72" s="505"/>
      <c r="P72" s="506"/>
    </row>
    <row r="73" spans="1:16" ht="39.6">
      <c r="A73" s="779" t="s">
        <v>560</v>
      </c>
      <c r="B73" s="465"/>
      <c r="C73" s="431"/>
      <c r="D73" s="460"/>
      <c r="E73" s="431"/>
      <c r="F73" s="434"/>
      <c r="G73" s="432"/>
      <c r="H73" s="497"/>
      <c r="I73" s="494"/>
      <c r="J73" s="460"/>
      <c r="K73" s="431"/>
      <c r="L73" s="434"/>
      <c r="M73" s="434"/>
      <c r="N73" s="431"/>
      <c r="O73" s="434"/>
      <c r="P73" s="432"/>
    </row>
    <row r="74" spans="1:16" ht="50.1" customHeight="1">
      <c r="A74" s="779" t="s">
        <v>561</v>
      </c>
      <c r="B74" s="465"/>
      <c r="C74" s="431"/>
      <c r="D74" s="460"/>
      <c r="E74" s="460"/>
      <c r="F74" s="460"/>
      <c r="G74" s="462"/>
      <c r="H74" s="497"/>
      <c r="I74" s="494"/>
      <c r="J74" s="460"/>
      <c r="K74" s="460"/>
      <c r="L74" s="460"/>
      <c r="M74" s="460"/>
      <c r="N74" s="460"/>
      <c r="O74" s="460"/>
      <c r="P74" s="462"/>
    </row>
    <row r="75" spans="1:16" ht="50.1" customHeight="1">
      <c r="A75" s="779" t="s">
        <v>543</v>
      </c>
      <c r="B75" s="465"/>
      <c r="C75" s="431"/>
      <c r="D75" s="460"/>
      <c r="E75" s="505"/>
      <c r="F75" s="505"/>
      <c r="G75" s="506"/>
      <c r="H75" s="497"/>
      <c r="I75" s="494"/>
      <c r="J75" s="505"/>
      <c r="K75" s="505"/>
      <c r="L75" s="505"/>
      <c r="M75" s="505"/>
      <c r="N75" s="505"/>
      <c r="O75" s="505"/>
      <c r="P75" s="506"/>
    </row>
    <row r="76" spans="1:16" s="422" customFormat="1" ht="50.1" customHeight="1">
      <c r="A76" s="779" t="s">
        <v>562</v>
      </c>
      <c r="B76" s="465"/>
      <c r="C76" s="431"/>
      <c r="D76" s="460"/>
      <c r="E76" s="505"/>
      <c r="F76" s="505"/>
      <c r="G76" s="506"/>
      <c r="H76" s="497"/>
      <c r="I76" s="494"/>
      <c r="J76" s="505"/>
      <c r="K76" s="505"/>
      <c r="L76" s="505"/>
      <c r="M76" s="505"/>
      <c r="N76" s="505"/>
      <c r="O76" s="505"/>
      <c r="P76" s="506"/>
    </row>
    <row r="77" spans="1:16" s="422" customFormat="1" ht="50.1" customHeight="1">
      <c r="A77" s="779" t="s">
        <v>563</v>
      </c>
      <c r="B77" s="465"/>
      <c r="C77" s="431"/>
      <c r="D77" s="460"/>
      <c r="E77" s="505"/>
      <c r="F77" s="505"/>
      <c r="G77" s="506"/>
      <c r="H77" s="497"/>
      <c r="I77" s="494"/>
      <c r="J77" s="505"/>
      <c r="K77" s="505"/>
      <c r="L77" s="505"/>
      <c r="M77" s="505"/>
      <c r="N77" s="505"/>
      <c r="O77" s="505"/>
      <c r="P77" s="506"/>
    </row>
    <row r="78" spans="1:16" s="422" customFormat="1" ht="50.1" customHeight="1">
      <c r="A78" s="779" t="s">
        <v>564</v>
      </c>
      <c r="B78" s="465"/>
      <c r="C78" s="431"/>
      <c r="D78" s="460"/>
      <c r="E78" s="505"/>
      <c r="F78" s="505"/>
      <c r="G78" s="506"/>
      <c r="H78" s="497"/>
      <c r="I78" s="494"/>
      <c r="J78" s="505"/>
      <c r="K78" s="505"/>
      <c r="L78" s="505"/>
      <c r="M78" s="505"/>
      <c r="N78" s="505"/>
      <c r="O78" s="505"/>
      <c r="P78" s="506"/>
    </row>
    <row r="79" spans="1:16" s="422" customFormat="1" ht="50.1" customHeight="1">
      <c r="A79" s="779" t="s">
        <v>565</v>
      </c>
      <c r="B79" s="465"/>
      <c r="C79" s="431"/>
      <c r="D79" s="460"/>
      <c r="E79" s="505"/>
      <c r="F79" s="505"/>
      <c r="G79" s="506"/>
      <c r="H79" s="497"/>
      <c r="I79" s="494"/>
      <c r="J79" s="505"/>
      <c r="K79" s="505"/>
      <c r="L79" s="505"/>
      <c r="M79" s="505"/>
      <c r="N79" s="505"/>
      <c r="O79" s="505"/>
      <c r="P79" s="506"/>
    </row>
    <row r="80" spans="1:16" s="422" customFormat="1" ht="50.1" customHeight="1">
      <c r="A80" s="779" t="s">
        <v>566</v>
      </c>
      <c r="B80" s="465"/>
      <c r="C80" s="431"/>
      <c r="D80" s="460"/>
      <c r="E80" s="505"/>
      <c r="F80" s="505"/>
      <c r="G80" s="506"/>
      <c r="H80" s="497"/>
      <c r="I80" s="494"/>
      <c r="J80" s="505"/>
      <c r="K80" s="505"/>
      <c r="L80" s="505"/>
      <c r="M80" s="505"/>
      <c r="N80" s="505"/>
      <c r="O80" s="505"/>
      <c r="P80" s="506"/>
    </row>
    <row r="81" spans="1:16" ht="50.1" customHeight="1">
      <c r="A81" s="779" t="s">
        <v>567</v>
      </c>
      <c r="B81" s="465"/>
      <c r="C81" s="431"/>
      <c r="D81" s="460"/>
      <c r="E81" s="505"/>
      <c r="F81" s="505"/>
      <c r="G81" s="506"/>
      <c r="H81" s="497"/>
      <c r="I81" s="494"/>
      <c r="J81" s="505"/>
      <c r="K81" s="505"/>
      <c r="L81" s="505"/>
      <c r="M81" s="505"/>
      <c r="N81" s="505"/>
      <c r="O81" s="505"/>
      <c r="P81" s="506"/>
    </row>
    <row r="82" spans="1:16" ht="79.2">
      <c r="A82" s="779" t="s">
        <v>568</v>
      </c>
      <c r="B82" s="465"/>
      <c r="C82" s="431"/>
      <c r="D82" s="460"/>
      <c r="E82" s="460"/>
      <c r="F82" s="460"/>
      <c r="G82" s="462"/>
      <c r="H82" s="497"/>
      <c r="I82" s="494"/>
      <c r="J82" s="460"/>
      <c r="K82" s="460"/>
      <c r="L82" s="460"/>
      <c r="M82" s="460"/>
      <c r="N82" s="460"/>
      <c r="O82" s="460"/>
      <c r="P82" s="462"/>
    </row>
    <row r="83" spans="1:16" ht="50.1" customHeight="1">
      <c r="A83" s="779" t="s">
        <v>569</v>
      </c>
      <c r="B83" s="465"/>
      <c r="C83" s="431"/>
      <c r="D83" s="460"/>
      <c r="E83" s="505"/>
      <c r="F83" s="505"/>
      <c r="G83" s="506"/>
      <c r="H83" s="497"/>
      <c r="I83" s="494"/>
      <c r="J83" s="505"/>
      <c r="K83" s="505"/>
      <c r="L83" s="505"/>
      <c r="M83" s="505"/>
      <c r="N83" s="505"/>
      <c r="O83" s="505"/>
      <c r="P83" s="506"/>
    </row>
    <row r="84" spans="1:16" ht="50.1" customHeight="1">
      <c r="A84" s="783"/>
      <c r="B84" s="784" t="s">
        <v>385</v>
      </c>
      <c r="C84" s="785" t="s">
        <v>385</v>
      </c>
      <c r="D84" s="785" t="s">
        <v>385</v>
      </c>
      <c r="E84" s="785" t="s">
        <v>385</v>
      </c>
      <c r="F84" s="785" t="s">
        <v>385</v>
      </c>
      <c r="G84" s="786" t="s">
        <v>385</v>
      </c>
      <c r="H84" s="787" t="s">
        <v>385</v>
      </c>
      <c r="I84" s="785" t="s">
        <v>385</v>
      </c>
      <c r="J84" s="785" t="s">
        <v>385</v>
      </c>
      <c r="K84" s="785" t="s">
        <v>385</v>
      </c>
      <c r="L84" s="785" t="s">
        <v>385</v>
      </c>
      <c r="M84" s="785" t="s">
        <v>385</v>
      </c>
      <c r="N84" s="785" t="s">
        <v>385</v>
      </c>
      <c r="O84" s="785" t="s">
        <v>385</v>
      </c>
      <c r="P84" s="786" t="s">
        <v>385</v>
      </c>
    </row>
    <row r="85" spans="1:16" ht="50.1" customHeight="1">
      <c r="A85" s="788" t="s">
        <v>570</v>
      </c>
      <c r="B85" s="509"/>
      <c r="C85" s="510"/>
      <c r="D85" s="511"/>
      <c r="E85" s="511"/>
      <c r="F85" s="511"/>
      <c r="G85" s="512"/>
      <c r="H85" s="513"/>
      <c r="I85" s="510"/>
      <c r="J85" s="511"/>
      <c r="K85" s="511"/>
      <c r="L85" s="511"/>
      <c r="M85" s="511"/>
      <c r="N85" s="511"/>
      <c r="O85" s="511"/>
      <c r="P85" s="512"/>
    </row>
    <row r="86" spans="1:16" ht="50.1" customHeight="1">
      <c r="A86" s="779"/>
      <c r="B86" s="784" t="s">
        <v>386</v>
      </c>
      <c r="C86" s="785" t="s">
        <v>386</v>
      </c>
      <c r="D86" s="785" t="s">
        <v>386</v>
      </c>
      <c r="E86" s="785" t="s">
        <v>386</v>
      </c>
      <c r="F86" s="785" t="s">
        <v>386</v>
      </c>
      <c r="G86" s="786" t="s">
        <v>386</v>
      </c>
      <c r="H86" s="787" t="s">
        <v>386</v>
      </c>
      <c r="I86" s="785" t="s">
        <v>386</v>
      </c>
      <c r="J86" s="785" t="s">
        <v>386</v>
      </c>
      <c r="K86" s="785" t="s">
        <v>386</v>
      </c>
      <c r="L86" s="785" t="s">
        <v>386</v>
      </c>
      <c r="M86" s="785" t="s">
        <v>386</v>
      </c>
      <c r="N86" s="785" t="s">
        <v>386</v>
      </c>
      <c r="O86" s="785" t="s">
        <v>386</v>
      </c>
      <c r="P86" s="786" t="s">
        <v>386</v>
      </c>
    </row>
    <row r="87" spans="1:16" ht="50.1" customHeight="1">
      <c r="A87" s="779" t="s">
        <v>571</v>
      </c>
      <c r="B87" s="493"/>
      <c r="C87" s="494"/>
      <c r="D87" s="461"/>
      <c r="E87" s="461"/>
      <c r="F87" s="461"/>
      <c r="G87" s="463"/>
      <c r="H87" s="497"/>
      <c r="I87" s="494"/>
      <c r="J87" s="461"/>
      <c r="K87" s="461"/>
      <c r="L87" s="461"/>
      <c r="M87" s="461"/>
      <c r="N87" s="461"/>
      <c r="O87" s="461"/>
      <c r="P87" s="463"/>
    </row>
    <row r="88" spans="1:16" ht="50.1" customHeight="1" thickBot="1">
      <c r="A88" s="789" t="s">
        <v>572</v>
      </c>
      <c r="B88" s="493"/>
      <c r="C88" s="494"/>
      <c r="D88" s="461"/>
      <c r="E88" s="461"/>
      <c r="F88" s="461"/>
      <c r="G88" s="463"/>
      <c r="H88" s="497"/>
      <c r="I88" s="494"/>
      <c r="J88" s="461"/>
      <c r="K88" s="461"/>
      <c r="L88" s="461"/>
      <c r="M88" s="461"/>
      <c r="N88" s="461"/>
      <c r="O88" s="461"/>
      <c r="P88" s="463"/>
    </row>
    <row r="89" spans="1:16" s="452" customFormat="1" ht="50.1" customHeight="1" thickBot="1">
      <c r="A89" s="2751" t="s">
        <v>573</v>
      </c>
      <c r="B89" s="2752"/>
      <c r="C89" s="2752"/>
      <c r="D89" s="2752"/>
      <c r="E89" s="2752"/>
      <c r="F89" s="2752"/>
      <c r="G89" s="2753"/>
      <c r="H89" s="2752" t="s">
        <v>573</v>
      </c>
      <c r="I89" s="2752"/>
      <c r="J89" s="2752"/>
      <c r="K89" s="2752"/>
      <c r="L89" s="2752"/>
      <c r="M89" s="2752"/>
      <c r="N89" s="2752"/>
      <c r="O89" s="2752"/>
      <c r="P89" s="2753"/>
    </row>
    <row r="90" spans="1:16" ht="50.1" customHeight="1">
      <c r="A90" s="777" t="s">
        <v>574</v>
      </c>
      <c r="B90" s="482"/>
      <c r="C90" s="514"/>
      <c r="D90" s="514"/>
      <c r="E90" s="514"/>
      <c r="F90" s="514"/>
      <c r="G90" s="515"/>
      <c r="H90" s="482"/>
      <c r="I90" s="514"/>
      <c r="J90" s="514"/>
      <c r="K90" s="514"/>
      <c r="L90" s="514"/>
      <c r="M90" s="514"/>
      <c r="N90" s="514"/>
      <c r="O90" s="514"/>
      <c r="P90" s="515"/>
    </row>
    <row r="91" spans="1:16" ht="50.1" customHeight="1">
      <c r="A91" s="779" t="s">
        <v>575</v>
      </c>
      <c r="B91" s="497"/>
      <c r="C91" s="494"/>
      <c r="D91" s="495"/>
      <c r="E91" s="495"/>
      <c r="F91" s="495"/>
      <c r="G91" s="496"/>
      <c r="H91" s="497"/>
      <c r="I91" s="494"/>
      <c r="J91" s="495"/>
      <c r="K91" s="495"/>
      <c r="L91" s="495"/>
      <c r="M91" s="495"/>
      <c r="N91" s="434"/>
      <c r="O91" s="434"/>
      <c r="P91" s="432"/>
    </row>
    <row r="92" spans="1:16" ht="50.1" customHeight="1">
      <c r="A92" s="779" t="s">
        <v>571</v>
      </c>
      <c r="B92" s="497"/>
      <c r="C92" s="494"/>
      <c r="D92" s="461"/>
      <c r="E92" s="461"/>
      <c r="F92" s="461"/>
      <c r="G92" s="463"/>
      <c r="H92" s="497"/>
      <c r="I92" s="494"/>
      <c r="J92" s="461"/>
      <c r="K92" s="461"/>
      <c r="L92" s="461"/>
      <c r="M92" s="461"/>
      <c r="N92" s="434"/>
      <c r="O92" s="434"/>
      <c r="P92" s="432"/>
    </row>
    <row r="93" spans="1:16" ht="50.1" customHeight="1">
      <c r="A93" s="779" t="s">
        <v>572</v>
      </c>
      <c r="B93" s="497"/>
      <c r="C93" s="494"/>
      <c r="D93" s="461"/>
      <c r="E93" s="461"/>
      <c r="F93" s="461"/>
      <c r="G93" s="463"/>
      <c r="H93" s="497"/>
      <c r="I93" s="494"/>
      <c r="J93" s="461"/>
      <c r="K93" s="461"/>
      <c r="L93" s="461"/>
      <c r="M93" s="461"/>
      <c r="N93" s="434"/>
      <c r="O93" s="434"/>
      <c r="P93" s="432"/>
    </row>
    <row r="94" spans="1:16" ht="50.1" customHeight="1">
      <c r="A94" s="779" t="s">
        <v>576</v>
      </c>
      <c r="B94" s="497"/>
      <c r="C94" s="494"/>
      <c r="D94" s="461"/>
      <c r="E94" s="461"/>
      <c r="F94" s="461"/>
      <c r="G94" s="463"/>
      <c r="H94" s="497"/>
      <c r="I94" s="494"/>
      <c r="J94" s="461"/>
      <c r="K94" s="461"/>
      <c r="L94" s="461"/>
      <c r="M94" s="461"/>
      <c r="N94" s="434"/>
      <c r="O94" s="434"/>
      <c r="P94" s="432"/>
    </row>
    <row r="95" spans="1:16" ht="50.1" customHeight="1">
      <c r="A95" s="779" t="s">
        <v>577</v>
      </c>
      <c r="B95" s="497"/>
      <c r="C95" s="494"/>
      <c r="D95" s="461"/>
      <c r="E95" s="461"/>
      <c r="F95" s="461"/>
      <c r="G95" s="463"/>
      <c r="H95" s="497"/>
      <c r="I95" s="494"/>
      <c r="J95" s="461"/>
      <c r="K95" s="461"/>
      <c r="L95" s="461"/>
      <c r="M95" s="461"/>
      <c r="N95" s="434"/>
      <c r="O95" s="434"/>
      <c r="P95" s="432"/>
    </row>
    <row r="96" spans="1:16" s="422" customFormat="1" ht="50.1" customHeight="1">
      <c r="A96" s="779" t="s">
        <v>578</v>
      </c>
      <c r="B96" s="453"/>
      <c r="C96" s="494"/>
      <c r="D96" s="460"/>
      <c r="E96" s="460"/>
      <c r="F96" s="460"/>
      <c r="G96" s="462"/>
      <c r="H96" s="497"/>
      <c r="I96" s="494"/>
      <c r="J96" s="460"/>
      <c r="K96" s="460"/>
      <c r="L96" s="460"/>
      <c r="M96" s="460"/>
      <c r="N96" s="434"/>
      <c r="O96" s="434"/>
      <c r="P96" s="432"/>
    </row>
    <row r="97" spans="1:16" s="422" customFormat="1" ht="50.1" customHeight="1">
      <c r="A97" s="779" t="s">
        <v>579</v>
      </c>
      <c r="B97" s="453"/>
      <c r="C97" s="494"/>
      <c r="D97" s="460"/>
      <c r="E97" s="460"/>
      <c r="F97" s="460"/>
      <c r="G97" s="462"/>
      <c r="H97" s="497"/>
      <c r="I97" s="494"/>
      <c r="J97" s="460"/>
      <c r="K97" s="460"/>
      <c r="L97" s="460"/>
      <c r="M97" s="460"/>
      <c r="N97" s="434"/>
      <c r="O97" s="434"/>
      <c r="P97" s="432"/>
    </row>
    <row r="98" spans="1:16" s="422" customFormat="1" ht="50.1" customHeight="1">
      <c r="A98" s="779" t="s">
        <v>580</v>
      </c>
      <c r="B98" s="453"/>
      <c r="C98" s="494"/>
      <c r="D98" s="460"/>
      <c r="E98" s="460"/>
      <c r="F98" s="460"/>
      <c r="G98" s="462"/>
      <c r="H98" s="497"/>
      <c r="I98" s="494"/>
      <c r="J98" s="460"/>
      <c r="K98" s="460"/>
      <c r="L98" s="460"/>
      <c r="M98" s="460"/>
      <c r="N98" s="434"/>
      <c r="O98" s="434"/>
      <c r="P98" s="432"/>
    </row>
    <row r="99" spans="1:16" s="422" customFormat="1" ht="50.1" customHeight="1">
      <c r="A99" s="779" t="s">
        <v>581</v>
      </c>
      <c r="B99" s="453"/>
      <c r="C99" s="494"/>
      <c r="D99" s="460"/>
      <c r="E99" s="460"/>
      <c r="F99" s="460"/>
      <c r="G99" s="462"/>
      <c r="H99" s="497"/>
      <c r="I99" s="494"/>
      <c r="J99" s="460"/>
      <c r="K99" s="460"/>
      <c r="L99" s="460"/>
      <c r="M99" s="460"/>
      <c r="N99" s="434"/>
      <c r="O99" s="434"/>
      <c r="P99" s="432"/>
    </row>
    <row r="100" spans="1:16" s="422" customFormat="1" ht="50.1" customHeight="1">
      <c r="A100" s="779" t="s">
        <v>582</v>
      </c>
      <c r="B100" s="453"/>
      <c r="C100" s="494"/>
      <c r="D100" s="460"/>
      <c r="E100" s="460"/>
      <c r="F100" s="460"/>
      <c r="G100" s="462"/>
      <c r="H100" s="497"/>
      <c r="I100" s="494"/>
      <c r="J100" s="460"/>
      <c r="K100" s="460"/>
      <c r="L100" s="460"/>
      <c r="M100" s="460"/>
      <c r="N100" s="434"/>
      <c r="O100" s="434"/>
      <c r="P100" s="432"/>
    </row>
    <row r="101" spans="1:16" s="422" customFormat="1" ht="50.1" customHeight="1">
      <c r="A101" s="779" t="s">
        <v>583</v>
      </c>
      <c r="B101" s="453"/>
      <c r="C101" s="494"/>
      <c r="D101" s="460"/>
      <c r="E101" s="460"/>
      <c r="F101" s="460"/>
      <c r="G101" s="462"/>
      <c r="H101" s="497"/>
      <c r="I101" s="494"/>
      <c r="J101" s="460"/>
      <c r="K101" s="460"/>
      <c r="L101" s="460"/>
      <c r="M101" s="460"/>
      <c r="N101" s="434"/>
      <c r="O101" s="434"/>
      <c r="P101" s="432"/>
    </row>
    <row r="102" spans="1:16" s="422" customFormat="1" ht="50.1" customHeight="1">
      <c r="A102" s="779" t="s">
        <v>584</v>
      </c>
      <c r="B102" s="453"/>
      <c r="C102" s="494"/>
      <c r="D102" s="460"/>
      <c r="E102" s="460"/>
      <c r="F102" s="460"/>
      <c r="G102" s="462"/>
      <c r="H102" s="497"/>
      <c r="I102" s="494"/>
      <c r="J102" s="460"/>
      <c r="K102" s="460"/>
      <c r="L102" s="460"/>
      <c r="M102" s="460"/>
      <c r="N102" s="434"/>
      <c r="O102" s="434"/>
      <c r="P102" s="432"/>
    </row>
    <row r="103" spans="1:16" s="422" customFormat="1" ht="50.1" customHeight="1">
      <c r="A103" s="779" t="s">
        <v>585</v>
      </c>
      <c r="B103" s="453"/>
      <c r="C103" s="494"/>
      <c r="D103" s="460"/>
      <c r="E103" s="460"/>
      <c r="F103" s="460"/>
      <c r="G103" s="462"/>
      <c r="H103" s="497"/>
      <c r="I103" s="494"/>
      <c r="J103" s="460"/>
      <c r="K103" s="460"/>
      <c r="L103" s="460"/>
      <c r="M103" s="460"/>
      <c r="N103" s="434"/>
      <c r="O103" s="434"/>
      <c r="P103" s="432"/>
    </row>
    <row r="104" spans="1:16" s="422" customFormat="1" ht="50.1" customHeight="1">
      <c r="A104" s="779" t="s">
        <v>586</v>
      </c>
      <c r="B104" s="497"/>
      <c r="C104" s="494"/>
      <c r="D104" s="505"/>
      <c r="E104" s="505"/>
      <c r="F104" s="505"/>
      <c r="G104" s="506"/>
      <c r="H104" s="497"/>
      <c r="I104" s="494"/>
      <c r="J104" s="505"/>
      <c r="K104" s="505"/>
      <c r="L104" s="505"/>
      <c r="M104" s="505"/>
      <c r="N104" s="434"/>
      <c r="O104" s="434"/>
      <c r="P104" s="432"/>
    </row>
    <row r="105" spans="1:16" s="422" customFormat="1" ht="50.1" customHeight="1">
      <c r="A105" s="779" t="s">
        <v>587</v>
      </c>
      <c r="B105" s="497"/>
      <c r="C105" s="494"/>
      <c r="D105" s="505"/>
      <c r="E105" s="505"/>
      <c r="F105" s="505"/>
      <c r="G105" s="506"/>
      <c r="H105" s="497"/>
      <c r="I105" s="494"/>
      <c r="J105" s="505"/>
      <c r="K105" s="505"/>
      <c r="L105" s="505"/>
      <c r="M105" s="505"/>
      <c r="N105" s="434"/>
      <c r="O105" s="434"/>
      <c r="P105" s="432"/>
    </row>
    <row r="106" spans="1:16" s="422" customFormat="1" ht="50.1" customHeight="1">
      <c r="A106" s="779" t="s">
        <v>588</v>
      </c>
      <c r="B106" s="497"/>
      <c r="C106" s="494"/>
      <c r="D106" s="495"/>
      <c r="E106" s="495"/>
      <c r="F106" s="495"/>
      <c r="G106" s="496"/>
      <c r="H106" s="497"/>
      <c r="I106" s="494"/>
      <c r="J106" s="495"/>
      <c r="K106" s="495"/>
      <c r="L106" s="495"/>
      <c r="M106" s="495"/>
      <c r="N106" s="434"/>
      <c r="O106" s="434"/>
      <c r="P106" s="432"/>
    </row>
    <row r="107" spans="1:16" s="422" customFormat="1" ht="50.1" customHeight="1">
      <c r="A107" s="779" t="s">
        <v>589</v>
      </c>
      <c r="B107" s="497"/>
      <c r="C107" s="494"/>
      <c r="D107" s="495"/>
      <c r="E107" s="495"/>
      <c r="F107" s="495"/>
      <c r="G107" s="496"/>
      <c r="H107" s="497"/>
      <c r="I107" s="494"/>
      <c r="J107" s="495"/>
      <c r="K107" s="495"/>
      <c r="L107" s="495"/>
      <c r="M107" s="495"/>
      <c r="N107" s="434"/>
      <c r="O107" s="434"/>
      <c r="P107" s="432"/>
    </row>
    <row r="108" spans="1:16" s="422" customFormat="1" ht="50.1" customHeight="1">
      <c r="A108" s="780" t="s">
        <v>590</v>
      </c>
      <c r="B108" s="492"/>
      <c r="C108" s="489"/>
      <c r="D108" s="490"/>
      <c r="E108" s="490"/>
      <c r="F108" s="490"/>
      <c r="G108" s="491"/>
      <c r="H108" s="492"/>
      <c r="I108" s="489"/>
      <c r="J108" s="490"/>
      <c r="K108" s="490"/>
      <c r="L108" s="490"/>
      <c r="M108" s="490"/>
      <c r="N108" s="516"/>
      <c r="O108" s="516"/>
      <c r="P108" s="517"/>
    </row>
    <row r="109" spans="1:16" ht="50.1" customHeight="1" thickBot="1">
      <c r="A109" s="790" t="s">
        <v>591</v>
      </c>
      <c r="B109" s="518"/>
      <c r="C109" s="519"/>
      <c r="D109" s="519"/>
      <c r="E109" s="519"/>
      <c r="F109" s="519"/>
      <c r="G109" s="520"/>
      <c r="H109" s="518"/>
      <c r="I109" s="519"/>
      <c r="J109" s="519"/>
      <c r="K109" s="519"/>
      <c r="L109" s="519"/>
      <c r="M109" s="519"/>
      <c r="N109" s="437"/>
      <c r="O109" s="437"/>
      <c r="P109" s="436"/>
    </row>
    <row r="110" spans="1:16" s="452" customFormat="1" ht="50.1" customHeight="1" thickBot="1">
      <c r="A110" s="2757" t="s">
        <v>592</v>
      </c>
      <c r="B110" s="2758"/>
      <c r="C110" s="2758"/>
      <c r="D110" s="2758"/>
      <c r="E110" s="2758"/>
      <c r="F110" s="2758"/>
      <c r="G110" s="2759"/>
      <c r="H110" s="2772" t="s">
        <v>592</v>
      </c>
      <c r="I110" s="2773"/>
      <c r="J110" s="2773"/>
      <c r="K110" s="2773"/>
      <c r="L110" s="2773"/>
      <c r="M110" s="2773"/>
      <c r="N110" s="2773"/>
      <c r="O110" s="2773"/>
      <c r="P110" s="2774"/>
    </row>
    <row r="111" spans="1:16" s="454" customFormat="1" ht="50.1" customHeight="1">
      <c r="A111" s="791" t="s">
        <v>593</v>
      </c>
      <c r="B111" s="521"/>
      <c r="C111" s="480" t="s">
        <v>2015</v>
      </c>
      <c r="D111" s="480"/>
      <c r="E111" s="480"/>
      <c r="F111" s="480"/>
      <c r="G111" s="481"/>
      <c r="H111" s="522"/>
      <c r="I111" s="480"/>
      <c r="J111" s="480"/>
      <c r="K111" s="480"/>
      <c r="L111" s="480"/>
      <c r="M111" s="480"/>
      <c r="N111" s="429"/>
      <c r="O111" s="429"/>
      <c r="P111" s="430"/>
    </row>
    <row r="112" spans="1:16" s="454" customFormat="1" ht="50.1" customHeight="1">
      <c r="A112" s="792" t="s">
        <v>594</v>
      </c>
      <c r="B112" s="523"/>
      <c r="C112" s="495"/>
      <c r="D112" s="495"/>
      <c r="E112" s="495"/>
      <c r="F112" s="495"/>
      <c r="G112" s="496"/>
      <c r="H112" s="524"/>
      <c r="I112" s="495"/>
      <c r="J112" s="495"/>
      <c r="K112" s="495"/>
      <c r="L112" s="495"/>
      <c r="M112" s="495"/>
      <c r="N112" s="434"/>
      <c r="O112" s="434"/>
      <c r="P112" s="432"/>
    </row>
    <row r="113" spans="1:16" s="454" customFormat="1" ht="50.1" customHeight="1">
      <c r="A113" s="792" t="s">
        <v>595</v>
      </c>
      <c r="B113" s="523"/>
      <c r="C113" s="495" t="s">
        <v>2016</v>
      </c>
      <c r="D113" s="495"/>
      <c r="E113" s="495"/>
      <c r="F113" s="495"/>
      <c r="G113" s="496"/>
      <c r="H113" s="524"/>
      <c r="I113" s="495"/>
      <c r="J113" s="495"/>
      <c r="K113" s="495"/>
      <c r="L113" s="495"/>
      <c r="M113" s="495"/>
      <c r="N113" s="434"/>
      <c r="O113" s="434"/>
      <c r="P113" s="432"/>
    </row>
    <row r="114" spans="1:16" s="454" customFormat="1" ht="50.1" customHeight="1">
      <c r="A114" s="792" t="s">
        <v>596</v>
      </c>
      <c r="B114" s="523"/>
      <c r="C114" s="495" t="s">
        <v>63</v>
      </c>
      <c r="D114" s="495"/>
      <c r="E114" s="495"/>
      <c r="F114" s="495"/>
      <c r="G114" s="496"/>
      <c r="H114" s="524"/>
      <c r="I114" s="495"/>
      <c r="J114" s="495"/>
      <c r="K114" s="495"/>
      <c r="L114" s="495"/>
      <c r="M114" s="495"/>
      <c r="N114" s="434"/>
      <c r="O114" s="434"/>
      <c r="P114" s="432"/>
    </row>
    <row r="115" spans="1:16" s="454" customFormat="1" ht="50.1" customHeight="1">
      <c r="A115" s="792" t="s">
        <v>597</v>
      </c>
      <c r="B115" s="523"/>
      <c r="C115" s="495" t="s">
        <v>63</v>
      </c>
      <c r="D115" s="495"/>
      <c r="E115" s="495"/>
      <c r="F115" s="495"/>
      <c r="G115" s="496"/>
      <c r="H115" s="524"/>
      <c r="I115" s="495"/>
      <c r="J115" s="495"/>
      <c r="K115" s="495"/>
      <c r="L115" s="495"/>
      <c r="M115" s="495"/>
      <c r="N115" s="434"/>
      <c r="O115" s="434"/>
      <c r="P115" s="432"/>
    </row>
    <row r="116" spans="1:16" s="454" customFormat="1" ht="50.1" customHeight="1">
      <c r="A116" s="793" t="s">
        <v>548</v>
      </c>
      <c r="B116" s="525"/>
      <c r="C116" s="490" t="s">
        <v>2017</v>
      </c>
      <c r="D116" s="490"/>
      <c r="E116" s="490"/>
      <c r="F116" s="490"/>
      <c r="G116" s="491"/>
      <c r="H116" s="526"/>
      <c r="I116" s="490"/>
      <c r="J116" s="490"/>
      <c r="K116" s="490"/>
      <c r="L116" s="490"/>
      <c r="M116" s="490"/>
      <c r="N116" s="516"/>
      <c r="O116" s="516"/>
      <c r="P116" s="517"/>
    </row>
    <row r="117" spans="1:16" s="454" customFormat="1" ht="50.1" customHeight="1" thickBot="1">
      <c r="A117" s="794" t="s">
        <v>591</v>
      </c>
      <c r="B117" s="527"/>
      <c r="C117" s="519" t="s">
        <v>2018</v>
      </c>
      <c r="D117" s="519"/>
      <c r="E117" s="519"/>
      <c r="F117" s="519"/>
      <c r="G117" s="520"/>
      <c r="H117" s="518"/>
      <c r="I117" s="519"/>
      <c r="J117" s="519"/>
      <c r="K117" s="519"/>
      <c r="L117" s="519"/>
      <c r="M117" s="519"/>
      <c r="N117" s="437"/>
      <c r="O117" s="437"/>
      <c r="P117" s="436"/>
    </row>
    <row r="118" spans="1:16" s="452" customFormat="1" ht="50.1" customHeight="1" thickBot="1">
      <c r="A118" s="2754" t="s">
        <v>598</v>
      </c>
      <c r="B118" s="2755"/>
      <c r="C118" s="2755"/>
      <c r="D118" s="2755"/>
      <c r="E118" s="2755"/>
      <c r="F118" s="2755"/>
      <c r="G118" s="2756"/>
      <c r="H118" s="769"/>
      <c r="I118" s="769"/>
      <c r="J118" s="769"/>
      <c r="K118" s="769"/>
      <c r="L118" s="769"/>
      <c r="M118" s="769"/>
      <c r="N118" s="769"/>
      <c r="O118" s="769"/>
      <c r="P118" s="769"/>
    </row>
    <row r="119" spans="1:16" ht="50.1" customHeight="1">
      <c r="A119" s="795" t="s">
        <v>599</v>
      </c>
      <c r="B119" s="473"/>
      <c r="C119" s="796" t="s">
        <v>600</v>
      </c>
      <c r="D119" s="429"/>
      <c r="E119" s="797" t="s">
        <v>601</v>
      </c>
      <c r="F119" s="429"/>
      <c r="G119" s="528"/>
      <c r="H119" s="766"/>
      <c r="I119" s="766"/>
      <c r="J119" s="766"/>
      <c r="K119" s="766"/>
      <c r="L119" s="766"/>
      <c r="M119" s="766"/>
      <c r="N119" s="766"/>
      <c r="O119" s="766"/>
      <c r="P119" s="766"/>
    </row>
    <row r="120" spans="1:16" ht="50.1" customHeight="1">
      <c r="A120" s="798" t="s">
        <v>602</v>
      </c>
      <c r="B120" s="473"/>
      <c r="C120" s="799" t="s">
        <v>603</v>
      </c>
      <c r="D120" s="434"/>
      <c r="E120" s="800" t="s">
        <v>604</v>
      </c>
      <c r="F120" s="434"/>
      <c r="G120" s="528"/>
      <c r="H120" s="766"/>
      <c r="I120" s="766"/>
      <c r="J120" s="766"/>
      <c r="K120" s="766"/>
      <c r="L120" s="766"/>
      <c r="M120" s="766"/>
      <c r="N120" s="766"/>
      <c r="O120" s="766"/>
      <c r="P120" s="766"/>
    </row>
    <row r="121" spans="1:16" ht="50.1" customHeight="1">
      <c r="A121" s="798" t="s">
        <v>605</v>
      </c>
      <c r="B121" s="434"/>
      <c r="C121" s="800" t="s">
        <v>606</v>
      </c>
      <c r="D121" s="434"/>
      <c r="E121" s="801"/>
      <c r="F121" s="431"/>
      <c r="G121" s="529"/>
      <c r="H121" s="766"/>
      <c r="I121" s="766"/>
      <c r="J121" s="766"/>
      <c r="K121" s="766"/>
      <c r="L121" s="766"/>
      <c r="M121" s="766"/>
      <c r="N121" s="766"/>
      <c r="O121" s="766"/>
      <c r="P121" s="766"/>
    </row>
    <row r="122" spans="1:16" ht="50.1" customHeight="1" thickBot="1">
      <c r="A122" s="802" t="s">
        <v>591</v>
      </c>
      <c r="B122" s="2749"/>
      <c r="C122" s="2767"/>
      <c r="D122" s="2767"/>
      <c r="E122" s="2767"/>
      <c r="F122" s="2767"/>
      <c r="G122" s="2750"/>
      <c r="H122" s="766"/>
      <c r="I122" s="766"/>
      <c r="J122" s="766"/>
      <c r="K122" s="766"/>
      <c r="L122" s="766"/>
      <c r="M122" s="766"/>
      <c r="N122" s="766"/>
      <c r="O122" s="766"/>
      <c r="P122" s="766"/>
    </row>
    <row r="123" spans="1:16" s="452" customFormat="1" ht="50.1" customHeight="1" thickBot="1">
      <c r="A123" s="2744" t="s">
        <v>607</v>
      </c>
      <c r="B123" s="2745"/>
      <c r="C123" s="2745"/>
      <c r="D123" s="2745"/>
      <c r="E123" s="2745"/>
      <c r="F123" s="2745"/>
      <c r="G123" s="2746"/>
      <c r="H123" s="769"/>
      <c r="I123" s="769"/>
      <c r="J123" s="769"/>
      <c r="K123" s="769"/>
      <c r="L123" s="769"/>
      <c r="M123" s="769"/>
      <c r="N123" s="769"/>
      <c r="O123" s="769"/>
      <c r="P123" s="769"/>
    </row>
    <row r="124" spans="1:16" ht="50.1" customHeight="1">
      <c r="A124" s="795" t="s">
        <v>608</v>
      </c>
      <c r="B124" s="2162" t="s">
        <v>151</v>
      </c>
      <c r="C124" s="427" t="s">
        <v>63</v>
      </c>
      <c r="D124" s="803" t="s">
        <v>609</v>
      </c>
      <c r="E124" s="530"/>
      <c r="F124" s="531" t="s">
        <v>610</v>
      </c>
      <c r="G124" s="532" t="s">
        <v>611</v>
      </c>
      <c r="H124" s="766"/>
      <c r="I124" s="766"/>
      <c r="J124" s="766"/>
      <c r="K124" s="766"/>
      <c r="L124" s="766"/>
      <c r="M124" s="766"/>
      <c r="N124" s="766"/>
      <c r="O124" s="766"/>
      <c r="P124" s="766"/>
    </row>
    <row r="125" spans="1:16" ht="118.8">
      <c r="A125" s="804" t="s">
        <v>612</v>
      </c>
      <c r="B125" s="533"/>
      <c r="C125" s="805" t="s">
        <v>613</v>
      </c>
      <c r="D125" s="533"/>
      <c r="E125" s="533"/>
      <c r="F125" s="533"/>
      <c r="G125" s="534"/>
      <c r="H125" s="766"/>
      <c r="I125" s="766"/>
      <c r="J125" s="766"/>
      <c r="K125" s="766"/>
      <c r="L125" s="766"/>
      <c r="M125" s="766"/>
      <c r="N125" s="766"/>
      <c r="O125" s="766"/>
      <c r="P125" s="766"/>
    </row>
    <row r="126" spans="1:16" ht="50.1" customHeight="1" thickBot="1">
      <c r="A126" s="782" t="s">
        <v>614</v>
      </c>
      <c r="B126" s="536"/>
      <c r="C126" s="806" t="s">
        <v>615</v>
      </c>
      <c r="D126" s="535"/>
      <c r="E126" s="806" t="s">
        <v>616</v>
      </c>
      <c r="F126" s="536"/>
      <c r="G126" s="537"/>
      <c r="H126" s="766"/>
      <c r="I126" s="766"/>
      <c r="J126" s="766"/>
      <c r="K126" s="766"/>
      <c r="L126" s="766"/>
      <c r="M126" s="766"/>
      <c r="N126" s="766"/>
      <c r="O126" s="766"/>
      <c r="P126" s="766"/>
    </row>
    <row r="127" spans="1:16" s="455" customFormat="1" ht="50.1" customHeight="1" thickBot="1">
      <c r="A127" s="2778" t="s">
        <v>617</v>
      </c>
      <c r="B127" s="2779"/>
      <c r="C127" s="2779"/>
      <c r="D127" s="2779"/>
      <c r="E127" s="2779"/>
      <c r="F127" s="2779"/>
      <c r="G127" s="2780"/>
      <c r="H127" s="807"/>
      <c r="I127" s="807"/>
      <c r="J127" s="807"/>
      <c r="K127" s="807"/>
      <c r="L127" s="807"/>
      <c r="M127" s="807"/>
      <c r="N127" s="807"/>
      <c r="O127" s="807"/>
      <c r="P127" s="807"/>
    </row>
    <row r="128" spans="1:16" ht="50.1" customHeight="1">
      <c r="A128" s="795" t="s">
        <v>389</v>
      </c>
      <c r="B128" s="471" t="s">
        <v>151</v>
      </c>
      <c r="C128" s="504"/>
      <c r="D128" s="538"/>
      <c r="E128" s="538"/>
      <c r="F128" s="530"/>
      <c r="G128" s="539"/>
      <c r="H128" s="766"/>
      <c r="I128" s="766"/>
      <c r="J128" s="766"/>
      <c r="K128" s="766"/>
      <c r="L128" s="766"/>
      <c r="M128" s="766"/>
      <c r="N128" s="766"/>
      <c r="O128" s="766"/>
      <c r="P128" s="766"/>
    </row>
    <row r="129" spans="1:16" ht="50.1" customHeight="1">
      <c r="A129" s="798" t="s">
        <v>390</v>
      </c>
      <c r="B129" s="460" t="s">
        <v>151</v>
      </c>
      <c r="C129" s="494"/>
      <c r="D129" s="495"/>
      <c r="E129" s="495"/>
      <c r="F129" s="540"/>
      <c r="G129" s="532"/>
      <c r="H129" s="766"/>
      <c r="I129" s="766"/>
      <c r="J129" s="766"/>
      <c r="K129" s="766"/>
      <c r="L129" s="766"/>
      <c r="M129" s="766"/>
      <c r="N129" s="766"/>
      <c r="O129" s="766"/>
      <c r="P129" s="766"/>
    </row>
    <row r="130" spans="1:16" ht="50.1" customHeight="1">
      <c r="A130" s="798" t="s">
        <v>391</v>
      </c>
      <c r="B130" s="460" t="s">
        <v>151</v>
      </c>
      <c r="C130" s="494"/>
      <c r="D130" s="495"/>
      <c r="E130" s="495"/>
      <c r="F130" s="540"/>
      <c r="G130" s="532"/>
      <c r="H130" s="766"/>
      <c r="I130" s="766"/>
      <c r="J130" s="766"/>
      <c r="K130" s="766"/>
      <c r="L130" s="766"/>
      <c r="M130" s="766"/>
      <c r="N130" s="766"/>
      <c r="O130" s="766"/>
      <c r="P130" s="766"/>
    </row>
    <row r="131" spans="1:16" ht="50.1" customHeight="1" thickBot="1">
      <c r="A131" s="798" t="s">
        <v>392</v>
      </c>
      <c r="B131" s="2749" t="s">
        <v>2019</v>
      </c>
      <c r="C131" s="2767"/>
      <c r="D131" s="2767"/>
      <c r="E131" s="2767"/>
      <c r="F131" s="2767"/>
      <c r="G131" s="2750"/>
      <c r="H131" s="766"/>
      <c r="I131" s="766"/>
      <c r="J131" s="766"/>
      <c r="K131" s="766"/>
      <c r="L131" s="766"/>
      <c r="M131" s="766"/>
      <c r="N131" s="766"/>
      <c r="O131" s="766"/>
      <c r="P131" s="766"/>
    </row>
    <row r="132" spans="1:16" s="452" customFormat="1" ht="50.1" customHeight="1" thickBot="1">
      <c r="A132" s="2744" t="s">
        <v>393</v>
      </c>
      <c r="B132" s="2745"/>
      <c r="C132" s="2745"/>
      <c r="D132" s="2745"/>
      <c r="E132" s="2745"/>
      <c r="F132" s="2745"/>
      <c r="G132" s="2746"/>
      <c r="H132" s="769"/>
      <c r="I132" s="769"/>
      <c r="J132" s="769"/>
      <c r="K132" s="769"/>
      <c r="L132" s="769"/>
      <c r="M132" s="769"/>
      <c r="N132" s="769"/>
      <c r="O132" s="769"/>
      <c r="P132" s="769"/>
    </row>
    <row r="133" spans="1:16" ht="50.1" customHeight="1">
      <c r="A133" s="808" t="s">
        <v>618</v>
      </c>
      <c r="B133" s="809" t="s">
        <v>619</v>
      </c>
      <c r="C133" s="809" t="s">
        <v>618</v>
      </c>
      <c r="D133" s="809" t="s">
        <v>619</v>
      </c>
      <c r="E133" s="809" t="s">
        <v>618</v>
      </c>
      <c r="F133" s="809" t="s">
        <v>619</v>
      </c>
      <c r="G133" s="2781"/>
      <c r="H133" s="766"/>
      <c r="I133" s="766"/>
      <c r="J133" s="766"/>
      <c r="K133" s="766"/>
      <c r="L133" s="766"/>
      <c r="M133" s="766"/>
      <c r="N133" s="766"/>
      <c r="O133" s="766"/>
      <c r="P133" s="766"/>
    </row>
    <row r="134" spans="1:16" ht="50.1" customHeight="1">
      <c r="A134" s="810" t="s">
        <v>394</v>
      </c>
      <c r="B134" s="541"/>
      <c r="C134" s="811" t="s">
        <v>396</v>
      </c>
      <c r="D134" s="541"/>
      <c r="E134" s="812" t="s">
        <v>395</v>
      </c>
      <c r="F134" s="542"/>
      <c r="G134" s="2782"/>
      <c r="H134" s="766"/>
      <c r="I134" s="766"/>
      <c r="J134" s="766"/>
      <c r="K134" s="766"/>
      <c r="L134" s="766"/>
      <c r="M134" s="766"/>
      <c r="N134" s="766"/>
      <c r="O134" s="766"/>
      <c r="P134" s="766"/>
    </row>
    <row r="135" spans="1:16" ht="50.1" customHeight="1">
      <c r="A135" s="810" t="s">
        <v>397</v>
      </c>
      <c r="B135" s="541" t="s">
        <v>151</v>
      </c>
      <c r="C135" s="812" t="s">
        <v>398</v>
      </c>
      <c r="D135" s="541"/>
      <c r="E135" s="811" t="s">
        <v>399</v>
      </c>
      <c r="F135" s="542"/>
      <c r="G135" s="2782"/>
      <c r="H135" s="766"/>
      <c r="I135" s="766"/>
      <c r="J135" s="766"/>
      <c r="K135" s="766"/>
      <c r="L135" s="766"/>
      <c r="M135" s="766"/>
      <c r="N135" s="766"/>
      <c r="O135" s="766"/>
      <c r="P135" s="766"/>
    </row>
    <row r="136" spans="1:16" ht="50.1" customHeight="1" thickBot="1">
      <c r="A136" s="810" t="s">
        <v>400</v>
      </c>
      <c r="B136" s="541"/>
      <c r="C136" s="800" t="s">
        <v>401</v>
      </c>
      <c r="D136" s="541"/>
      <c r="E136" s="812" t="s">
        <v>402</v>
      </c>
      <c r="F136" s="542"/>
      <c r="G136" s="2782"/>
      <c r="H136" s="766"/>
      <c r="I136" s="766"/>
      <c r="J136" s="766"/>
      <c r="K136" s="766"/>
      <c r="L136" s="766"/>
      <c r="M136" s="766"/>
      <c r="N136" s="766"/>
      <c r="O136" s="766"/>
      <c r="P136" s="766"/>
    </row>
    <row r="137" spans="1:16" s="452" customFormat="1" ht="50.1" customHeight="1" thickBot="1">
      <c r="A137" s="2744" t="s">
        <v>620</v>
      </c>
      <c r="B137" s="2745"/>
      <c r="C137" s="2745"/>
      <c r="D137" s="2745"/>
      <c r="E137" s="2745"/>
      <c r="F137" s="2745"/>
      <c r="G137" s="2746"/>
      <c r="H137" s="769"/>
      <c r="I137" s="769"/>
      <c r="J137" s="769"/>
      <c r="K137" s="769"/>
      <c r="L137" s="769"/>
      <c r="M137" s="769"/>
      <c r="N137" s="769"/>
      <c r="O137" s="769"/>
      <c r="P137" s="769"/>
    </row>
    <row r="138" spans="1:16" ht="160.5" customHeight="1">
      <c r="A138" s="813" t="s">
        <v>404</v>
      </c>
      <c r="B138" s="2783" t="s">
        <v>2020</v>
      </c>
      <c r="C138" s="2784"/>
      <c r="D138" s="2784"/>
      <c r="E138" s="2784"/>
      <c r="F138" s="2784"/>
      <c r="G138" s="2785"/>
      <c r="H138" s="766"/>
      <c r="I138" s="766"/>
      <c r="J138" s="766"/>
      <c r="K138" s="766"/>
      <c r="L138" s="766"/>
      <c r="M138" s="766"/>
      <c r="N138" s="766"/>
      <c r="O138" s="766"/>
      <c r="P138" s="766"/>
    </row>
    <row r="139" spans="1:16" ht="83.25" customHeight="1" thickBot="1">
      <c r="A139" s="814" t="s">
        <v>405</v>
      </c>
      <c r="B139" s="2775"/>
      <c r="C139" s="2775"/>
      <c r="D139" s="815" t="s">
        <v>621</v>
      </c>
      <c r="E139" s="2776"/>
      <c r="F139" s="2776"/>
      <c r="G139" s="2777"/>
      <c r="H139" s="766"/>
      <c r="I139" s="766"/>
      <c r="J139" s="766"/>
      <c r="K139" s="766"/>
      <c r="L139" s="766"/>
      <c r="M139" s="766"/>
      <c r="N139" s="766"/>
      <c r="O139" s="766"/>
      <c r="P139" s="766"/>
    </row>
    <row r="140" spans="1:16" ht="50.1" customHeight="1">
      <c r="A140" s="766"/>
      <c r="B140" s="766"/>
      <c r="C140" s="766"/>
      <c r="D140" s="766"/>
      <c r="E140" s="766"/>
      <c r="F140" s="766"/>
      <c r="G140" s="766"/>
      <c r="H140" s="766"/>
      <c r="I140" s="766"/>
      <c r="J140" s="766"/>
      <c r="K140" s="766"/>
      <c r="L140" s="766"/>
      <c r="M140" s="766"/>
      <c r="N140" s="766"/>
      <c r="O140" s="766"/>
      <c r="P140" s="766"/>
    </row>
    <row r="141" spans="1:16" ht="50.1" customHeight="1">
      <c r="A141" s="766"/>
      <c r="B141" s="766"/>
      <c r="C141" s="766"/>
      <c r="D141" s="766"/>
      <c r="E141" s="766"/>
      <c r="F141" s="766"/>
      <c r="G141" s="766"/>
      <c r="H141" s="766"/>
      <c r="I141" s="766"/>
      <c r="J141" s="766"/>
      <c r="K141" s="766"/>
      <c r="L141" s="766"/>
      <c r="M141" s="766"/>
      <c r="N141" s="766"/>
      <c r="O141" s="766"/>
      <c r="P141" s="766"/>
    </row>
    <row r="142" spans="1:16" ht="50.1" customHeight="1">
      <c r="A142" s="766"/>
      <c r="B142" s="766"/>
      <c r="C142" s="766"/>
      <c r="D142" s="766"/>
      <c r="E142" s="766"/>
      <c r="F142" s="766"/>
      <c r="G142" s="766"/>
      <c r="H142" s="766"/>
      <c r="I142" s="766"/>
      <c r="J142" s="766"/>
      <c r="K142" s="766"/>
      <c r="L142" s="766"/>
      <c r="M142" s="766"/>
      <c r="N142" s="766"/>
      <c r="O142" s="766"/>
      <c r="P142" s="766"/>
    </row>
    <row r="143" spans="1:16" ht="50.1" customHeight="1">
      <c r="A143" s="766"/>
      <c r="B143" s="766"/>
      <c r="C143" s="766"/>
      <c r="D143" s="766"/>
      <c r="E143" s="766"/>
      <c r="F143" s="766"/>
      <c r="G143" s="766"/>
      <c r="H143" s="766"/>
      <c r="I143" s="766"/>
      <c r="J143" s="766"/>
      <c r="K143" s="766"/>
      <c r="L143" s="766"/>
      <c r="M143" s="766"/>
      <c r="N143" s="766"/>
      <c r="O143" s="766"/>
      <c r="P143" s="766"/>
    </row>
    <row r="144" spans="1:16" ht="50.1" customHeight="1">
      <c r="A144" s="766"/>
      <c r="B144" s="766"/>
      <c r="C144" s="766"/>
      <c r="D144" s="766"/>
      <c r="E144" s="766"/>
      <c r="F144" s="766"/>
      <c r="G144" s="766"/>
      <c r="H144" s="766"/>
      <c r="I144" s="766"/>
      <c r="J144" s="766"/>
      <c r="K144" s="766"/>
      <c r="L144" s="766"/>
      <c r="M144" s="766"/>
      <c r="N144" s="766"/>
      <c r="O144" s="766"/>
      <c r="P144" s="766"/>
    </row>
    <row r="145" spans="1:16" ht="50.1" customHeight="1">
      <c r="A145" s="766"/>
      <c r="B145" s="766"/>
      <c r="C145" s="766"/>
      <c r="D145" s="766"/>
      <c r="E145" s="766"/>
      <c r="F145" s="766"/>
      <c r="G145" s="766"/>
      <c r="H145" s="766"/>
      <c r="I145" s="766"/>
      <c r="J145" s="766"/>
      <c r="K145" s="766"/>
      <c r="L145" s="766"/>
      <c r="M145" s="766"/>
      <c r="N145" s="766"/>
      <c r="O145" s="766"/>
      <c r="P145" s="766"/>
    </row>
    <row r="146" spans="1:16" ht="50.1" customHeight="1">
      <c r="A146" s="816"/>
      <c r="B146" s="816"/>
      <c r="C146" s="816"/>
      <c r="D146" s="816"/>
      <c r="E146" s="816"/>
      <c r="F146" s="816"/>
      <c r="G146" s="816"/>
      <c r="H146" s="816"/>
      <c r="I146" s="816"/>
      <c r="J146" s="816"/>
      <c r="K146" s="816"/>
      <c r="L146" s="816"/>
      <c r="M146" s="816"/>
      <c r="N146" s="816"/>
      <c r="O146" s="816"/>
      <c r="P146" s="816"/>
    </row>
    <row r="147" spans="1:16" ht="50.1" customHeight="1">
      <c r="A147" s="816"/>
      <c r="B147" s="816"/>
      <c r="C147" s="816"/>
      <c r="D147" s="816"/>
      <c r="E147" s="816"/>
      <c r="F147" s="816"/>
      <c r="G147" s="816"/>
      <c r="H147" s="816"/>
      <c r="I147" s="816"/>
      <c r="J147" s="816"/>
      <c r="K147" s="816"/>
      <c r="L147" s="816"/>
      <c r="M147" s="816"/>
      <c r="N147" s="816"/>
      <c r="O147" s="816"/>
      <c r="P147" s="816"/>
    </row>
    <row r="148" spans="1:16" ht="50.1" customHeight="1">
      <c r="A148" s="416"/>
    </row>
    <row r="149" spans="1:16" ht="50.1" customHeight="1">
      <c r="A149" s="416"/>
    </row>
    <row r="150" spans="1:16" ht="50.1" customHeight="1">
      <c r="A150" s="416"/>
    </row>
    <row r="151" spans="1:16" ht="50.1" hidden="1" customHeight="1">
      <c r="A151" s="416"/>
    </row>
    <row r="152" spans="1:16" ht="50.1" hidden="1" customHeight="1">
      <c r="A152" s="416"/>
      <c r="B152" s="416" t="s">
        <v>384</v>
      </c>
      <c r="C152" s="416" t="s">
        <v>411</v>
      </c>
      <c r="D152" s="416" t="s">
        <v>1</v>
      </c>
      <c r="E152" s="416" t="s">
        <v>622</v>
      </c>
      <c r="F152" s="416" t="s">
        <v>387</v>
      </c>
      <c r="G152" s="416" t="s">
        <v>623</v>
      </c>
    </row>
    <row r="153" spans="1:16" ht="50.1" customHeight="1">
      <c r="A153" s="416"/>
    </row>
    <row r="154" spans="1:16" ht="50.1" customHeight="1">
      <c r="A154" s="416"/>
    </row>
    <row r="155" spans="1:16" ht="50.1" customHeight="1">
      <c r="A155" s="416"/>
    </row>
    <row r="156" spans="1:16" ht="50.1" customHeight="1">
      <c r="A156" s="416"/>
    </row>
    <row r="157" spans="1:16" ht="50.1" customHeight="1">
      <c r="A157" s="416"/>
    </row>
    <row r="158" spans="1:16" ht="50.1" customHeight="1">
      <c r="A158" s="416"/>
    </row>
    <row r="159" spans="1:16" ht="50.1" customHeight="1">
      <c r="A159" s="416"/>
    </row>
    <row r="160" spans="1:16" ht="50.1" customHeight="1">
      <c r="A160" s="416"/>
    </row>
    <row r="161" spans="1:1" ht="50.1" customHeight="1">
      <c r="A161" s="416"/>
    </row>
    <row r="162" spans="1:1" ht="50.1" customHeight="1">
      <c r="A162" s="416"/>
    </row>
    <row r="163" spans="1:1" ht="50.1" customHeight="1">
      <c r="A163" s="416"/>
    </row>
    <row r="164" spans="1:1" ht="50.1" customHeight="1">
      <c r="A164" s="416"/>
    </row>
    <row r="165" spans="1:1" ht="50.1" customHeight="1">
      <c r="A165" s="416"/>
    </row>
    <row r="166" spans="1:1" ht="50.1" customHeight="1">
      <c r="A166" s="416"/>
    </row>
    <row r="167" spans="1:1" ht="50.1" customHeight="1">
      <c r="A167" s="416"/>
    </row>
    <row r="168" spans="1:1" ht="50.1" customHeight="1">
      <c r="A168" s="416"/>
    </row>
    <row r="169" spans="1:1" ht="50.1" customHeight="1">
      <c r="A169" s="416"/>
    </row>
    <row r="170" spans="1:1" ht="50.1" customHeight="1">
      <c r="A170" s="416"/>
    </row>
    <row r="171" spans="1:1" ht="50.1" customHeight="1">
      <c r="A171" s="416"/>
    </row>
    <row r="172" spans="1:1" ht="50.1" customHeight="1">
      <c r="A172" s="416"/>
    </row>
    <row r="173" spans="1:1" ht="50.1" customHeight="1">
      <c r="A173" s="416"/>
    </row>
    <row r="174" spans="1:1" ht="50.1" customHeight="1">
      <c r="A174" s="416"/>
    </row>
    <row r="175" spans="1:1" ht="50.1" customHeight="1">
      <c r="A175" s="416"/>
    </row>
    <row r="176" spans="1:1" ht="50.1" customHeight="1">
      <c r="A176" s="416"/>
    </row>
    <row r="177" spans="1:1" ht="50.1" customHeight="1">
      <c r="A177" s="416"/>
    </row>
    <row r="178" spans="1:1" ht="50.1" customHeight="1">
      <c r="A178" s="416"/>
    </row>
    <row r="179" spans="1:1" ht="50.1" customHeight="1">
      <c r="A179" s="416"/>
    </row>
    <row r="180" spans="1:1" ht="50.1" customHeight="1">
      <c r="A180" s="416"/>
    </row>
    <row r="181" spans="1:1" ht="50.1" customHeight="1">
      <c r="A181" s="416"/>
    </row>
    <row r="182" spans="1:1" ht="50.1" customHeight="1">
      <c r="A182" s="416"/>
    </row>
  </sheetData>
  <mergeCells count="39">
    <mergeCell ref="B139:C139"/>
    <mergeCell ref="E139:G139"/>
    <mergeCell ref="A127:G127"/>
    <mergeCell ref="A132:G132"/>
    <mergeCell ref="G133:G136"/>
    <mergeCell ref="A137:G137"/>
    <mergeCell ref="B138:G138"/>
    <mergeCell ref="B131:G131"/>
    <mergeCell ref="H89:P89"/>
    <mergeCell ref="B122:G122"/>
    <mergeCell ref="C16:F16"/>
    <mergeCell ref="A27:G27"/>
    <mergeCell ref="H27:P27"/>
    <mergeCell ref="A39:G39"/>
    <mergeCell ref="H39:P39"/>
    <mergeCell ref="H63:P63"/>
    <mergeCell ref="H110:P110"/>
    <mergeCell ref="H52:P52"/>
    <mergeCell ref="F1:G1"/>
    <mergeCell ref="F2:G2"/>
    <mergeCell ref="F3:G3"/>
    <mergeCell ref="A1:D3"/>
    <mergeCell ref="A123:G123"/>
    <mergeCell ref="A17:G17"/>
    <mergeCell ref="A21:A22"/>
    <mergeCell ref="F26:G26"/>
    <mergeCell ref="A52:G52"/>
    <mergeCell ref="A118:G118"/>
    <mergeCell ref="A89:G89"/>
    <mergeCell ref="A63:G63"/>
    <mergeCell ref="A110:G110"/>
    <mergeCell ref="A4:D4"/>
    <mergeCell ref="F4:G4"/>
    <mergeCell ref="A14:G14"/>
    <mergeCell ref="A5:G5"/>
    <mergeCell ref="B6:G6"/>
    <mergeCell ref="B7:C7"/>
    <mergeCell ref="B8:G8"/>
    <mergeCell ref="B10:G10"/>
  </mergeCells>
  <conditionalFormatting sqref="A25:G139">
    <cfRule type="expression" dxfId="944" priority="4">
      <formula>$C$24=""</formula>
    </cfRule>
  </conditionalFormatting>
  <conditionalFormatting sqref="B119:B121 D119:D121 F119:G121 B122:G122">
    <cfRule type="expression" dxfId="943" priority="8">
      <formula>$B$26&lt;1</formula>
    </cfRule>
    <cfRule type="expression" dxfId="942" priority="1335">
      <formula>$F$12&lt;&gt;$F$152</formula>
    </cfRule>
  </conditionalFormatting>
  <conditionalFormatting sqref="B124:C124 E124:G124 D125:G125 B125:B126 D126 F126:G126 B134:B136 D134:D136 F134:G136 B138:G138 B139:C139 E139:G139">
    <cfRule type="expression" dxfId="941" priority="7">
      <formula>$B$26&lt;1</formula>
    </cfRule>
  </conditionalFormatting>
  <conditionalFormatting sqref="B128:G131">
    <cfRule type="expression" dxfId="940" priority="6">
      <formula>$B$26&lt;1</formula>
    </cfRule>
  </conditionalFormatting>
  <conditionalFormatting sqref="B28:P38">
    <cfRule type="expression" dxfId="939" priority="14">
      <formula>$B$26&lt;1</formula>
    </cfRule>
  </conditionalFormatting>
  <conditionalFormatting sqref="B40:P51">
    <cfRule type="expression" dxfId="938" priority="13">
      <formula>$B$26&lt;1</formula>
    </cfRule>
  </conditionalFormatting>
  <conditionalFormatting sqref="B53:P62">
    <cfRule type="expression" dxfId="937" priority="12">
      <formula>$B$26&lt;1</formula>
    </cfRule>
    <cfRule type="expression" dxfId="936" priority="1327">
      <formula>$C$12&lt;&gt;$C$152</formula>
    </cfRule>
  </conditionalFormatting>
  <conditionalFormatting sqref="B64:P88">
    <cfRule type="expression" dxfId="935" priority="11">
      <formula>$B$26&lt;1</formula>
    </cfRule>
    <cfRule type="expression" dxfId="934" priority="18">
      <formula>$B$12&lt;&gt;$B$152</formula>
    </cfRule>
  </conditionalFormatting>
  <conditionalFormatting sqref="B90:P109">
    <cfRule type="expression" dxfId="933" priority="10">
      <formula>$B$26&lt;1</formula>
    </cfRule>
    <cfRule type="expression" dxfId="932" priority="1331">
      <formula>$D$12&lt;&gt;$D$152</formula>
    </cfRule>
  </conditionalFormatting>
  <conditionalFormatting sqref="B111:P117">
    <cfRule type="expression" dxfId="931" priority="9">
      <formula>$B$26&lt;1</formula>
    </cfRule>
    <cfRule type="expression" dxfId="930" priority="1334">
      <formula>$E$12&lt;&gt;$E$152</formula>
    </cfRule>
  </conditionalFormatting>
  <conditionalFormatting sqref="C24:G24">
    <cfRule type="expression" dxfId="929" priority="3">
      <formula>B24=0</formula>
    </cfRule>
  </conditionalFormatting>
  <conditionalFormatting sqref="G133">
    <cfRule type="expression" dxfId="928" priority="5">
      <formula>$B$26&lt;1</formula>
    </cfRule>
  </conditionalFormatting>
  <dataValidations count="7">
    <dataValidation type="list" allowBlank="1" showInputMessage="1" showErrorMessage="1" sqref="G12" xr:uid="{6B721B55-012F-4581-AC6B-53713ED9AC5E}">
      <formula1>$B$152:$B$157</formula1>
    </dataValidation>
    <dataValidation type="list" allowBlank="1" showInputMessage="1" showErrorMessage="1" sqref="B12" xr:uid="{5E2969A6-EE74-4B38-8C87-5CE2E46F9E01}">
      <formula1>$B$152:$B$153</formula1>
    </dataValidation>
    <dataValidation type="list" allowBlank="1" showInputMessage="1" showErrorMessage="1" sqref="C12" xr:uid="{9AF2E730-C227-480C-B9F8-430D71569F05}">
      <formula1>$C$152:$C$153</formula1>
    </dataValidation>
    <dataValidation type="list" allowBlank="1" showInputMessage="1" showErrorMessage="1" sqref="D12" xr:uid="{B5F8C316-B342-4E95-AE31-7497E7388BF9}">
      <formula1>$D$152:$D$153</formula1>
    </dataValidation>
    <dataValidation type="list" allowBlank="1" showInputMessage="1" showErrorMessage="1" sqref="E12" xr:uid="{23A8A90D-9644-4E51-A6F2-C25A0C1EAC3A}">
      <formula1>$E$152:$E$153</formula1>
    </dataValidation>
    <dataValidation type="list" allowBlank="1" showInputMessage="1" showErrorMessage="1" sqref="F12" xr:uid="{741BC42F-E8C4-43CB-8A38-0F2731593DBB}">
      <formula1>$F$152:$F$153</formula1>
    </dataValidation>
    <dataValidation type="list" allowBlank="1" showInputMessage="1" showErrorMessage="1" sqref="B24" xr:uid="{6E435027-45B5-48C8-8A8C-924BEBD560DA}">
      <formula1>"Yes,NO"</formula1>
    </dataValidation>
  </dataValidations>
  <pageMargins left="0.25" right="0.25" top="0.75" bottom="0.75" header="0.3" footer="0.3"/>
  <pageSetup paperSize="9" scale="42" fitToHeight="0" orientation="landscape" r:id="rId1"/>
  <rowBreaks count="6" manualBreakCount="6">
    <brk id="24" max="6" man="1"/>
    <brk id="49" max="6" man="1"/>
    <brk id="72" max="6" man="1"/>
    <brk id="88" max="6" man="1"/>
    <brk id="109" max="6" man="1"/>
    <brk id="131" max="6" man="1"/>
  </rowBreak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300F8-01D2-412C-B294-F5BFDBA7A55B}">
  <sheetPr codeName="Sheet6">
    <tabColor rgb="FFC00000"/>
  </sheetPr>
  <dimension ref="A1:FM820"/>
  <sheetViews>
    <sheetView showGridLines="0" tabSelected="1" topLeftCell="B1" zoomScale="70" zoomScaleNormal="70" zoomScaleSheetLayoutView="55" workbookViewId="0">
      <selection activeCell="H21" sqref="H21"/>
    </sheetView>
  </sheetViews>
  <sheetFormatPr defaultColWidth="8.5546875" defaultRowHeight="14.4"/>
  <cols>
    <col min="1" max="1" width="8" style="175" bestFit="1" customWidth="1"/>
    <col min="2" max="2" width="31.33203125" style="175" customWidth="1"/>
    <col min="3" max="3" width="24.33203125" style="175" bestFit="1" customWidth="1"/>
    <col min="4" max="4" width="25.44140625" style="175" customWidth="1"/>
    <col min="5" max="5" width="21.6640625" style="175" customWidth="1"/>
    <col min="6" max="6" width="22.6640625" style="175" customWidth="1"/>
    <col min="7" max="7" width="21.6640625" style="175" customWidth="1"/>
    <col min="8" max="8" width="23.5546875" style="175" customWidth="1"/>
    <col min="9" max="9" width="20.6640625" style="175" customWidth="1"/>
    <col min="10" max="10" width="19.6640625" style="175" customWidth="1"/>
    <col min="11" max="11" width="21.33203125" style="175" customWidth="1"/>
    <col min="12" max="12" width="23" style="175" customWidth="1"/>
    <col min="13" max="14" width="23.33203125" style="175" customWidth="1"/>
    <col min="15" max="15" width="22" style="175" customWidth="1"/>
    <col min="16" max="16" width="22.5546875" style="175" customWidth="1"/>
    <col min="17" max="17" width="20.33203125" style="175" customWidth="1"/>
    <col min="18" max="18" width="19.5546875" style="175" customWidth="1"/>
    <col min="19" max="19" width="21.6640625" style="823" customWidth="1"/>
    <col min="20" max="20" width="29.6640625" style="823" hidden="1" customWidth="1"/>
    <col min="21" max="21" width="2.6640625" style="823" hidden="1" customWidth="1"/>
    <col min="22" max="22" width="20" style="823" customWidth="1"/>
    <col min="23" max="23" width="16.6640625" style="823" customWidth="1"/>
    <col min="24" max="24" width="18.33203125" style="823" customWidth="1"/>
    <col min="25" max="25" width="16.5546875" style="823" customWidth="1"/>
    <col min="26" max="26" width="15.6640625" style="823" customWidth="1"/>
    <col min="27" max="27" width="19.44140625" style="823" customWidth="1"/>
    <col min="28" max="28" width="14.33203125" style="823" customWidth="1"/>
    <col min="29" max="29" width="18.6640625" style="823" customWidth="1"/>
    <col min="30" max="30" width="15.33203125" style="823" customWidth="1"/>
    <col min="31" max="31" width="17" style="823" customWidth="1"/>
    <col min="32" max="32" width="14" style="175" customWidth="1"/>
    <col min="33" max="33" width="27.33203125" style="175" customWidth="1"/>
    <col min="34" max="34" width="13" style="175" customWidth="1"/>
    <col min="35" max="35" width="25" style="175" customWidth="1"/>
    <col min="36" max="36" width="20.33203125" style="175" customWidth="1"/>
    <col min="37" max="37" width="20" style="175" customWidth="1"/>
    <col min="38" max="38" width="20.33203125" style="175" customWidth="1"/>
    <col min="39" max="39" width="21.6640625" style="175" customWidth="1"/>
    <col min="40" max="40" width="18.33203125" style="175" bestFit="1" customWidth="1"/>
    <col min="41" max="41" width="17" style="175" customWidth="1"/>
    <col min="42" max="42" width="20.44140625" style="175" customWidth="1"/>
    <col min="43" max="43" width="20.5546875" style="175" customWidth="1"/>
    <col min="44" max="44" width="14.44140625" style="175" customWidth="1"/>
    <col min="45" max="45" width="18" style="175" customWidth="1"/>
    <col min="46" max="46" width="17.33203125" style="175" customWidth="1"/>
    <col min="47" max="47" width="16.44140625" style="175" customWidth="1"/>
    <col min="48" max="48" width="12.6640625" style="175" bestFit="1" customWidth="1"/>
    <col min="49" max="49" width="16.33203125" style="175" customWidth="1"/>
    <col min="50" max="50" width="21.44140625" style="175" customWidth="1"/>
    <col min="51" max="51" width="21.33203125" style="175" customWidth="1"/>
    <col min="52" max="52" width="22.44140625" style="175" customWidth="1"/>
    <col min="53" max="53" width="17.44140625" style="175" customWidth="1"/>
    <col min="54" max="54" width="17.33203125" style="175" customWidth="1"/>
    <col min="55" max="55" width="16.6640625" style="175" customWidth="1"/>
    <col min="56" max="56" width="16.33203125" style="175" customWidth="1"/>
    <col min="57" max="57" width="18.6640625" style="175" customWidth="1"/>
    <col min="58" max="58" width="17.6640625" style="175" customWidth="1"/>
    <col min="59" max="59" width="18.33203125" style="175" customWidth="1"/>
    <col min="60" max="60" width="18.5546875" style="175" customWidth="1"/>
    <col min="61" max="61" width="13.6640625" style="175" bestFit="1" customWidth="1"/>
    <col min="62" max="63" width="13.6640625" style="175" customWidth="1"/>
    <col min="64" max="64" width="15.5546875" style="175" bestFit="1" customWidth="1"/>
    <col min="65" max="65" width="17.44140625" style="175" customWidth="1"/>
    <col min="66" max="66" width="9" style="175" bestFit="1" customWidth="1"/>
    <col min="67" max="67" width="4.6640625" style="175" bestFit="1" customWidth="1"/>
    <col min="68" max="68" width="19.6640625" style="175" customWidth="1"/>
    <col min="69" max="69" width="36.33203125" style="175" customWidth="1"/>
    <col min="70" max="71" width="12.33203125" style="175" bestFit="1" customWidth="1"/>
    <col min="72" max="72" width="8.5546875" style="175"/>
    <col min="73" max="73" width="30.44140625" style="175" bestFit="1" customWidth="1"/>
    <col min="74" max="74" width="8.5546875" style="175"/>
    <col min="75" max="75" width="6.33203125" style="175" bestFit="1" customWidth="1"/>
    <col min="76" max="76" width="7.5546875" style="175" bestFit="1" customWidth="1"/>
    <col min="77" max="77" width="9.44140625" style="175" bestFit="1" customWidth="1"/>
    <col min="78" max="78" width="11.5546875" style="175" bestFit="1" customWidth="1"/>
    <col min="79" max="16384" width="8.5546875" style="175"/>
  </cols>
  <sheetData>
    <row r="1" spans="1:57" ht="23.7" customHeight="1">
      <c r="A1" s="3068"/>
      <c r="B1" s="3069"/>
      <c r="C1" s="3054" t="s">
        <v>325</v>
      </c>
      <c r="D1" s="3055"/>
      <c r="E1" s="3055"/>
      <c r="F1" s="3055"/>
      <c r="G1" s="3055"/>
      <c r="H1" s="3055"/>
      <c r="I1" s="3055"/>
      <c r="J1" s="3055"/>
      <c r="K1" s="3055"/>
      <c r="L1" s="3055"/>
      <c r="M1" s="3055"/>
      <c r="N1" s="3055"/>
      <c r="O1" s="3055"/>
      <c r="P1" s="3056"/>
      <c r="Q1" s="3101" t="s">
        <v>1961</v>
      </c>
      <c r="R1" s="3102"/>
      <c r="S1" s="3103"/>
      <c r="T1" s="1773"/>
      <c r="W1" s="175"/>
      <c r="X1" s="175"/>
      <c r="Y1" s="175"/>
      <c r="Z1" s="175"/>
      <c r="AA1" s="175"/>
      <c r="AB1" s="175"/>
      <c r="AC1" s="175"/>
      <c r="AD1" s="175"/>
      <c r="AE1" s="175"/>
    </row>
    <row r="2" spans="1:57" ht="21">
      <c r="A2" s="3070"/>
      <c r="B2" s="2704"/>
      <c r="C2" s="3054"/>
      <c r="D2" s="3055"/>
      <c r="E2" s="3055"/>
      <c r="F2" s="3055"/>
      <c r="G2" s="3055"/>
      <c r="H2" s="3055"/>
      <c r="I2" s="3055"/>
      <c r="J2" s="3055"/>
      <c r="K2" s="3055"/>
      <c r="L2" s="3055"/>
      <c r="M2" s="3055"/>
      <c r="N2" s="3055"/>
      <c r="O2" s="3055"/>
      <c r="P2" s="3056"/>
      <c r="Q2" s="3048" t="s">
        <v>1962</v>
      </c>
      <c r="R2" s="3049"/>
      <c r="S2" s="3050"/>
      <c r="T2" s="1774"/>
      <c r="W2" s="175"/>
      <c r="X2" s="175"/>
      <c r="Y2" s="175"/>
      <c r="Z2" s="175"/>
    </row>
    <row r="3" spans="1:57" ht="21.6" thickBot="1">
      <c r="A3" s="3070"/>
      <c r="B3" s="2704"/>
      <c r="C3" s="3057"/>
      <c r="D3" s="3058"/>
      <c r="E3" s="3058"/>
      <c r="F3" s="3058"/>
      <c r="G3" s="3058"/>
      <c r="H3" s="3058"/>
      <c r="I3" s="3058"/>
      <c r="J3" s="3058"/>
      <c r="K3" s="3058"/>
      <c r="L3" s="3058"/>
      <c r="M3" s="3058"/>
      <c r="N3" s="3058"/>
      <c r="O3" s="3058"/>
      <c r="P3" s="3059"/>
      <c r="Q3" s="3051" t="s">
        <v>204</v>
      </c>
      <c r="R3" s="3052"/>
      <c r="S3" s="3053"/>
      <c r="T3" s="1775"/>
      <c r="W3" s="175"/>
      <c r="X3" s="175"/>
      <c r="Y3" s="175"/>
      <c r="Z3" s="175"/>
      <c r="BC3" s="456"/>
      <c r="BE3" s="456"/>
    </row>
    <row r="4" spans="1:57" ht="29.4" thickBot="1">
      <c r="A4" s="3070"/>
      <c r="B4" s="2704"/>
      <c r="C4" s="3062" t="s">
        <v>624</v>
      </c>
      <c r="D4" s="3063"/>
      <c r="E4" s="3063"/>
      <c r="F4" s="3063"/>
      <c r="G4" s="3063"/>
      <c r="H4" s="3063"/>
      <c r="I4" s="3063"/>
      <c r="J4" s="3063"/>
      <c r="K4" s="3063"/>
      <c r="L4" s="3063"/>
      <c r="M4" s="3063"/>
      <c r="N4" s="3063"/>
      <c r="O4" s="3063"/>
      <c r="P4" s="3063"/>
      <c r="Q4" s="3063"/>
      <c r="R4" s="3063"/>
      <c r="S4" s="3064"/>
      <c r="T4" s="1778"/>
      <c r="U4" s="1778"/>
      <c r="W4" s="175"/>
      <c r="X4" s="175"/>
      <c r="Y4" s="175"/>
      <c r="Z4" s="175"/>
      <c r="BC4" s="416"/>
    </row>
    <row r="5" spans="1:57" ht="24" customHeight="1" thickBot="1">
      <c r="A5" s="3081" t="s">
        <v>625</v>
      </c>
      <c r="B5" s="3082"/>
      <c r="C5" s="3082"/>
      <c r="D5" s="3082"/>
      <c r="E5" s="3082"/>
      <c r="F5" s="3083"/>
      <c r="G5" s="3083"/>
      <c r="H5" s="3083"/>
      <c r="I5" s="3083"/>
      <c r="J5" s="3083"/>
      <c r="K5" s="3084"/>
      <c r="L5" s="2993" t="str">
        <f>IF(OR('Site Vist fomat  (Design)'!B24=0,'Site Vist fomat  (Design)'!C24=0),"Please fill Existing Plant details","")</f>
        <v>Please fill Existing Plant details</v>
      </c>
      <c r="M5" s="2891" t="s">
        <v>626</v>
      </c>
      <c r="N5" s="2892"/>
      <c r="O5" s="2892"/>
      <c r="P5" s="2893"/>
      <c r="R5" s="2916" t="s">
        <v>627</v>
      </c>
      <c r="S5" s="2917"/>
      <c r="T5" s="1138"/>
      <c r="U5" s="1139"/>
      <c r="AF5" s="712"/>
      <c r="AG5" s="712"/>
      <c r="AH5" s="712"/>
      <c r="AI5" s="712"/>
      <c r="BC5" s="416"/>
    </row>
    <row r="6" spans="1:57" ht="24" customHeight="1" thickBot="1">
      <c r="A6" s="3086" t="s">
        <v>628</v>
      </c>
      <c r="B6" s="3087"/>
      <c r="C6" s="3094" t="str">
        <f>IF('Input''s from BD(Sales)'!B15="", "Not Updated", IFERROR('Input''s from BD(Sales)'!B15, "Not Updated"))</f>
        <v>Yes</v>
      </c>
      <c r="D6" s="3095"/>
      <c r="E6" s="3095"/>
      <c r="F6" s="3096" t="s">
        <v>629</v>
      </c>
      <c r="G6" s="3097"/>
      <c r="H6" s="3098"/>
      <c r="I6" s="2913" t="s">
        <v>151</v>
      </c>
      <c r="J6" s="2914"/>
      <c r="K6" s="2915"/>
      <c r="L6" s="2994"/>
      <c r="M6" s="2894" t="s">
        <v>34</v>
      </c>
      <c r="N6" s="2895"/>
      <c r="O6" s="2907" t="str">
        <f>'Input''s from BD(Sales)'!B20</f>
        <v>595 / 590 / 585</v>
      </c>
      <c r="P6" s="2908"/>
      <c r="R6" s="2918"/>
      <c r="S6" s="2919"/>
      <c r="T6" s="1138"/>
      <c r="U6" s="1139"/>
      <c r="AF6" s="712"/>
      <c r="AG6" s="712"/>
      <c r="AH6" s="712"/>
      <c r="AI6" s="712"/>
      <c r="BC6" s="416"/>
    </row>
    <row r="7" spans="1:57" ht="26.4" thickBot="1">
      <c r="A7" s="2920" t="s">
        <v>630</v>
      </c>
      <c r="B7" s="3085"/>
      <c r="C7" s="3088" t="str">
        <f>'Input''s from Site Visit'!B6</f>
        <v>Metro Junction mall</v>
      </c>
      <c r="D7" s="3089"/>
      <c r="E7" s="3090"/>
      <c r="F7" s="3091" t="str">
        <f>'Input''s from BD(Sales)'!B10</f>
        <v>Maharashtra</v>
      </c>
      <c r="G7" s="3091"/>
      <c r="H7" s="3091"/>
      <c r="I7" s="2863" t="s">
        <v>631</v>
      </c>
      <c r="J7" s="2864"/>
      <c r="K7" s="2865"/>
      <c r="L7" s="2994"/>
      <c r="M7" s="2896" t="s">
        <v>35</v>
      </c>
      <c r="N7" s="2897"/>
      <c r="O7" s="2801" t="str">
        <f>'Input''s from BD(Sales)'!B21</f>
        <v>ALMM Approved</v>
      </c>
      <c r="P7" s="2802"/>
      <c r="R7" s="1720" t="s">
        <v>384</v>
      </c>
      <c r="S7" s="1727">
        <f t="shared" ref="S7:S15" si="0">IF($C$25=R7,$G$25,0)+IF($C$26=R7,$G$26,0)+IF($C$27=R7,$G$27,0)+IF($C$28=R7,$G$28,0)+IF($C$29=R7,$G$29)+IF($C$30=R7,$G$30,0)+IF($C$31=R7,$G$31,0)+IF($C$32=R7,$G$32,0)+IF($C$33=R7,$G$33,0)+IF($C$34=R7,$G$34)+IF($C$35=R7,$G$35,0)+IF($C$36=R7,$G$36,0)+IF($C$37=R7,$G$37,0)+IF($C$38=R7,$G$38,0)+IF($C$39=R7,$G$39,0)+IF($C$40=R7,$G$40,0)+IF($C$41=R7,$G$41,0)+IF($C$42=R7,$G$42,0)+IF($C$43=R7,$G$43,0)+IF($C$44=R7,$G$44,0)+IF($C$45=R7,$G$45,0)+IF($C$46=R7,$G$46,0)+IF($C$47=R7,$G$47,0)+IF($C$48=R7,$G$48,0)+IF($C$49=R7,$G$49,0)+IF($C$50=R7,$G$50,0)+IF($C$51=R7,$G$51,0)+IF($C$52=R7,$G$52,0)+IF($C$53=R7,$G$53,0)+IF($C$54=R7,$G$54,0)</f>
        <v>0</v>
      </c>
      <c r="T7" s="1140"/>
      <c r="U7" s="1141"/>
      <c r="AF7" s="410"/>
      <c r="AG7" s="713"/>
      <c r="AH7" s="713"/>
      <c r="AI7" s="713"/>
      <c r="BC7" s="416"/>
    </row>
    <row r="8" spans="1:57" ht="23.7" customHeight="1" thickBot="1">
      <c r="A8" s="3086" t="s">
        <v>632</v>
      </c>
      <c r="B8" s="3087"/>
      <c r="C8" s="2843" t="str">
        <f>'Input''s from Site Visit'!B7</f>
        <v>Metro Junction Mall, Kalyan - Shilphata Rd, Kalyan East, Kalyan, Maharashtra 421306</v>
      </c>
      <c r="D8" s="2844"/>
      <c r="E8" s="2845"/>
      <c r="F8" s="2844" t="str">
        <f>'Input''s from BD(Sales)'!B14</f>
        <v>19°13'45.98"N 73°07'23.94"E</v>
      </c>
      <c r="G8" s="2844"/>
      <c r="H8" s="2845"/>
      <c r="I8" s="2924"/>
      <c r="J8" s="2925"/>
      <c r="K8" s="2926"/>
      <c r="L8" s="411"/>
      <c r="M8" s="2896" t="s">
        <v>36</v>
      </c>
      <c r="N8" s="2897"/>
      <c r="O8" s="2801" t="str">
        <f>'Input''s from BD(Sales)'!B22</f>
        <v>Solis / Sungrow / Equivalent</v>
      </c>
      <c r="P8" s="2802"/>
      <c r="R8" s="1721" t="s">
        <v>633</v>
      </c>
      <c r="S8" s="1728">
        <f t="shared" si="0"/>
        <v>0</v>
      </c>
      <c r="T8" s="756"/>
      <c r="AF8" s="410"/>
      <c r="AG8" s="713"/>
      <c r="AH8" s="713"/>
      <c r="AI8" s="713"/>
      <c r="BC8" s="416"/>
    </row>
    <row r="9" spans="1:57" ht="24" thickBot="1">
      <c r="A9" s="2863" t="s">
        <v>634</v>
      </c>
      <c r="B9" s="2864"/>
      <c r="C9" s="2864" t="s">
        <v>635</v>
      </c>
      <c r="D9" s="2864"/>
      <c r="E9" s="2864"/>
      <c r="F9" s="2863" t="s">
        <v>636</v>
      </c>
      <c r="G9" s="2864"/>
      <c r="H9" s="2865"/>
      <c r="I9" s="2924"/>
      <c r="J9" s="2925"/>
      <c r="K9" s="2926"/>
      <c r="L9" s="411"/>
      <c r="M9" s="2898" t="s">
        <v>38</v>
      </c>
      <c r="N9" s="2899"/>
      <c r="O9" s="2909">
        <f>'Input''s from BD(Sales)'!B23</f>
        <v>0</v>
      </c>
      <c r="P9" s="2910"/>
      <c r="R9" s="1721" t="s">
        <v>411</v>
      </c>
      <c r="S9" s="1728">
        <f t="shared" si="0"/>
        <v>0</v>
      </c>
      <c r="T9" s="757"/>
      <c r="AF9" s="410"/>
      <c r="AG9" s="713"/>
      <c r="AH9" s="713"/>
      <c r="AI9" s="713"/>
      <c r="BC9" s="416"/>
    </row>
    <row r="10" spans="1:57" ht="24" thickBot="1">
      <c r="A10" s="3078" t="s">
        <v>637</v>
      </c>
      <c r="B10" s="3079"/>
      <c r="C10" s="3075" t="s">
        <v>2021</v>
      </c>
      <c r="D10" s="2424"/>
      <c r="E10" s="2424"/>
      <c r="F10" s="2879" t="s">
        <v>638</v>
      </c>
      <c r="G10" s="3076">
        <v>46199</v>
      </c>
      <c r="H10" s="3077"/>
      <c r="I10" s="2924"/>
      <c r="J10" s="2925"/>
      <c r="K10" s="2926"/>
      <c r="L10" s="252"/>
      <c r="M10" s="2900" t="s">
        <v>639</v>
      </c>
      <c r="N10" s="2901"/>
      <c r="O10" s="2901"/>
      <c r="P10" s="2902"/>
      <c r="R10" s="1721" t="s">
        <v>640</v>
      </c>
      <c r="S10" s="1728">
        <f t="shared" si="0"/>
        <v>400.52</v>
      </c>
      <c r="T10" s="757"/>
      <c r="AF10" s="410"/>
      <c r="AG10" s="713"/>
      <c r="AH10" s="713"/>
      <c r="AI10" s="713"/>
      <c r="AM10" s="2803"/>
      <c r="AN10" s="2803"/>
      <c r="BC10" s="416"/>
    </row>
    <row r="11" spans="1:57" ht="24" customHeight="1" thickBot="1">
      <c r="A11" s="3073" t="s">
        <v>641</v>
      </c>
      <c r="B11" s="3074"/>
      <c r="C11" s="3060" t="s">
        <v>2067</v>
      </c>
      <c r="D11" s="3080"/>
      <c r="E11" s="2887"/>
      <c r="F11" s="2880"/>
      <c r="G11" s="2854">
        <v>46199</v>
      </c>
      <c r="H11" s="2855"/>
      <c r="I11" s="2924"/>
      <c r="J11" s="2925"/>
      <c r="K11" s="2926"/>
      <c r="M11" s="2903" t="str">
        <f>'Input''s from BD(Sales)'!A43</f>
        <v>Modules (MMS)</v>
      </c>
      <c r="N11" s="2904"/>
      <c r="O11" s="2911">
        <f>'Input''s from BD(Sales)'!B43</f>
        <v>0</v>
      </c>
      <c r="P11" s="2912"/>
      <c r="R11" s="1721" t="s">
        <v>642</v>
      </c>
      <c r="S11" s="1728">
        <f t="shared" si="0"/>
        <v>0</v>
      </c>
      <c r="T11" s="757"/>
      <c r="AF11" s="410"/>
      <c r="AG11" s="713"/>
      <c r="AH11" s="713"/>
      <c r="AI11" s="713"/>
      <c r="AM11" s="416"/>
      <c r="BC11" s="416"/>
    </row>
    <row r="12" spans="1:57" ht="24" customHeight="1" thickBot="1">
      <c r="A12" s="1800"/>
      <c r="B12" s="1801"/>
      <c r="C12" s="1801"/>
      <c r="D12" s="1801"/>
      <c r="E12" s="1801"/>
      <c r="F12" s="1801"/>
      <c r="G12" s="1801"/>
      <c r="H12" s="1801"/>
      <c r="I12" s="2862" t="str">
        <f>IF(I6=0,"Please fill RFQ/RFP details","")</f>
        <v/>
      </c>
      <c r="J12" s="2862"/>
      <c r="K12" s="2862"/>
      <c r="M12" s="2905" t="str">
        <f>'Input''s from BD(Sales)'!A45</f>
        <v>Lifeline location</v>
      </c>
      <c r="N12" s="2906"/>
      <c r="O12" s="2801">
        <f>'Input''s from BD(Sales)'!B45</f>
        <v>0</v>
      </c>
      <c r="P12" s="2802"/>
      <c r="R12" s="1722" t="s">
        <v>643</v>
      </c>
      <c r="S12" s="1728">
        <f t="shared" si="0"/>
        <v>0</v>
      </c>
      <c r="T12" s="757"/>
      <c r="AF12" s="823"/>
      <c r="AG12" s="823"/>
      <c r="AH12" s="713"/>
      <c r="AI12" s="713"/>
      <c r="AM12" s="416"/>
      <c r="BC12" s="416"/>
    </row>
    <row r="13" spans="1:57" ht="24" thickBot="1">
      <c r="A13" s="2875" t="s">
        <v>644</v>
      </c>
      <c r="B13" s="2876"/>
      <c r="C13" s="1797" t="s">
        <v>645</v>
      </c>
      <c r="D13" s="1797" t="s">
        <v>646</v>
      </c>
      <c r="E13" s="1797" t="s">
        <v>647</v>
      </c>
      <c r="F13" s="1797" t="s">
        <v>648</v>
      </c>
      <c r="G13" s="1797" t="s">
        <v>649</v>
      </c>
      <c r="H13" s="1799" t="s">
        <v>650</v>
      </c>
      <c r="I13" s="2848" t="s">
        <v>651</v>
      </c>
      <c r="J13" s="2849"/>
      <c r="K13" s="2850"/>
      <c r="M13" s="2905" t="s">
        <v>652</v>
      </c>
      <c r="N13" s="2906"/>
      <c r="O13" s="2801">
        <f>'Input''s from BD(Sales)'!B44</f>
        <v>0</v>
      </c>
      <c r="P13" s="2802"/>
      <c r="R13" s="1722" t="s">
        <v>653</v>
      </c>
      <c r="S13" s="1728">
        <f t="shared" si="0"/>
        <v>0</v>
      </c>
      <c r="T13" s="757"/>
      <c r="AE13" s="714"/>
      <c r="AF13" s="714"/>
      <c r="AG13" s="714"/>
      <c r="AH13" s="714"/>
      <c r="AI13" s="714"/>
      <c r="AM13" s="416"/>
      <c r="BC13" s="416"/>
    </row>
    <row r="14" spans="1:57" ht="23.4">
      <c r="A14" s="2877" t="s">
        <v>654</v>
      </c>
      <c r="B14" s="2878"/>
      <c r="C14" s="1779">
        <v>46163</v>
      </c>
      <c r="D14" s="2000">
        <v>46177</v>
      </c>
      <c r="E14" s="2000">
        <v>46199</v>
      </c>
      <c r="F14" s="1951"/>
      <c r="G14" s="1951"/>
      <c r="H14" s="1780"/>
      <c r="I14" s="2866">
        <f>'Input''s from BD(Sales)'!A91</f>
        <v>0</v>
      </c>
      <c r="J14" s="2867"/>
      <c r="K14" s="2868"/>
      <c r="M14" s="2905" t="s">
        <v>68</v>
      </c>
      <c r="N14" s="3212"/>
      <c r="O14" s="2801">
        <f>'Input''s from BD(Sales)'!B46</f>
        <v>0</v>
      </c>
      <c r="P14" s="2802"/>
      <c r="R14" s="1723" t="s">
        <v>655</v>
      </c>
      <c r="S14" s="1728">
        <f t="shared" si="0"/>
        <v>0</v>
      </c>
      <c r="T14" s="757"/>
      <c r="AE14" s="714"/>
      <c r="AF14" s="714"/>
      <c r="AG14" s="714"/>
      <c r="AH14" s="714"/>
      <c r="AI14" s="714"/>
      <c r="AM14" s="416"/>
      <c r="BC14" s="416"/>
    </row>
    <row r="15" spans="1:57" ht="26.4" thickBot="1">
      <c r="A15" s="2881" t="s">
        <v>656</v>
      </c>
      <c r="B15" s="2882"/>
      <c r="C15" s="3060" t="s">
        <v>2055</v>
      </c>
      <c r="D15" s="2419" t="s">
        <v>2063</v>
      </c>
      <c r="E15" s="3104" t="s">
        <v>2068</v>
      </c>
      <c r="F15" s="2419"/>
      <c r="G15" s="2419"/>
      <c r="H15" s="2887"/>
      <c r="I15" s="2869"/>
      <c r="J15" s="2870"/>
      <c r="K15" s="2871"/>
      <c r="M15" s="2846" t="s">
        <v>70</v>
      </c>
      <c r="N15" s="2847"/>
      <c r="O15" s="2909">
        <f>'Input''s from BD(Sales)'!B47</f>
        <v>0</v>
      </c>
      <c r="P15" s="2910"/>
      <c r="R15" s="1723" t="s">
        <v>387</v>
      </c>
      <c r="S15" s="1728">
        <f t="shared" si="0"/>
        <v>0</v>
      </c>
      <c r="T15" s="757"/>
      <c r="AE15" s="412"/>
      <c r="AF15" s="413"/>
      <c r="AG15" s="413"/>
      <c r="AH15" s="413"/>
      <c r="AI15" s="413"/>
      <c r="AM15" s="416"/>
      <c r="AV15" s="416"/>
      <c r="AY15" s="416"/>
      <c r="BC15" s="416"/>
    </row>
    <row r="16" spans="1:57" ht="26.4" thickBot="1">
      <c r="A16" s="2883"/>
      <c r="B16" s="2884"/>
      <c r="C16" s="3061"/>
      <c r="D16" s="2419"/>
      <c r="E16" s="2419"/>
      <c r="F16" s="2419"/>
      <c r="G16" s="2419"/>
      <c r="H16" s="2888"/>
      <c r="I16" s="2869"/>
      <c r="J16" s="2870"/>
      <c r="K16" s="2871"/>
      <c r="R16" s="1724" t="s">
        <v>657</v>
      </c>
      <c r="S16" s="1725">
        <f>SUM(S8:S15)</f>
        <v>400.52</v>
      </c>
      <c r="T16" s="758"/>
      <c r="AE16" s="412"/>
      <c r="AF16" s="413"/>
      <c r="AG16" s="413"/>
      <c r="AH16" s="413"/>
      <c r="AI16" s="413"/>
      <c r="AU16" s="824"/>
      <c r="AV16" s="416"/>
      <c r="AY16" s="416"/>
      <c r="BC16" s="416"/>
    </row>
    <row r="17" spans="1:169" ht="24" customHeight="1" thickBot="1">
      <c r="A17" s="2885" t="s">
        <v>658</v>
      </c>
      <c r="B17" s="2886"/>
      <c r="C17" s="1781">
        <v>46164</v>
      </c>
      <c r="D17" s="1782">
        <v>46177</v>
      </c>
      <c r="E17" s="1782">
        <v>46199</v>
      </c>
      <c r="F17" s="1045"/>
      <c r="G17" s="1045"/>
      <c r="H17" s="1783"/>
      <c r="I17" s="2872"/>
      <c r="J17" s="2873"/>
      <c r="K17" s="2874"/>
      <c r="T17" s="759"/>
      <c r="Y17" s="3200"/>
      <c r="Z17" s="3200"/>
      <c r="AA17" s="3200"/>
      <c r="AE17" s="414"/>
      <c r="AF17" s="415"/>
      <c r="AG17" s="415"/>
      <c r="AH17" s="415"/>
      <c r="AI17" s="415"/>
      <c r="AV17" s="416"/>
      <c r="AY17" s="416"/>
      <c r="BC17" s="416"/>
    </row>
    <row r="18" spans="1:169" s="416" customFormat="1" ht="20.399999999999999" thickBot="1">
      <c r="R18" s="417"/>
      <c r="X18" s="823"/>
      <c r="Y18" s="823"/>
      <c r="Z18" s="823"/>
      <c r="AA18" s="823"/>
      <c r="AB18" s="823"/>
      <c r="AC18" s="823"/>
      <c r="AD18" s="823"/>
      <c r="AE18" s="418"/>
      <c r="AF18" s="420"/>
      <c r="AG18" s="420"/>
      <c r="AH18" s="420"/>
      <c r="AI18" s="420"/>
      <c r="AW18" s="175"/>
      <c r="AZ18" s="175"/>
      <c r="BE18" s="175"/>
    </row>
    <row r="19" spans="1:169" s="416" customFormat="1" ht="20.25" customHeight="1">
      <c r="A19" s="421"/>
      <c r="B19" s="421"/>
      <c r="C19" s="421"/>
      <c r="D19" s="421"/>
      <c r="E19" s="421"/>
      <c r="F19" s="421"/>
      <c r="G19" s="422"/>
      <c r="H19" s="422"/>
      <c r="I19" s="417" t="s">
        <v>134</v>
      </c>
      <c r="J19" s="417"/>
      <c r="R19" s="417"/>
      <c r="S19" s="2813" t="s">
        <v>659</v>
      </c>
      <c r="V19" s="1148" t="s">
        <v>660</v>
      </c>
      <c r="W19" s="1238" t="s">
        <v>661</v>
      </c>
      <c r="X19" s="1239" t="s">
        <v>662</v>
      </c>
      <c r="Z19" s="418"/>
      <c r="AA19" s="417"/>
      <c r="AB19" s="417"/>
      <c r="AE19" s="418"/>
      <c r="AF19" s="420"/>
      <c r="AG19" s="420"/>
      <c r="AH19" s="420"/>
      <c r="AI19" s="420"/>
      <c r="AZ19" s="175"/>
      <c r="BE19" s="175"/>
    </row>
    <row r="20" spans="1:169" s="416" customFormat="1" ht="19.5" customHeight="1" thickBot="1">
      <c r="A20" s="421"/>
      <c r="B20" s="421"/>
      <c r="C20" s="421"/>
      <c r="D20" s="1805" t="str">
        <f>IF('Site Vist fomat  (Design)'!B26=0,"Please fill number of service connections in Site Visit sheet","")</f>
        <v/>
      </c>
      <c r="E20" s="1802"/>
      <c r="F20" s="1802"/>
      <c r="G20" s="1802"/>
      <c r="H20" s="902"/>
      <c r="I20" s="1903"/>
      <c r="J20" s="417"/>
      <c r="K20" s="417"/>
      <c r="R20" s="417"/>
      <c r="S20" s="2814"/>
      <c r="V20" s="1240" t="s">
        <v>663</v>
      </c>
      <c r="W20" s="1241" t="s">
        <v>664</v>
      </c>
      <c r="X20" s="1242" t="s">
        <v>665</v>
      </c>
      <c r="Z20" s="418"/>
      <c r="AA20" s="417"/>
      <c r="AB20" s="417"/>
      <c r="AC20" s="417"/>
      <c r="AD20" s="419"/>
      <c r="AE20" s="418"/>
      <c r="AF20" s="420"/>
      <c r="AG20" s="420"/>
      <c r="AH20" s="420"/>
      <c r="AI20" s="420"/>
    </row>
    <row r="21" spans="1:169" s="416" customFormat="1" ht="21.6" thickBot="1">
      <c r="A21" s="2858" t="s">
        <v>666</v>
      </c>
      <c r="B21" s="2859"/>
      <c r="C21" s="2859"/>
      <c r="D21" s="2920" t="s">
        <v>667</v>
      </c>
      <c r="E21" s="2921"/>
      <c r="F21" s="1817" t="s">
        <v>2022</v>
      </c>
      <c r="G21" s="1275" t="s">
        <v>909</v>
      </c>
      <c r="H21" s="1804" t="str">
        <f>IF(F21=0,"Please fill Module Wp details","")</f>
        <v/>
      </c>
      <c r="I21" s="417"/>
      <c r="J21" s="417"/>
      <c r="K21" s="1904" t="str">
        <f>IF(G21=0,"Please fill Module Make details","")</f>
        <v/>
      </c>
      <c r="L21" s="3201" t="s">
        <v>668</v>
      </c>
      <c r="M21" s="3202"/>
      <c r="N21" s="3202"/>
      <c r="O21" s="3203" t="s">
        <v>669</v>
      </c>
      <c r="P21" s="3204"/>
      <c r="R21" s="417"/>
      <c r="S21" s="1790" t="s">
        <v>670</v>
      </c>
      <c r="T21" s="1777"/>
      <c r="U21" s="1726"/>
      <c r="V21" s="1791" t="s">
        <v>671</v>
      </c>
      <c r="W21" s="1792" t="s">
        <v>672</v>
      </c>
      <c r="X21" s="1793" t="s">
        <v>673</v>
      </c>
      <c r="Z21" s="2817" t="s">
        <v>674</v>
      </c>
      <c r="AA21" s="2818"/>
      <c r="AB21" s="2818"/>
      <c r="AC21" s="2818"/>
      <c r="AD21" s="2818"/>
      <c r="AE21" s="2818"/>
      <c r="AF21" s="2819"/>
      <c r="AG21" s="3209" t="str">
        <f>IF('Input''s from BD(Sales)'!B10='Input''s from BD(Sales)'!A298,"Consider Conventional LA for Tamilnadu"," ")</f>
        <v xml:space="preserve"> </v>
      </c>
      <c r="AH21" s="3210"/>
      <c r="AI21" s="3211"/>
      <c r="AJ21" s="3209" t="str">
        <f>IF(OR('Input''s from BD(Sales)'!B10='Input''s from BD(Sales)'!A282,'Input''s from BD(Sales)'!B10='Input''s from BD(Sales)'!A298),"Railings are mandate for Tamilnadu/Haryana","Consider Railings for Module tilt &gt;=8")</f>
        <v>Consider Railings for Module tilt &gt;=8</v>
      </c>
      <c r="AK21" s="3210"/>
      <c r="AL21" s="3211"/>
    </row>
    <row r="22" spans="1:169" s="416" customFormat="1" ht="18.75" customHeight="1" thickBot="1">
      <c r="A22" s="2860"/>
      <c r="B22" s="2861"/>
      <c r="C22" s="2861"/>
      <c r="D22" s="2922" t="s">
        <v>675</v>
      </c>
      <c r="E22" s="2923"/>
      <c r="F22" s="1803">
        <v>620</v>
      </c>
      <c r="G22" s="1276" t="s">
        <v>676</v>
      </c>
      <c r="M22" s="423"/>
      <c r="N22" s="423"/>
      <c r="O22" s="423"/>
      <c r="P22" s="424"/>
      <c r="R22" s="417"/>
      <c r="S22" s="425"/>
      <c r="T22" s="425"/>
      <c r="U22" s="425"/>
      <c r="V22" s="425"/>
      <c r="W22" s="425"/>
      <c r="X22" s="425"/>
      <c r="Y22" s="425"/>
      <c r="Z22" s="425"/>
      <c r="AA22" s="426"/>
      <c r="AB22" s="426"/>
      <c r="AC22" s="426"/>
      <c r="AD22" s="426"/>
      <c r="AE22" s="426"/>
      <c r="BP22" s="715"/>
    </row>
    <row r="23" spans="1:169" s="416" customFormat="1" ht="20.7" customHeight="1" thickBot="1">
      <c r="A23" s="2856" t="s">
        <v>677</v>
      </c>
      <c r="B23" s="2889" t="s">
        <v>678</v>
      </c>
      <c r="C23" s="2851" t="s">
        <v>451</v>
      </c>
      <c r="D23" s="3099" t="s">
        <v>679</v>
      </c>
      <c r="E23" s="2853" t="s">
        <v>680</v>
      </c>
      <c r="F23" s="2836" t="s">
        <v>681</v>
      </c>
      <c r="G23" s="2856" t="s">
        <v>682</v>
      </c>
      <c r="H23" s="3092" t="s">
        <v>1112</v>
      </c>
      <c r="I23" s="3092"/>
      <c r="J23" s="3092"/>
      <c r="K23" s="3092"/>
      <c r="L23" s="3092"/>
      <c r="M23" s="3092"/>
      <c r="N23" s="3092"/>
      <c r="O23" s="3092"/>
      <c r="P23" s="3092"/>
      <c r="Q23" s="3093"/>
      <c r="R23" s="3071" t="s">
        <v>684</v>
      </c>
      <c r="S23" s="2827" t="s">
        <v>685</v>
      </c>
      <c r="T23" s="1274"/>
      <c r="U23" s="1274"/>
      <c r="V23" s="2815" t="s">
        <v>686</v>
      </c>
      <c r="W23" s="2816"/>
      <c r="X23" s="2816"/>
      <c r="Y23" s="2816"/>
      <c r="Z23" s="2816"/>
      <c r="AA23" s="2816"/>
      <c r="AB23" s="2816"/>
      <c r="AC23" s="2816"/>
      <c r="AD23" s="2816"/>
      <c r="AE23" s="2816"/>
      <c r="AF23" s="2816"/>
      <c r="AG23" s="2816"/>
      <c r="AH23" s="2816"/>
      <c r="AI23" s="2816"/>
      <c r="AJ23" s="2816"/>
      <c r="AK23" s="2816"/>
      <c r="AL23" s="2816"/>
      <c r="AM23" s="2816"/>
      <c r="AN23" s="2816"/>
      <c r="AO23" s="2816"/>
      <c r="AP23" s="2798" t="s">
        <v>687</v>
      </c>
      <c r="AQ23" s="2799"/>
      <c r="AR23" s="2799"/>
      <c r="AS23" s="2799"/>
      <c r="AT23" s="2799"/>
      <c r="AU23" s="2799"/>
      <c r="AV23" s="2799"/>
      <c r="AW23" s="2799"/>
      <c r="AX23" s="2799"/>
      <c r="AY23" s="2799"/>
      <c r="AZ23" s="2799"/>
      <c r="BA23" s="2800"/>
      <c r="BB23" s="2798" t="s">
        <v>688</v>
      </c>
      <c r="BC23" s="2799"/>
      <c r="BD23" s="2799"/>
      <c r="BE23" s="2799"/>
      <c r="BF23" s="2799"/>
      <c r="BG23" s="2799"/>
      <c r="BH23" s="2800"/>
    </row>
    <row r="24" spans="1:169" s="288" customFormat="1" ht="54.6" thickBot="1">
      <c r="A24" s="2943"/>
      <c r="B24" s="2890"/>
      <c r="C24" s="2852"/>
      <c r="D24" s="3100"/>
      <c r="E24" s="2852"/>
      <c r="F24" s="2837"/>
      <c r="G24" s="2857"/>
      <c r="H24" s="1144">
        <f t="shared" ref="H24:Q24" si="1">IF($H$23=$D$512,F512,IF($H$23=$D$514,F514,IF($H$23=$D$516,F516,IF($H$23=$D$518,F518,IF($H$23=$D$520,F520,IF($H$23=$D$522,F522,IF($H$23=$D$524,F524,IF($H$23=$D$526,F526,IF($H$23=$D$528,F528,IF($H$23=$D$530,F530,IF($H$23=$D$532,F532,IF($H$23=$D$534,F534,IF($H$23=$D$536,F536,"")))))))))))))</f>
        <v>150</v>
      </c>
      <c r="I24" s="1145">
        <f t="shared" si="1"/>
        <v>125</v>
      </c>
      <c r="J24" s="1145">
        <f t="shared" si="1"/>
        <v>80</v>
      </c>
      <c r="K24" s="1145">
        <f t="shared" si="1"/>
        <v>60</v>
      </c>
      <c r="L24" s="1145">
        <f t="shared" si="1"/>
        <v>50</v>
      </c>
      <c r="M24" s="1145">
        <f t="shared" si="1"/>
        <v>30</v>
      </c>
      <c r="N24" s="1145">
        <f t="shared" si="1"/>
        <v>25</v>
      </c>
      <c r="O24" s="1145">
        <f t="shared" si="1"/>
        <v>20</v>
      </c>
      <c r="P24" s="1145">
        <f t="shared" si="1"/>
        <v>15</v>
      </c>
      <c r="Q24" s="1146">
        <f t="shared" si="1"/>
        <v>10</v>
      </c>
      <c r="R24" s="3072"/>
      <c r="S24" s="2828"/>
      <c r="T24" s="1147"/>
      <c r="U24" s="1147"/>
      <c r="V24" s="1656" t="s">
        <v>689</v>
      </c>
      <c r="W24" s="1657" t="s">
        <v>690</v>
      </c>
      <c r="X24" s="1657" t="s">
        <v>691</v>
      </c>
      <c r="Y24" s="1657" t="s">
        <v>692</v>
      </c>
      <c r="Z24" s="1657" t="s">
        <v>693</v>
      </c>
      <c r="AA24" s="1657" t="s">
        <v>694</v>
      </c>
      <c r="AB24" s="1657" t="s">
        <v>695</v>
      </c>
      <c r="AC24" s="1657" t="s">
        <v>696</v>
      </c>
      <c r="AD24" s="1657" t="s">
        <v>697</v>
      </c>
      <c r="AE24" s="1657" t="s">
        <v>698</v>
      </c>
      <c r="AF24" s="1657" t="s">
        <v>699</v>
      </c>
      <c r="AG24" s="1657" t="s">
        <v>700</v>
      </c>
      <c r="AH24" s="1657" t="s">
        <v>701</v>
      </c>
      <c r="AI24" s="1657" t="s">
        <v>702</v>
      </c>
      <c r="AJ24" s="1657" t="s">
        <v>703</v>
      </c>
      <c r="AK24" s="1657" t="s">
        <v>704</v>
      </c>
      <c r="AL24" s="1657" t="s">
        <v>705</v>
      </c>
      <c r="AM24" s="1657" t="s">
        <v>706</v>
      </c>
      <c r="AN24" s="1657" t="s">
        <v>707</v>
      </c>
      <c r="AO24" s="1658" t="s">
        <v>708</v>
      </c>
      <c r="AP24" s="2112" t="s">
        <v>709</v>
      </c>
      <c r="AQ24" s="2119" t="s">
        <v>710</v>
      </c>
      <c r="AR24" s="1657" t="s">
        <v>711</v>
      </c>
      <c r="AS24" s="1657" t="s">
        <v>712</v>
      </c>
      <c r="AT24" s="1657" t="s">
        <v>713</v>
      </c>
      <c r="AU24" s="1657" t="s">
        <v>714</v>
      </c>
      <c r="AV24" s="1657" t="s">
        <v>715</v>
      </c>
      <c r="AW24" s="1657" t="s">
        <v>716</v>
      </c>
      <c r="AX24" s="1657" t="s">
        <v>717</v>
      </c>
      <c r="AY24" s="1657" t="s">
        <v>718</v>
      </c>
      <c r="AZ24" s="1657" t="s">
        <v>719</v>
      </c>
      <c r="BA24" s="1658" t="s">
        <v>720</v>
      </c>
      <c r="BB24" s="1482" t="s">
        <v>721</v>
      </c>
      <c r="BC24" s="1481" t="s">
        <v>722</v>
      </c>
      <c r="BD24" s="1481" t="s">
        <v>723</v>
      </c>
      <c r="BE24" s="1481" t="s">
        <v>724</v>
      </c>
      <c r="BF24" s="1481" t="s">
        <v>725</v>
      </c>
      <c r="BG24" s="1481" t="s">
        <v>726</v>
      </c>
      <c r="BH24" s="295" t="s">
        <v>727</v>
      </c>
    </row>
    <row r="25" spans="1:169" s="1194" customFormat="1" ht="34.799999999999997">
      <c r="A25" s="1171">
        <v>1</v>
      </c>
      <c r="B25" s="1172" t="s">
        <v>2052</v>
      </c>
      <c r="C25" s="1196" t="s">
        <v>640</v>
      </c>
      <c r="D25" s="1173"/>
      <c r="E25" s="1174">
        <f>(3*15+2*12)*2+(254*2)</f>
        <v>646</v>
      </c>
      <c r="F25" s="1818">
        <f>((21*4+3*18)+(9*19+5*21)+(8*19+4*20))</f>
        <v>646</v>
      </c>
      <c r="G25" s="1820">
        <f t="shared" ref="G25:G54" si="2">IF(C25&lt;&gt;0,F25*$F$22/1000,0)</f>
        <v>400.52</v>
      </c>
      <c r="H25" s="1176">
        <v>2</v>
      </c>
      <c r="I25" s="1177"/>
      <c r="J25" s="1177"/>
      <c r="K25" s="1177"/>
      <c r="L25" s="1177"/>
      <c r="M25" s="1177"/>
      <c r="N25" s="1177"/>
      <c r="O25" s="1177"/>
      <c r="P25" s="1177"/>
      <c r="Q25" s="1197"/>
      <c r="R25" s="1178">
        <f t="shared" ref="R25:R54" si="3">IF(F25&lt;&gt;0,H25*$H$24+I25*$I$24+J25*$J$24+K25*$K$24+L25*$L$24+$M$24*M25+N25*$N$24+$O$24*O25+$P$24*P25+$Q$24*Q25,0)</f>
        <v>300</v>
      </c>
      <c r="S25" s="1179">
        <f t="shared" ref="S25:S55" si="4">G25/R25</f>
        <v>1.3350666666666666</v>
      </c>
      <c r="T25" s="1180"/>
      <c r="U25" s="1180"/>
      <c r="V25" s="1643">
        <v>33</v>
      </c>
      <c r="W25" s="1648">
        <v>5</v>
      </c>
      <c r="X25" s="2030" t="str">
        <f>_xlfn.XLOOKUP(C25,$O$124:$O$132,$P$124:$P$132," ")</f>
        <v>3000 mm</v>
      </c>
      <c r="Y25" s="1644">
        <f>(18*2+30+40)+(50*2+70+80)+((17*2)*4)*2+16*2+40*2-100</f>
        <v>640</v>
      </c>
      <c r="Z25" s="1645" t="s">
        <v>729</v>
      </c>
      <c r="AA25" s="2163">
        <f>(50+25+15+16+40)*2+(2*5*2)-50</f>
        <v>262</v>
      </c>
      <c r="AB25" s="1645" t="s">
        <v>729</v>
      </c>
      <c r="AC25" s="1644">
        <f>(20+16+25)*2</f>
        <v>122</v>
      </c>
      <c r="AD25" s="1645" t="s">
        <v>729</v>
      </c>
      <c r="AE25" s="1644">
        <f>(5+20+35)*2</f>
        <v>120</v>
      </c>
      <c r="AF25" s="1645" t="s">
        <v>730</v>
      </c>
      <c r="AG25" s="1646" t="s">
        <v>731</v>
      </c>
      <c r="AH25" s="1647">
        <v>1</v>
      </c>
      <c r="AI25" s="1648">
        <f>(25+18+15+4)+(40+10+20)+(80+40+18+15*2+45*2+4*2)+(60)-50</f>
        <v>408</v>
      </c>
      <c r="AJ25" s="2126">
        <f>(40*2+15*2+45*2+18+65)+(22*2+18+30)-25</f>
        <v>350</v>
      </c>
      <c r="AK25" s="1649">
        <v>0</v>
      </c>
      <c r="AL25" s="1649">
        <f>(40*2+15*2+45*2+18+65)+(22*2+18+30)-25</f>
        <v>350</v>
      </c>
      <c r="AM25" s="1649">
        <f>(5*2+3*2+6*2+3+8)+(3*2+3+4)-1</f>
        <v>51</v>
      </c>
      <c r="AN25" s="1644">
        <f>33*60*2*1.1-306</f>
        <v>4050</v>
      </c>
      <c r="AO25" s="1650">
        <v>0</v>
      </c>
      <c r="AP25" s="2114">
        <f>(40+15+15+40)*2+(40+25)*2</f>
        <v>350</v>
      </c>
      <c r="AQ25" s="2120">
        <v>0</v>
      </c>
      <c r="AR25" s="1649"/>
      <c r="AS25" s="1649"/>
      <c r="AT25" s="1649"/>
      <c r="AU25" s="1651"/>
      <c r="AV25" s="1649"/>
      <c r="AW25" s="2126"/>
      <c r="AX25" s="1649"/>
      <c r="AY25" s="1649"/>
      <c r="AZ25" s="1645"/>
      <c r="BA25" s="1652">
        <f>IF(OR(C25=R$7,C25=R$8,C25=R$9,C25=R$10,C25=R$11),'Site Vist fomat  (Design)'!B$64,0)</f>
        <v>0</v>
      </c>
      <c r="BB25" s="1653"/>
      <c r="BC25" s="1272"/>
      <c r="BD25" s="1272"/>
      <c r="BE25" s="1272"/>
      <c r="BF25" s="1654">
        <f t="shared" ref="BF25:BF41" si="5">BE25*2</f>
        <v>0</v>
      </c>
      <c r="BG25" s="1272"/>
      <c r="BH25" s="1655"/>
      <c r="CJ25" s="932"/>
      <c r="CU25" s="932"/>
      <c r="CV25" s="932"/>
      <c r="CW25" s="932"/>
      <c r="CX25" s="932"/>
      <c r="CY25" s="932"/>
      <c r="CZ25" s="932"/>
      <c r="DA25" s="932"/>
      <c r="DB25" s="932"/>
      <c r="DC25" s="932"/>
      <c r="DD25" s="932"/>
      <c r="DE25" s="932"/>
      <c r="DF25" s="932"/>
      <c r="DG25" s="932"/>
      <c r="DH25" s="932"/>
      <c r="DI25" s="932"/>
      <c r="DJ25" s="932"/>
      <c r="DK25" s="932"/>
      <c r="DL25" s="932"/>
      <c r="DM25" s="932"/>
      <c r="DN25" s="932"/>
      <c r="DO25" s="932"/>
      <c r="DP25" s="932"/>
      <c r="DQ25" s="932"/>
      <c r="DR25" s="932"/>
      <c r="DS25" s="932"/>
      <c r="DT25" s="932"/>
      <c r="DU25" s="932"/>
      <c r="DV25" s="932"/>
      <c r="DW25" s="932"/>
      <c r="DX25" s="932"/>
      <c r="DY25" s="932"/>
      <c r="DZ25" s="932"/>
      <c r="EA25" s="932"/>
      <c r="EB25" s="932"/>
      <c r="EC25" s="932"/>
      <c r="ED25" s="932"/>
      <c r="EE25" s="932"/>
      <c r="EF25" s="932"/>
      <c r="EG25" s="932"/>
      <c r="EH25" s="932"/>
      <c r="EI25" s="932"/>
      <c r="EJ25" s="932"/>
      <c r="EK25" s="932"/>
      <c r="EL25" s="932"/>
      <c r="EM25" s="932"/>
      <c r="EN25" s="932"/>
      <c r="EO25" s="932"/>
      <c r="EP25" s="932"/>
      <c r="EQ25" s="932"/>
      <c r="ER25" s="932"/>
      <c r="ES25" s="932"/>
      <c r="ET25" s="932"/>
      <c r="EU25" s="932"/>
      <c r="EV25" s="932"/>
      <c r="EW25" s="932"/>
      <c r="EX25" s="932"/>
      <c r="EY25" s="932"/>
      <c r="EZ25" s="932"/>
      <c r="FA25" s="932"/>
      <c r="FB25" s="932"/>
      <c r="FC25" s="932"/>
      <c r="FD25" s="932"/>
      <c r="FE25" s="932"/>
      <c r="FF25" s="932"/>
      <c r="FG25" s="932"/>
      <c r="FH25" s="932"/>
      <c r="FI25" s="932"/>
      <c r="FJ25" s="932"/>
      <c r="FK25" s="932"/>
      <c r="FL25" s="932"/>
      <c r="FM25" s="932"/>
    </row>
    <row r="26" spans="1:169" s="1194" customFormat="1" ht="17.399999999999999">
      <c r="A26" s="1195">
        <f t="shared" ref="A26:A54" si="6">A25+1</f>
        <v>2</v>
      </c>
      <c r="B26" s="2042" t="s">
        <v>2065</v>
      </c>
      <c r="C26" s="1196"/>
      <c r="D26" s="2044"/>
      <c r="E26" s="1177"/>
      <c r="F26" s="1197"/>
      <c r="G26" s="1175">
        <f t="shared" si="2"/>
        <v>0</v>
      </c>
      <c r="H26" s="1176"/>
      <c r="I26" s="1177"/>
      <c r="J26" s="1177"/>
      <c r="K26" s="1177"/>
      <c r="L26" s="1177"/>
      <c r="M26" s="1177"/>
      <c r="N26" s="1177"/>
      <c r="O26" s="1177"/>
      <c r="P26" s="1177"/>
      <c r="Q26" s="1197"/>
      <c r="R26" s="1198">
        <f t="shared" si="3"/>
        <v>0</v>
      </c>
      <c r="S26" s="1199" t="e">
        <f t="shared" si="4"/>
        <v>#DIV/0!</v>
      </c>
      <c r="T26" s="1180"/>
      <c r="U26" s="1180"/>
      <c r="V26" s="1181"/>
      <c r="W26" s="1648"/>
      <c r="X26" s="2030" t="str">
        <f t="shared" ref="X26:X54" si="7">_xlfn.XLOOKUP(C26,$O$124:$O$132,$P$124:$P$132," ")</f>
        <v xml:space="preserve"> </v>
      </c>
      <c r="Y26" s="1182"/>
      <c r="Z26" s="1183"/>
      <c r="AA26" s="2163"/>
      <c r="AB26" s="1183"/>
      <c r="AC26" s="1182"/>
      <c r="AD26" s="1183"/>
      <c r="AE26" s="1182"/>
      <c r="AF26" s="1183"/>
      <c r="AG26" s="1184"/>
      <c r="AH26" s="1185"/>
      <c r="AI26" s="1186"/>
      <c r="AJ26" s="2127"/>
      <c r="AK26" s="1187"/>
      <c r="AL26" s="1187"/>
      <c r="AM26" s="1187"/>
      <c r="AN26" s="1182"/>
      <c r="AO26" s="1188"/>
      <c r="AP26" s="2115"/>
      <c r="AQ26" s="2121"/>
      <c r="AR26" s="1187"/>
      <c r="AS26" s="1187"/>
      <c r="AT26" s="1187"/>
      <c r="AU26" s="1651"/>
      <c r="AV26" s="1187"/>
      <c r="AW26" s="2127"/>
      <c r="AX26" s="1187"/>
      <c r="AY26" s="1187"/>
      <c r="AZ26" s="1183"/>
      <c r="BA26" s="1652">
        <f>IF(OR(C26=R$7,C26=R$8,C26=R$9,C26=R$10,C26=R$11),'Site Vist fomat  (Design)'!C$64,0)</f>
        <v>0</v>
      </c>
      <c r="BB26" s="1190"/>
      <c r="BC26" s="1191"/>
      <c r="BD26" s="1191"/>
      <c r="BE26" s="1191"/>
      <c r="BF26" s="1192">
        <f t="shared" si="5"/>
        <v>0</v>
      </c>
      <c r="BG26" s="1191"/>
      <c r="BH26" s="1193"/>
      <c r="CJ26" s="932"/>
      <c r="CU26" s="932"/>
      <c r="CV26" s="932"/>
      <c r="CW26" s="932"/>
      <c r="CX26" s="932"/>
      <c r="CY26" s="932"/>
      <c r="CZ26" s="932"/>
      <c r="DA26" s="932"/>
      <c r="DB26" s="932"/>
      <c r="DC26" s="932"/>
      <c r="DD26" s="932"/>
      <c r="DE26" s="932"/>
      <c r="DF26" s="932"/>
      <c r="DG26" s="932"/>
      <c r="DH26" s="932"/>
      <c r="DI26" s="932"/>
      <c r="DJ26" s="932"/>
      <c r="DK26" s="932"/>
      <c r="DL26" s="932"/>
      <c r="DM26" s="932"/>
      <c r="DN26" s="932"/>
      <c r="DO26" s="932"/>
      <c r="DP26" s="932"/>
      <c r="DQ26" s="932"/>
      <c r="DR26" s="932"/>
      <c r="DS26" s="932"/>
      <c r="DT26" s="932"/>
      <c r="DU26" s="932"/>
      <c r="DV26" s="932"/>
      <c r="DW26" s="932"/>
      <c r="DX26" s="932"/>
      <c r="DY26" s="932"/>
      <c r="DZ26" s="932"/>
      <c r="EA26" s="932"/>
      <c r="EB26" s="932"/>
      <c r="EC26" s="932"/>
      <c r="ED26" s="932"/>
      <c r="EE26" s="932"/>
      <c r="EF26" s="932"/>
      <c r="EG26" s="932"/>
      <c r="EH26" s="932"/>
      <c r="EI26" s="932"/>
      <c r="EJ26" s="932"/>
      <c r="EK26" s="932"/>
      <c r="EL26" s="932"/>
      <c r="EM26" s="932"/>
      <c r="EN26" s="932"/>
      <c r="EO26" s="932"/>
      <c r="EP26" s="932"/>
      <c r="EQ26" s="932"/>
      <c r="ER26" s="932"/>
      <c r="ES26" s="932"/>
      <c r="ET26" s="932"/>
      <c r="EU26" s="932"/>
      <c r="EV26" s="932"/>
      <c r="EW26" s="932"/>
      <c r="EX26" s="932"/>
      <c r="EY26" s="932"/>
      <c r="EZ26" s="932"/>
      <c r="FA26" s="932"/>
      <c r="FB26" s="932"/>
      <c r="FC26" s="932"/>
      <c r="FD26" s="932"/>
      <c r="FE26" s="932"/>
      <c r="FF26" s="932"/>
      <c r="FG26" s="932"/>
      <c r="FH26" s="932"/>
      <c r="FI26" s="932"/>
      <c r="FJ26" s="932"/>
      <c r="FK26" s="932"/>
      <c r="FL26" s="932"/>
      <c r="FM26" s="932"/>
    </row>
    <row r="27" spans="1:169" s="1194" customFormat="1" ht="17.399999999999999">
      <c r="A27" s="1195">
        <f t="shared" si="6"/>
        <v>3</v>
      </c>
      <c r="B27" s="2043"/>
      <c r="C27" s="1196"/>
      <c r="D27" s="2044"/>
      <c r="E27" s="1177"/>
      <c r="F27" s="1197"/>
      <c r="G27" s="1175">
        <f t="shared" si="2"/>
        <v>0</v>
      </c>
      <c r="H27" s="1176"/>
      <c r="I27" s="1177"/>
      <c r="J27" s="1177"/>
      <c r="K27" s="1177"/>
      <c r="L27" s="1177"/>
      <c r="M27" s="1177"/>
      <c r="N27" s="1177"/>
      <c r="O27" s="1177"/>
      <c r="P27" s="1177"/>
      <c r="Q27" s="1197"/>
      <c r="R27" s="1198">
        <f t="shared" si="3"/>
        <v>0</v>
      </c>
      <c r="S27" s="1199" t="e">
        <f t="shared" si="4"/>
        <v>#DIV/0!</v>
      </c>
      <c r="T27" s="1180"/>
      <c r="U27" s="1180"/>
      <c r="V27" s="1181"/>
      <c r="W27" s="1648"/>
      <c r="X27" s="2030" t="str">
        <f t="shared" si="7"/>
        <v xml:space="preserve"> </v>
      </c>
      <c r="Y27" s="1182"/>
      <c r="Z27" s="1183"/>
      <c r="AA27" s="1182"/>
      <c r="AB27" s="1183"/>
      <c r="AC27" s="1182"/>
      <c r="AD27" s="1183"/>
      <c r="AE27" s="1182"/>
      <c r="AF27" s="1183"/>
      <c r="AG27" s="1184"/>
      <c r="AH27" s="1185"/>
      <c r="AI27" s="1186"/>
      <c r="AJ27" s="2127"/>
      <c r="AK27" s="1187"/>
      <c r="AL27" s="1187"/>
      <c r="AM27" s="1187"/>
      <c r="AN27" s="1182"/>
      <c r="AO27" s="1188"/>
      <c r="AP27" s="2115"/>
      <c r="AQ27" s="2121"/>
      <c r="AR27" s="1187"/>
      <c r="AS27" s="1187"/>
      <c r="AT27" s="1187"/>
      <c r="AU27" s="1189"/>
      <c r="AV27" s="1187"/>
      <c r="AW27" s="2127"/>
      <c r="AX27" s="1187"/>
      <c r="AY27" s="1187"/>
      <c r="AZ27" s="1183"/>
      <c r="BA27" s="1652">
        <f>IF(OR(C27=R$7,C27=R$8,C27=R$9,C27=R$10,C27=R$11),'Site Vist fomat  (Design)'!D$64,0)</f>
        <v>0</v>
      </c>
      <c r="BB27" s="1190"/>
      <c r="BC27" s="1191"/>
      <c r="BD27" s="1191"/>
      <c r="BE27" s="1191"/>
      <c r="BF27" s="1192">
        <f t="shared" si="5"/>
        <v>0</v>
      </c>
      <c r="BG27" s="1191"/>
      <c r="BH27" s="1193"/>
      <c r="CJ27" s="932"/>
      <c r="CU27" s="932"/>
      <c r="CV27" s="932"/>
      <c r="CW27" s="932"/>
      <c r="CX27" s="932"/>
      <c r="CY27" s="932"/>
      <c r="CZ27" s="932"/>
      <c r="DA27" s="932"/>
      <c r="DB27" s="932"/>
      <c r="DC27" s="932"/>
      <c r="DD27" s="932"/>
      <c r="DE27" s="932"/>
      <c r="DF27" s="932"/>
      <c r="DG27" s="932"/>
      <c r="DH27" s="932"/>
      <c r="DI27" s="932"/>
      <c r="DJ27" s="932"/>
      <c r="DK27" s="932"/>
      <c r="DL27" s="932"/>
      <c r="DM27" s="932"/>
      <c r="DN27" s="932"/>
      <c r="DO27" s="932"/>
      <c r="DP27" s="932"/>
      <c r="DQ27" s="932"/>
      <c r="DR27" s="932"/>
      <c r="DS27" s="932"/>
      <c r="DT27" s="932"/>
      <c r="DU27" s="932"/>
      <c r="DV27" s="932"/>
      <c r="DW27" s="932"/>
      <c r="DX27" s="932"/>
      <c r="DY27" s="932"/>
      <c r="DZ27" s="932"/>
      <c r="EA27" s="932"/>
      <c r="EB27" s="932"/>
      <c r="EC27" s="932"/>
      <c r="ED27" s="932"/>
      <c r="EE27" s="932"/>
      <c r="EF27" s="932"/>
      <c r="EG27" s="932"/>
      <c r="EH27" s="932"/>
      <c r="EI27" s="932"/>
      <c r="EJ27" s="932"/>
      <c r="EK27" s="932"/>
      <c r="EL27" s="932"/>
      <c r="EM27" s="932"/>
      <c r="EN27" s="932"/>
      <c r="EO27" s="932"/>
      <c r="EP27" s="932"/>
      <c r="EQ27" s="932"/>
      <c r="ER27" s="932"/>
      <c r="ES27" s="932"/>
      <c r="ET27" s="932"/>
      <c r="EU27" s="932"/>
      <c r="EV27" s="932"/>
      <c r="EW27" s="932"/>
      <c r="EX27" s="932"/>
      <c r="EY27" s="932"/>
      <c r="EZ27" s="932"/>
      <c r="FA27" s="932"/>
      <c r="FB27" s="932"/>
      <c r="FC27" s="932"/>
      <c r="FD27" s="932"/>
      <c r="FE27" s="932"/>
      <c r="FF27" s="932"/>
      <c r="FG27" s="932"/>
      <c r="FH27" s="932"/>
      <c r="FI27" s="932"/>
      <c r="FJ27" s="932"/>
      <c r="FK27" s="932"/>
      <c r="FL27" s="932"/>
      <c r="FM27" s="932"/>
    </row>
    <row r="28" spans="1:169" s="1194" customFormat="1" ht="17.399999999999999">
      <c r="A28" s="1195">
        <f t="shared" si="6"/>
        <v>4</v>
      </c>
      <c r="B28" s="2043"/>
      <c r="C28" s="1196"/>
      <c r="D28" s="2044"/>
      <c r="E28" s="1177"/>
      <c r="F28" s="1819"/>
      <c r="G28" s="1175">
        <f t="shared" si="2"/>
        <v>0</v>
      </c>
      <c r="H28" s="1176"/>
      <c r="I28" s="1177"/>
      <c r="J28" s="1177"/>
      <c r="K28" s="1177"/>
      <c r="L28" s="1177"/>
      <c r="M28" s="1177"/>
      <c r="N28" s="1177"/>
      <c r="O28" s="1177"/>
      <c r="P28" s="1177"/>
      <c r="Q28" s="1197"/>
      <c r="R28" s="1198">
        <f t="shared" si="3"/>
        <v>0</v>
      </c>
      <c r="S28" s="1199" t="e">
        <f t="shared" si="4"/>
        <v>#DIV/0!</v>
      </c>
      <c r="T28" s="1180"/>
      <c r="U28" s="1180"/>
      <c r="V28" s="1181"/>
      <c r="W28" s="1648"/>
      <c r="X28" s="2030" t="str">
        <f t="shared" si="7"/>
        <v xml:space="preserve"> </v>
      </c>
      <c r="Y28" s="1182"/>
      <c r="Z28" s="1183"/>
      <c r="AA28" s="1182"/>
      <c r="AB28" s="1183"/>
      <c r="AC28" s="1182"/>
      <c r="AD28" s="1183"/>
      <c r="AE28" s="1182"/>
      <c r="AF28" s="1183"/>
      <c r="AG28" s="1184"/>
      <c r="AH28" s="1185"/>
      <c r="AI28" s="1186"/>
      <c r="AJ28" s="2127"/>
      <c r="AK28" s="1187"/>
      <c r="AL28" s="1187"/>
      <c r="AM28" s="1187"/>
      <c r="AN28" s="1182"/>
      <c r="AO28" s="1188"/>
      <c r="AP28" s="2115"/>
      <c r="AQ28" s="2121"/>
      <c r="AR28" s="1187"/>
      <c r="AS28" s="1187"/>
      <c r="AT28" s="1187"/>
      <c r="AU28" s="1189"/>
      <c r="AV28" s="1187"/>
      <c r="AW28" s="2127"/>
      <c r="AX28" s="1187"/>
      <c r="AY28" s="1187"/>
      <c r="AZ28" s="1183"/>
      <c r="BA28" s="1652">
        <f>IF(OR(C28=R$7,C28=R$8,C28=R$9,C28=R$10,C28=R$11),'Site Vist fomat  (Design)'!E$64,0)</f>
        <v>0</v>
      </c>
      <c r="BB28" s="1190"/>
      <c r="BC28" s="1191"/>
      <c r="BD28" s="1191"/>
      <c r="BE28" s="1191"/>
      <c r="BF28" s="1192">
        <f t="shared" si="5"/>
        <v>0</v>
      </c>
      <c r="BG28" s="1191"/>
      <c r="BH28" s="1193"/>
      <c r="CJ28" s="932"/>
      <c r="CU28" s="932"/>
      <c r="CV28" s="932"/>
      <c r="CW28" s="932"/>
      <c r="CX28" s="932"/>
      <c r="CY28" s="932"/>
      <c r="CZ28" s="932"/>
      <c r="DA28" s="932"/>
      <c r="DB28" s="932"/>
      <c r="DC28" s="932"/>
      <c r="DD28" s="932"/>
      <c r="DE28" s="932"/>
      <c r="DF28" s="932"/>
      <c r="DG28" s="932"/>
      <c r="DH28" s="932"/>
      <c r="DI28" s="932"/>
      <c r="DJ28" s="932"/>
      <c r="DK28" s="932"/>
      <c r="DL28" s="932"/>
      <c r="DM28" s="932"/>
      <c r="DN28" s="932"/>
      <c r="DO28" s="932"/>
      <c r="DP28" s="932"/>
      <c r="DQ28" s="932"/>
      <c r="DR28" s="932"/>
      <c r="DS28" s="932"/>
      <c r="DT28" s="932"/>
      <c r="DU28" s="932"/>
      <c r="DV28" s="932"/>
      <c r="DW28" s="932"/>
      <c r="DX28" s="932"/>
      <c r="DY28" s="932"/>
      <c r="DZ28" s="932"/>
      <c r="EA28" s="932"/>
      <c r="EB28" s="932"/>
      <c r="EC28" s="932"/>
      <c r="ED28" s="932"/>
      <c r="EE28" s="932"/>
      <c r="EF28" s="932"/>
      <c r="EG28" s="932"/>
      <c r="EH28" s="932"/>
      <c r="EI28" s="932"/>
      <c r="EJ28" s="932"/>
      <c r="EK28" s="932"/>
      <c r="EL28" s="932"/>
      <c r="EM28" s="932"/>
      <c r="EN28" s="932"/>
      <c r="EO28" s="932"/>
      <c r="EP28" s="932"/>
      <c r="EQ28" s="932"/>
      <c r="ER28" s="932"/>
      <c r="ES28" s="932"/>
      <c r="ET28" s="932"/>
      <c r="EU28" s="932"/>
      <c r="EV28" s="932"/>
      <c r="EW28" s="932"/>
      <c r="EX28" s="932"/>
      <c r="EY28" s="932"/>
      <c r="EZ28" s="932"/>
      <c r="FA28" s="932"/>
      <c r="FB28" s="932"/>
      <c r="FC28" s="932"/>
      <c r="FD28" s="932"/>
      <c r="FE28" s="932"/>
      <c r="FF28" s="932"/>
      <c r="FG28" s="932"/>
      <c r="FH28" s="932"/>
      <c r="FI28" s="932"/>
      <c r="FJ28" s="932"/>
      <c r="FK28" s="932"/>
      <c r="FL28" s="932"/>
      <c r="FM28" s="932"/>
    </row>
    <row r="29" spans="1:169" s="1194" customFormat="1" ht="18" customHeight="1">
      <c r="A29" s="1195">
        <f t="shared" si="6"/>
        <v>5</v>
      </c>
      <c r="B29" s="2043"/>
      <c r="C29" s="1196"/>
      <c r="D29" s="2044"/>
      <c r="E29" s="1177"/>
      <c r="F29" s="1819"/>
      <c r="G29" s="1175">
        <f t="shared" si="2"/>
        <v>0</v>
      </c>
      <c r="H29" s="1176"/>
      <c r="I29" s="1177"/>
      <c r="J29" s="1177"/>
      <c r="K29" s="1177"/>
      <c r="L29" s="1177"/>
      <c r="M29" s="1177"/>
      <c r="N29" s="1177"/>
      <c r="O29" s="1177"/>
      <c r="P29" s="1177"/>
      <c r="Q29" s="1197"/>
      <c r="R29" s="1198">
        <f t="shared" si="3"/>
        <v>0</v>
      </c>
      <c r="S29" s="1199" t="e">
        <f t="shared" si="4"/>
        <v>#DIV/0!</v>
      </c>
      <c r="T29" s="1180"/>
      <c r="U29" s="1180"/>
      <c r="V29" s="1181"/>
      <c r="W29" s="1648"/>
      <c r="X29" s="2030" t="str">
        <f t="shared" si="7"/>
        <v xml:space="preserve"> </v>
      </c>
      <c r="Y29" s="1182"/>
      <c r="Z29" s="1183"/>
      <c r="AA29" s="1182"/>
      <c r="AB29" s="1183"/>
      <c r="AC29" s="1182"/>
      <c r="AD29" s="1183"/>
      <c r="AE29" s="1182"/>
      <c r="AF29" s="1183"/>
      <c r="AG29" s="1184"/>
      <c r="AH29" s="1185"/>
      <c r="AI29" s="1186"/>
      <c r="AJ29" s="2127"/>
      <c r="AK29" s="1187"/>
      <c r="AL29" s="1187"/>
      <c r="AM29" s="1187"/>
      <c r="AN29" s="1182"/>
      <c r="AO29" s="1188"/>
      <c r="AP29" s="2115"/>
      <c r="AQ29" s="2121"/>
      <c r="AR29" s="1187"/>
      <c r="AS29" s="1187"/>
      <c r="AT29" s="1187"/>
      <c r="AU29" s="1189"/>
      <c r="AV29" s="1187"/>
      <c r="AW29" s="2127"/>
      <c r="AX29" s="1187"/>
      <c r="AY29" s="1187"/>
      <c r="AZ29" s="1183"/>
      <c r="BA29" s="1652">
        <f>IF(OR(C29=R$7,C29=R$8,C29=R$9,C29=R$10,C29=R$11),'Site Vist fomat  (Design)'!F$64,0)</f>
        <v>0</v>
      </c>
      <c r="BB29" s="1190"/>
      <c r="BC29" s="1191"/>
      <c r="BD29" s="1191"/>
      <c r="BE29" s="1191"/>
      <c r="BF29" s="1192">
        <f t="shared" si="5"/>
        <v>0</v>
      </c>
      <c r="BG29" s="1191"/>
      <c r="BH29" s="1193"/>
      <c r="CJ29" s="932"/>
      <c r="CU29" s="932"/>
      <c r="CV29" s="932"/>
      <c r="CW29" s="932"/>
      <c r="CX29" s="932"/>
      <c r="CY29" s="932"/>
      <c r="CZ29" s="932"/>
      <c r="DA29" s="932"/>
      <c r="DB29" s="932"/>
      <c r="DC29" s="932"/>
      <c r="DD29" s="932"/>
      <c r="DE29" s="932"/>
      <c r="DF29" s="932"/>
      <c r="DG29" s="932"/>
      <c r="DH29" s="932"/>
      <c r="DI29" s="932"/>
      <c r="DJ29" s="932"/>
      <c r="DK29" s="932"/>
      <c r="DL29" s="932"/>
      <c r="DM29" s="932"/>
      <c r="DN29" s="932"/>
      <c r="DO29" s="932"/>
      <c r="DP29" s="932"/>
      <c r="DQ29" s="932"/>
      <c r="DR29" s="932"/>
      <c r="DS29" s="932"/>
      <c r="DT29" s="932"/>
      <c r="DU29" s="932"/>
      <c r="DV29" s="932"/>
      <c r="DW29" s="932"/>
      <c r="DX29" s="932"/>
      <c r="DY29" s="932"/>
      <c r="DZ29" s="932"/>
      <c r="EA29" s="932"/>
      <c r="EB29" s="932"/>
      <c r="EC29" s="932"/>
      <c r="ED29" s="932"/>
      <c r="EE29" s="932"/>
      <c r="EF29" s="932"/>
      <c r="EG29" s="932"/>
      <c r="EH29" s="932"/>
      <c r="EI29" s="932"/>
      <c r="EJ29" s="932"/>
      <c r="EK29" s="932"/>
      <c r="EL29" s="932"/>
      <c r="EM29" s="932"/>
      <c r="EN29" s="932"/>
      <c r="EO29" s="932"/>
      <c r="EP29" s="932"/>
      <c r="EQ29" s="932"/>
      <c r="ER29" s="932"/>
      <c r="ES29" s="932"/>
      <c r="ET29" s="932"/>
      <c r="EU29" s="932"/>
      <c r="EV29" s="932"/>
      <c r="EW29" s="932"/>
      <c r="EX29" s="932"/>
      <c r="EY29" s="932"/>
      <c r="EZ29" s="932"/>
      <c r="FA29" s="932"/>
      <c r="FB29" s="932"/>
      <c r="FC29" s="932"/>
      <c r="FD29" s="932"/>
      <c r="FE29" s="932"/>
      <c r="FF29" s="932"/>
      <c r="FG29" s="932"/>
      <c r="FH29" s="932"/>
      <c r="FI29" s="932"/>
      <c r="FJ29" s="932"/>
      <c r="FK29" s="932"/>
      <c r="FL29" s="932"/>
      <c r="FM29" s="932"/>
    </row>
    <row r="30" spans="1:169" s="1201" customFormat="1" ht="17.399999999999999">
      <c r="A30" s="1195">
        <f t="shared" si="6"/>
        <v>6</v>
      </c>
      <c r="B30" s="2043"/>
      <c r="C30" s="1196"/>
      <c r="D30" s="2044"/>
      <c r="E30" s="1177"/>
      <c r="F30" s="1819"/>
      <c r="G30" s="1175">
        <f t="shared" si="2"/>
        <v>0</v>
      </c>
      <c r="H30" s="1176"/>
      <c r="I30" s="1177"/>
      <c r="J30" s="1177"/>
      <c r="K30" s="1177"/>
      <c r="L30" s="1177"/>
      <c r="M30" s="1177"/>
      <c r="N30" s="1177"/>
      <c r="O30" s="1177"/>
      <c r="P30" s="1177"/>
      <c r="Q30" s="1197"/>
      <c r="R30" s="1198">
        <f t="shared" si="3"/>
        <v>0</v>
      </c>
      <c r="S30" s="1199" t="e">
        <f t="shared" si="4"/>
        <v>#DIV/0!</v>
      </c>
      <c r="T30" s="1180"/>
      <c r="U30" s="1180"/>
      <c r="V30" s="1181"/>
      <c r="W30" s="1648"/>
      <c r="X30" s="2030" t="str">
        <f t="shared" si="7"/>
        <v xml:space="preserve"> </v>
      </c>
      <c r="Y30" s="1182"/>
      <c r="Z30" s="1183"/>
      <c r="AA30" s="1182"/>
      <c r="AB30" s="1183"/>
      <c r="AC30" s="1182"/>
      <c r="AD30" s="1183"/>
      <c r="AE30" s="1182"/>
      <c r="AF30" s="1183"/>
      <c r="AG30" s="1184"/>
      <c r="AH30" s="1200"/>
      <c r="AI30" s="1182"/>
      <c r="AJ30" s="2127"/>
      <c r="AK30" s="1187"/>
      <c r="AL30" s="1187"/>
      <c r="AM30" s="1187"/>
      <c r="AN30" s="1182"/>
      <c r="AO30" s="1188"/>
      <c r="AP30" s="2115"/>
      <c r="AQ30" s="2121"/>
      <c r="AR30" s="1187"/>
      <c r="AS30" s="1187"/>
      <c r="AT30" s="1187"/>
      <c r="AU30" s="1189"/>
      <c r="AV30" s="1187"/>
      <c r="AW30" s="2127"/>
      <c r="AX30" s="1187"/>
      <c r="AY30" s="1187"/>
      <c r="AZ30" s="1183"/>
      <c r="BA30" s="1652">
        <f>IF(OR(C30=R$7,C30=R$8,C30=R$9,C30=R$10,C30=R$11),'Site Vist fomat  (Design)'!G$64,0)</f>
        <v>0</v>
      </c>
      <c r="BB30" s="1190"/>
      <c r="BC30" s="1191"/>
      <c r="BD30" s="1191"/>
      <c r="BE30" s="1191"/>
      <c r="BF30" s="1192">
        <f t="shared" si="5"/>
        <v>0</v>
      </c>
      <c r="BG30" s="1191"/>
      <c r="BH30" s="1193"/>
      <c r="BI30" s="1194"/>
      <c r="BJ30" s="1194"/>
      <c r="BK30" s="1194"/>
      <c r="BL30" s="1194"/>
      <c r="BM30" s="1194"/>
      <c r="BN30" s="1194"/>
      <c r="BO30" s="1194"/>
      <c r="BP30" s="1194"/>
      <c r="BQ30" s="1194"/>
      <c r="BR30" s="1194"/>
      <c r="BS30" s="1194"/>
      <c r="BT30" s="1194"/>
      <c r="BU30" s="1194"/>
      <c r="BV30" s="1194"/>
      <c r="BW30" s="1194"/>
      <c r="BX30" s="1194"/>
      <c r="BY30" s="1194"/>
      <c r="BZ30" s="1194"/>
      <c r="CA30" s="1194"/>
      <c r="CB30" s="1194"/>
      <c r="CC30" s="1194"/>
      <c r="CD30" s="1194"/>
      <c r="CE30" s="1194"/>
      <c r="CF30" s="1194"/>
      <c r="CG30" s="1194"/>
      <c r="CH30" s="1194"/>
      <c r="CI30" s="1194"/>
      <c r="CJ30" s="1194"/>
      <c r="CK30" s="1194"/>
      <c r="CL30" s="1194"/>
      <c r="CM30" s="1194"/>
      <c r="CN30" s="1194"/>
      <c r="CO30" s="1194"/>
      <c r="CP30" s="1194"/>
      <c r="CQ30" s="1194"/>
      <c r="CR30" s="1194"/>
      <c r="CS30" s="1194"/>
      <c r="CT30" s="1194"/>
      <c r="CU30" s="1194"/>
      <c r="CV30" s="1194"/>
      <c r="CW30" s="1194"/>
      <c r="CX30" s="932"/>
      <c r="CY30" s="932"/>
      <c r="CZ30" s="932"/>
      <c r="DA30" s="932"/>
      <c r="DB30" s="932"/>
      <c r="DC30" s="932"/>
      <c r="DD30" s="932"/>
      <c r="DE30" s="932"/>
      <c r="DF30" s="932"/>
      <c r="DG30" s="932"/>
      <c r="DH30" s="932"/>
      <c r="DI30" s="932"/>
      <c r="DJ30" s="932"/>
      <c r="DK30" s="932"/>
      <c r="DL30" s="932"/>
      <c r="DM30" s="932"/>
      <c r="DN30" s="932"/>
      <c r="DO30" s="932"/>
      <c r="DP30" s="932"/>
      <c r="DQ30" s="932"/>
      <c r="DR30" s="932"/>
      <c r="DS30" s="932"/>
      <c r="DT30" s="932"/>
      <c r="DU30" s="932"/>
      <c r="DV30" s="932"/>
      <c r="DW30" s="932"/>
      <c r="DX30" s="932"/>
      <c r="DY30" s="932"/>
      <c r="DZ30" s="932"/>
      <c r="EA30" s="932"/>
      <c r="EB30" s="932"/>
      <c r="EC30" s="932"/>
      <c r="ED30" s="932"/>
      <c r="EE30" s="932"/>
      <c r="EF30" s="932"/>
      <c r="EG30" s="932"/>
      <c r="EH30" s="932"/>
      <c r="EI30" s="932"/>
      <c r="EJ30" s="932"/>
      <c r="EK30" s="932"/>
      <c r="EL30" s="932"/>
      <c r="EM30" s="932"/>
      <c r="EN30" s="932"/>
      <c r="EO30" s="932"/>
      <c r="EP30" s="932"/>
      <c r="EQ30" s="932"/>
      <c r="ER30" s="932"/>
      <c r="ES30" s="932"/>
      <c r="ET30" s="932"/>
      <c r="EU30" s="932"/>
      <c r="EV30" s="932"/>
      <c r="EW30" s="932"/>
      <c r="EX30" s="932"/>
      <c r="EY30" s="932"/>
      <c r="EZ30" s="932"/>
      <c r="FA30" s="932"/>
      <c r="FB30" s="932"/>
      <c r="FC30" s="932"/>
      <c r="FD30" s="932"/>
      <c r="FE30" s="932"/>
      <c r="FF30" s="932"/>
      <c r="FG30" s="932"/>
      <c r="FH30" s="932"/>
      <c r="FI30" s="932"/>
      <c r="FJ30" s="932"/>
      <c r="FK30" s="932"/>
      <c r="FL30" s="932"/>
      <c r="FM30" s="932"/>
    </row>
    <row r="31" spans="1:169" s="1194" customFormat="1" ht="17.399999999999999">
      <c r="A31" s="1195">
        <f t="shared" si="6"/>
        <v>7</v>
      </c>
      <c r="B31" s="2043"/>
      <c r="C31" s="1196"/>
      <c r="D31" s="2044"/>
      <c r="E31" s="1202"/>
      <c r="F31" s="1819"/>
      <c r="G31" s="1175">
        <f t="shared" si="2"/>
        <v>0</v>
      </c>
      <c r="H31" s="1176"/>
      <c r="I31" s="1177"/>
      <c r="J31" s="1177"/>
      <c r="K31" s="1177"/>
      <c r="L31" s="1177"/>
      <c r="M31" s="1177"/>
      <c r="N31" s="1177"/>
      <c r="O31" s="1177"/>
      <c r="P31" s="1177"/>
      <c r="Q31" s="1197"/>
      <c r="R31" s="1198">
        <f t="shared" si="3"/>
        <v>0</v>
      </c>
      <c r="S31" s="1199" t="e">
        <f t="shared" si="4"/>
        <v>#DIV/0!</v>
      </c>
      <c r="T31" s="1180"/>
      <c r="U31" s="1180"/>
      <c r="V31" s="1203"/>
      <c r="W31" s="1648"/>
      <c r="X31" s="2030" t="str">
        <f t="shared" si="7"/>
        <v xml:space="preserve"> </v>
      </c>
      <c r="Y31" s="1186"/>
      <c r="Z31" s="1183"/>
      <c r="AA31" s="1186"/>
      <c r="AB31" s="1183"/>
      <c r="AC31" s="1186"/>
      <c r="AD31" s="1183"/>
      <c r="AE31" s="1186"/>
      <c r="AF31" s="1183"/>
      <c r="AG31" s="1184"/>
      <c r="AH31" s="1185"/>
      <c r="AI31" s="1186"/>
      <c r="AJ31" s="2127"/>
      <c r="AK31" s="1187"/>
      <c r="AL31" s="1187"/>
      <c r="AM31" s="1187"/>
      <c r="AN31" s="1186"/>
      <c r="AO31" s="1204"/>
      <c r="AP31" s="2116"/>
      <c r="AQ31" s="2122"/>
      <c r="AR31" s="1187"/>
      <c r="AS31" s="1187"/>
      <c r="AT31" s="1187"/>
      <c r="AU31" s="1189"/>
      <c r="AV31" s="1187"/>
      <c r="AW31" s="2127"/>
      <c r="AX31" s="1187"/>
      <c r="AY31" s="1187"/>
      <c r="AZ31" s="1183"/>
      <c r="BA31" s="1652">
        <f>IF(OR(C31=R$7,C31=R$8,C31=R$9,C31=R$10,C31=R$11),'Site Vist fomat  (Design)'!H$64,0)</f>
        <v>0</v>
      </c>
      <c r="BB31" s="1190"/>
      <c r="BC31" s="1191"/>
      <c r="BD31" s="1191"/>
      <c r="BE31" s="1191"/>
      <c r="BF31" s="1192">
        <f t="shared" si="5"/>
        <v>0</v>
      </c>
      <c r="BG31" s="1191"/>
      <c r="BH31" s="1193"/>
      <c r="CJ31" s="932"/>
      <c r="CU31" s="932"/>
      <c r="CV31" s="932"/>
      <c r="CW31" s="932"/>
      <c r="CX31" s="932"/>
      <c r="CY31" s="932"/>
      <c r="CZ31" s="932"/>
      <c r="DA31" s="932"/>
      <c r="DB31" s="932"/>
      <c r="DC31" s="932"/>
      <c r="DD31" s="932"/>
      <c r="DE31" s="932"/>
      <c r="DF31" s="932"/>
      <c r="DG31" s="932"/>
      <c r="DH31" s="932"/>
      <c r="DI31" s="932"/>
      <c r="DJ31" s="932"/>
      <c r="DK31" s="932"/>
      <c r="DL31" s="932"/>
      <c r="DM31" s="932"/>
      <c r="DN31" s="932"/>
      <c r="DO31" s="932"/>
      <c r="DP31" s="932"/>
      <c r="DQ31" s="932"/>
      <c r="DR31" s="932"/>
      <c r="DS31" s="932"/>
      <c r="DT31" s="932"/>
      <c r="DU31" s="932"/>
      <c r="DV31" s="932"/>
      <c r="DW31" s="932"/>
      <c r="DX31" s="932"/>
      <c r="DY31" s="932"/>
      <c r="DZ31" s="932"/>
      <c r="EA31" s="932"/>
      <c r="EB31" s="932"/>
      <c r="EC31" s="932"/>
      <c r="ED31" s="932"/>
      <c r="EE31" s="932"/>
      <c r="EF31" s="932"/>
      <c r="EG31" s="932"/>
      <c r="EH31" s="932"/>
      <c r="EI31" s="932"/>
      <c r="EJ31" s="932"/>
      <c r="EK31" s="932"/>
      <c r="EL31" s="932"/>
      <c r="EM31" s="932"/>
      <c r="EN31" s="932"/>
      <c r="EO31" s="932"/>
      <c r="EP31" s="932"/>
      <c r="EQ31" s="932"/>
      <c r="ER31" s="932"/>
      <c r="ES31" s="932"/>
      <c r="ET31" s="932"/>
      <c r="EU31" s="932"/>
      <c r="EV31" s="932"/>
      <c r="EW31" s="932"/>
      <c r="EX31" s="932"/>
      <c r="EY31" s="932"/>
      <c r="EZ31" s="932"/>
      <c r="FA31" s="932"/>
      <c r="FB31" s="932"/>
      <c r="FC31" s="932"/>
      <c r="FD31" s="932"/>
      <c r="FE31" s="932"/>
      <c r="FF31" s="932"/>
      <c r="FG31" s="932"/>
      <c r="FH31" s="932"/>
      <c r="FI31" s="932"/>
      <c r="FJ31" s="932"/>
      <c r="FK31" s="932"/>
      <c r="FL31" s="932"/>
      <c r="FM31" s="932"/>
    </row>
    <row r="32" spans="1:169" s="1194" customFormat="1" ht="17.399999999999999">
      <c r="A32" s="1195">
        <f t="shared" si="6"/>
        <v>8</v>
      </c>
      <c r="B32" s="2043"/>
      <c r="C32" s="1196"/>
      <c r="D32" s="2044"/>
      <c r="E32" s="1202"/>
      <c r="F32" s="1197"/>
      <c r="G32" s="1175">
        <f t="shared" si="2"/>
        <v>0</v>
      </c>
      <c r="H32" s="1176"/>
      <c r="I32" s="1177"/>
      <c r="J32" s="1177"/>
      <c r="K32" s="1177"/>
      <c r="L32" s="1177"/>
      <c r="M32" s="1177"/>
      <c r="N32" s="1177"/>
      <c r="O32" s="1177"/>
      <c r="P32" s="1177"/>
      <c r="Q32" s="1197"/>
      <c r="R32" s="1198">
        <f t="shared" si="3"/>
        <v>0</v>
      </c>
      <c r="S32" s="1199" t="e">
        <f t="shared" si="4"/>
        <v>#DIV/0!</v>
      </c>
      <c r="T32" s="1180"/>
      <c r="U32" s="1180"/>
      <c r="V32" s="1203"/>
      <c r="W32" s="1648"/>
      <c r="X32" s="2030" t="str">
        <f t="shared" si="7"/>
        <v xml:space="preserve"> </v>
      </c>
      <c r="Y32" s="1186"/>
      <c r="Z32" s="1183"/>
      <c r="AA32" s="1186"/>
      <c r="AB32" s="1183"/>
      <c r="AC32" s="1186"/>
      <c r="AD32" s="1183"/>
      <c r="AE32" s="1186"/>
      <c r="AF32" s="1183"/>
      <c r="AG32" s="1184"/>
      <c r="AH32" s="1185"/>
      <c r="AI32" s="1186"/>
      <c r="AJ32" s="2127"/>
      <c r="AK32" s="1187"/>
      <c r="AL32" s="1187"/>
      <c r="AM32" s="1187"/>
      <c r="AN32" s="1186"/>
      <c r="AO32" s="1204"/>
      <c r="AP32" s="2116"/>
      <c r="AQ32" s="2122"/>
      <c r="AR32" s="1187"/>
      <c r="AS32" s="1187"/>
      <c r="AT32" s="1187"/>
      <c r="AU32" s="1189"/>
      <c r="AV32" s="1187"/>
      <c r="AW32" s="2127"/>
      <c r="AX32" s="1187"/>
      <c r="AY32" s="1187"/>
      <c r="AZ32" s="1183"/>
      <c r="BA32" s="1652">
        <f>IF(OR(C32=R$7,C32=R$8,C32=R$9,C32=R$10,C32=R$11),'Site Vist fomat  (Design)'!I$64,0)</f>
        <v>0</v>
      </c>
      <c r="BB32" s="1190"/>
      <c r="BC32" s="1191"/>
      <c r="BD32" s="1191"/>
      <c r="BE32" s="1191"/>
      <c r="BF32" s="1192">
        <f t="shared" si="5"/>
        <v>0</v>
      </c>
      <c r="BG32" s="1191"/>
      <c r="BH32" s="1193"/>
      <c r="CJ32" s="932"/>
      <c r="CU32" s="932"/>
      <c r="CV32" s="932"/>
      <c r="CW32" s="932"/>
      <c r="CX32" s="932"/>
      <c r="CY32" s="932"/>
      <c r="CZ32" s="932"/>
      <c r="DA32" s="932"/>
      <c r="DB32" s="932"/>
      <c r="DC32" s="932"/>
      <c r="DD32" s="932"/>
      <c r="DE32" s="932"/>
      <c r="DF32" s="932"/>
      <c r="DG32" s="932"/>
      <c r="DH32" s="932"/>
      <c r="DI32" s="932"/>
      <c r="DJ32" s="932"/>
      <c r="DK32" s="932"/>
      <c r="DL32" s="932"/>
      <c r="DM32" s="932"/>
      <c r="DN32" s="932"/>
      <c r="DO32" s="932"/>
      <c r="DP32" s="932"/>
      <c r="DQ32" s="932"/>
      <c r="DR32" s="932"/>
      <c r="DS32" s="932"/>
      <c r="DT32" s="932"/>
      <c r="DU32" s="932"/>
      <c r="DV32" s="932"/>
      <c r="DW32" s="932"/>
      <c r="DX32" s="932"/>
      <c r="DY32" s="932"/>
      <c r="DZ32" s="932"/>
      <c r="EA32" s="932"/>
      <c r="EB32" s="932"/>
      <c r="EC32" s="932"/>
      <c r="ED32" s="932"/>
      <c r="EE32" s="932"/>
      <c r="EF32" s="932"/>
      <c r="EG32" s="932"/>
      <c r="EH32" s="932"/>
      <c r="EI32" s="932"/>
      <c r="EJ32" s="932"/>
      <c r="EK32" s="932"/>
      <c r="EL32" s="932"/>
      <c r="EM32" s="932"/>
      <c r="EN32" s="932"/>
      <c r="EO32" s="932"/>
      <c r="EP32" s="932"/>
      <c r="EQ32" s="932"/>
      <c r="ER32" s="932"/>
      <c r="ES32" s="932"/>
      <c r="ET32" s="932"/>
      <c r="EU32" s="932"/>
      <c r="EV32" s="932"/>
      <c r="EW32" s="932"/>
      <c r="EX32" s="932"/>
      <c r="EY32" s="932"/>
      <c r="EZ32" s="932"/>
      <c r="FA32" s="932"/>
      <c r="FB32" s="932"/>
      <c r="FC32" s="932"/>
      <c r="FD32" s="932"/>
      <c r="FE32" s="932"/>
      <c r="FF32" s="932"/>
      <c r="FG32" s="932"/>
      <c r="FH32" s="932"/>
      <c r="FI32" s="932"/>
      <c r="FJ32" s="932"/>
      <c r="FK32" s="932"/>
      <c r="FL32" s="932"/>
      <c r="FM32" s="932"/>
    </row>
    <row r="33" spans="1:169" s="1194" customFormat="1" ht="17.399999999999999">
      <c r="A33" s="1195">
        <f t="shared" si="6"/>
        <v>9</v>
      </c>
      <c r="B33" s="2043"/>
      <c r="C33" s="1196"/>
      <c r="D33" s="2044"/>
      <c r="E33" s="1202"/>
      <c r="F33" s="1197"/>
      <c r="G33" s="1175">
        <f t="shared" si="2"/>
        <v>0</v>
      </c>
      <c r="H33" s="1176"/>
      <c r="I33" s="1177"/>
      <c r="J33" s="1177"/>
      <c r="K33" s="1177"/>
      <c r="L33" s="1177"/>
      <c r="M33" s="1205"/>
      <c r="N33" s="1205"/>
      <c r="O33" s="1205"/>
      <c r="P33" s="1205"/>
      <c r="Q33" s="1206"/>
      <c r="R33" s="1198">
        <f t="shared" si="3"/>
        <v>0</v>
      </c>
      <c r="S33" s="1199" t="e">
        <f t="shared" si="4"/>
        <v>#DIV/0!</v>
      </c>
      <c r="T33" s="1180"/>
      <c r="U33" s="1180"/>
      <c r="V33" s="1203"/>
      <c r="W33" s="1648"/>
      <c r="X33" s="2030" t="str">
        <f t="shared" si="7"/>
        <v xml:space="preserve"> </v>
      </c>
      <c r="Y33" s="1186"/>
      <c r="Z33" s="1183"/>
      <c r="AA33" s="1186"/>
      <c r="AB33" s="1183"/>
      <c r="AC33" s="1186"/>
      <c r="AD33" s="1183"/>
      <c r="AE33" s="1186"/>
      <c r="AF33" s="1183"/>
      <c r="AG33" s="1184"/>
      <c r="AH33" s="1185"/>
      <c r="AI33" s="1186"/>
      <c r="AJ33" s="2127"/>
      <c r="AK33" s="1187"/>
      <c r="AL33" s="1187"/>
      <c r="AM33" s="1187"/>
      <c r="AN33" s="1186"/>
      <c r="AO33" s="1204"/>
      <c r="AP33" s="2116"/>
      <c r="AQ33" s="2122"/>
      <c r="AR33" s="1187"/>
      <c r="AS33" s="1187"/>
      <c r="AT33" s="1187"/>
      <c r="AU33" s="1189"/>
      <c r="AV33" s="1187"/>
      <c r="AW33" s="2127"/>
      <c r="AX33" s="1187"/>
      <c r="AY33" s="1187"/>
      <c r="AZ33" s="1183"/>
      <c r="BA33" s="1652">
        <f>IF(OR(C33=R$7,C33=R$8,C33=R$9,C33=R$10,C33=R$11),'Site Vist fomat  (Design)'!J$64,0)</f>
        <v>0</v>
      </c>
      <c r="BB33" s="1190"/>
      <c r="BC33" s="1191"/>
      <c r="BD33" s="1191"/>
      <c r="BE33" s="1191"/>
      <c r="BF33" s="1192">
        <f t="shared" si="5"/>
        <v>0</v>
      </c>
      <c r="BG33" s="1191"/>
      <c r="BH33" s="1193"/>
      <c r="CJ33" s="932"/>
      <c r="CU33" s="932"/>
      <c r="CV33" s="932"/>
      <c r="CW33" s="932"/>
      <c r="CX33" s="932"/>
      <c r="CY33" s="932"/>
      <c r="CZ33" s="932"/>
      <c r="DA33" s="932"/>
      <c r="DB33" s="932"/>
      <c r="DC33" s="932"/>
      <c r="DD33" s="932"/>
      <c r="DE33" s="932"/>
      <c r="DF33" s="932"/>
      <c r="DG33" s="932"/>
      <c r="DH33" s="932"/>
      <c r="DI33" s="932"/>
      <c r="DJ33" s="932"/>
      <c r="DK33" s="932"/>
      <c r="DL33" s="932"/>
      <c r="DM33" s="932"/>
      <c r="DN33" s="932"/>
      <c r="DO33" s="932"/>
      <c r="DP33" s="932"/>
      <c r="DQ33" s="932"/>
      <c r="DR33" s="932"/>
      <c r="DS33" s="932"/>
      <c r="DT33" s="932"/>
      <c r="DU33" s="932"/>
      <c r="DV33" s="932"/>
      <c r="DW33" s="932"/>
      <c r="DX33" s="932"/>
      <c r="DY33" s="932"/>
      <c r="DZ33" s="932"/>
      <c r="EA33" s="932"/>
      <c r="EB33" s="932"/>
      <c r="EC33" s="932"/>
      <c r="ED33" s="932"/>
      <c r="EE33" s="932"/>
      <c r="EF33" s="932"/>
      <c r="EG33" s="932"/>
      <c r="EH33" s="932"/>
      <c r="EI33" s="932"/>
      <c r="EJ33" s="932"/>
      <c r="EK33" s="932"/>
      <c r="EL33" s="932"/>
      <c r="EM33" s="932"/>
      <c r="EN33" s="932"/>
      <c r="EO33" s="932"/>
      <c r="EP33" s="932"/>
      <c r="EQ33" s="932"/>
      <c r="ER33" s="932"/>
      <c r="ES33" s="932"/>
      <c r="ET33" s="932"/>
      <c r="EU33" s="932"/>
      <c r="EV33" s="932"/>
      <c r="EW33" s="932"/>
      <c r="EX33" s="932"/>
      <c r="EY33" s="932"/>
      <c r="EZ33" s="932"/>
      <c r="FA33" s="932"/>
      <c r="FB33" s="932"/>
      <c r="FC33" s="932"/>
      <c r="FD33" s="932"/>
      <c r="FE33" s="932"/>
      <c r="FF33" s="932"/>
      <c r="FG33" s="932"/>
      <c r="FH33" s="932"/>
      <c r="FI33" s="932"/>
      <c r="FJ33" s="932"/>
      <c r="FK33" s="932"/>
      <c r="FL33" s="932"/>
      <c r="FM33" s="932"/>
    </row>
    <row r="34" spans="1:169" s="1194" customFormat="1" ht="17.399999999999999">
      <c r="A34" s="1195">
        <f t="shared" si="6"/>
        <v>10</v>
      </c>
      <c r="B34" s="2043"/>
      <c r="C34" s="1196"/>
      <c r="D34" s="2044"/>
      <c r="E34" s="1202"/>
      <c r="F34" s="1197"/>
      <c r="G34" s="1175">
        <f t="shared" si="2"/>
        <v>0</v>
      </c>
      <c r="H34" s="1176"/>
      <c r="I34" s="1177"/>
      <c r="J34" s="1177"/>
      <c r="K34" s="1177"/>
      <c r="L34" s="1177"/>
      <c r="M34" s="1177"/>
      <c r="N34" s="1177"/>
      <c r="O34" s="1177"/>
      <c r="P34" s="1177"/>
      <c r="Q34" s="1197"/>
      <c r="R34" s="1198">
        <f t="shared" si="3"/>
        <v>0</v>
      </c>
      <c r="S34" s="1199" t="e">
        <f t="shared" si="4"/>
        <v>#DIV/0!</v>
      </c>
      <c r="T34" s="1180"/>
      <c r="U34" s="1180"/>
      <c r="V34" s="1203"/>
      <c r="W34" s="1648"/>
      <c r="X34" s="2030" t="str">
        <f t="shared" si="7"/>
        <v xml:space="preserve"> </v>
      </c>
      <c r="Y34" s="1186"/>
      <c r="Z34" s="1183"/>
      <c r="AA34" s="1186"/>
      <c r="AB34" s="1183"/>
      <c r="AC34" s="1186"/>
      <c r="AD34" s="1183"/>
      <c r="AE34" s="1186"/>
      <c r="AF34" s="1183"/>
      <c r="AG34" s="1184"/>
      <c r="AH34" s="1185"/>
      <c r="AI34" s="1186"/>
      <c r="AJ34" s="2127"/>
      <c r="AK34" s="1187"/>
      <c r="AL34" s="1187"/>
      <c r="AM34" s="1187"/>
      <c r="AN34" s="1186"/>
      <c r="AO34" s="1204"/>
      <c r="AP34" s="2116"/>
      <c r="AQ34" s="2122"/>
      <c r="AR34" s="1187"/>
      <c r="AS34" s="1187"/>
      <c r="AT34" s="1187"/>
      <c r="AU34" s="1189"/>
      <c r="AV34" s="1187"/>
      <c r="AW34" s="2127"/>
      <c r="AX34" s="1187"/>
      <c r="AY34" s="1187"/>
      <c r="AZ34" s="1183"/>
      <c r="BA34" s="1652">
        <f>IF(OR(C34=R$7,C34=R$8,C34=R$9,C34=R$10,C34=R$11),'Site Vist fomat  (Design)'!K$64,0)</f>
        <v>0</v>
      </c>
      <c r="BB34" s="1190"/>
      <c r="BC34" s="1191"/>
      <c r="BD34" s="1191"/>
      <c r="BE34" s="1191"/>
      <c r="BF34" s="1192">
        <f t="shared" si="5"/>
        <v>0</v>
      </c>
      <c r="BG34" s="1191"/>
      <c r="BH34" s="1193"/>
      <c r="CJ34" s="932"/>
      <c r="CU34" s="932"/>
      <c r="CV34" s="932"/>
      <c r="CW34" s="932"/>
      <c r="CX34" s="932"/>
      <c r="CY34" s="932"/>
      <c r="CZ34" s="932"/>
      <c r="DA34" s="932"/>
      <c r="DB34" s="932"/>
      <c r="DC34" s="932"/>
      <c r="DD34" s="932"/>
      <c r="DE34" s="932"/>
      <c r="DF34" s="932"/>
      <c r="DG34" s="932"/>
      <c r="DH34" s="932"/>
      <c r="DI34" s="932"/>
      <c r="DJ34" s="932"/>
      <c r="DK34" s="932"/>
      <c r="DL34" s="932"/>
      <c r="DM34" s="932"/>
      <c r="DN34" s="932"/>
      <c r="DO34" s="932"/>
      <c r="DP34" s="932"/>
      <c r="DQ34" s="932"/>
      <c r="DR34" s="932"/>
      <c r="DS34" s="932"/>
      <c r="DT34" s="932"/>
      <c r="DU34" s="932"/>
      <c r="DV34" s="932"/>
      <c r="DW34" s="932"/>
      <c r="DX34" s="932"/>
      <c r="DY34" s="932"/>
      <c r="DZ34" s="932"/>
      <c r="EA34" s="932"/>
      <c r="EB34" s="932"/>
      <c r="EC34" s="932"/>
      <c r="ED34" s="932"/>
      <c r="EE34" s="932"/>
      <c r="EF34" s="932"/>
      <c r="EG34" s="932"/>
      <c r="EH34" s="932"/>
      <c r="EI34" s="932"/>
      <c r="EJ34" s="932"/>
      <c r="EK34" s="932"/>
      <c r="EL34" s="932"/>
      <c r="EM34" s="932"/>
      <c r="EN34" s="932"/>
      <c r="EO34" s="932"/>
      <c r="EP34" s="932"/>
      <c r="EQ34" s="932"/>
      <c r="ER34" s="932"/>
      <c r="ES34" s="932"/>
      <c r="ET34" s="932"/>
      <c r="EU34" s="932"/>
      <c r="EV34" s="932"/>
      <c r="EW34" s="932"/>
      <c r="EX34" s="932"/>
      <c r="EY34" s="932"/>
      <c r="EZ34" s="932"/>
      <c r="FA34" s="932"/>
      <c r="FB34" s="932"/>
      <c r="FC34" s="932"/>
      <c r="FD34" s="932"/>
      <c r="FE34" s="932"/>
      <c r="FF34" s="932"/>
      <c r="FG34" s="932"/>
      <c r="FH34" s="932"/>
      <c r="FI34" s="932"/>
      <c r="FJ34" s="932"/>
      <c r="FK34" s="932"/>
      <c r="FL34" s="932"/>
      <c r="FM34" s="932"/>
    </row>
    <row r="35" spans="1:169" s="1194" customFormat="1" ht="17.399999999999999">
      <c r="A35" s="1195">
        <f t="shared" si="6"/>
        <v>11</v>
      </c>
      <c r="B35" s="2043"/>
      <c r="C35" s="1196"/>
      <c r="D35" s="2044"/>
      <c r="E35" s="1202"/>
      <c r="F35" s="1197"/>
      <c r="G35" s="1175">
        <f t="shared" si="2"/>
        <v>0</v>
      </c>
      <c r="H35" s="1176"/>
      <c r="I35" s="1177"/>
      <c r="J35" s="1177"/>
      <c r="K35" s="1177"/>
      <c r="L35" s="1177"/>
      <c r="M35" s="1177"/>
      <c r="N35" s="1177"/>
      <c r="O35" s="1177"/>
      <c r="P35" s="1177"/>
      <c r="Q35" s="1197"/>
      <c r="R35" s="1198">
        <f t="shared" si="3"/>
        <v>0</v>
      </c>
      <c r="S35" s="1199" t="e">
        <f t="shared" si="4"/>
        <v>#DIV/0!</v>
      </c>
      <c r="T35" s="1180"/>
      <c r="U35" s="1180"/>
      <c r="V35" s="1203"/>
      <c r="W35" s="1648"/>
      <c r="X35" s="2030" t="str">
        <f t="shared" si="7"/>
        <v xml:space="preserve"> </v>
      </c>
      <c r="Y35" s="1186"/>
      <c r="Z35" s="1183"/>
      <c r="AA35" s="1186"/>
      <c r="AB35" s="1183"/>
      <c r="AC35" s="1186"/>
      <c r="AD35" s="1183"/>
      <c r="AE35" s="1186"/>
      <c r="AF35" s="1183"/>
      <c r="AG35" s="1184"/>
      <c r="AH35" s="1185"/>
      <c r="AI35" s="1186"/>
      <c r="AJ35" s="2127"/>
      <c r="AK35" s="1187"/>
      <c r="AL35" s="1187"/>
      <c r="AM35" s="1187"/>
      <c r="AN35" s="1186"/>
      <c r="AO35" s="1204"/>
      <c r="AP35" s="2116"/>
      <c r="AQ35" s="2122"/>
      <c r="AR35" s="1187"/>
      <c r="AS35" s="1187"/>
      <c r="AT35" s="1187"/>
      <c r="AU35" s="1189"/>
      <c r="AV35" s="1187"/>
      <c r="AW35" s="2127"/>
      <c r="AX35" s="1187"/>
      <c r="AY35" s="1187"/>
      <c r="AZ35" s="1183"/>
      <c r="BA35" s="1652">
        <f>IF(OR(C35=R$7,C35=R$8,C35=R$9,C35=R$10,C35=R$11),'Site Vist fomat  (Design)'!L$64,0)</f>
        <v>0</v>
      </c>
      <c r="BB35" s="1190"/>
      <c r="BC35" s="1191"/>
      <c r="BD35" s="1191"/>
      <c r="BE35" s="1191"/>
      <c r="BF35" s="1192">
        <f t="shared" si="5"/>
        <v>0</v>
      </c>
      <c r="BG35" s="1191"/>
      <c r="BH35" s="1193"/>
      <c r="CJ35" s="932"/>
      <c r="CU35" s="932"/>
      <c r="CV35" s="932"/>
      <c r="CW35" s="932"/>
      <c r="CX35" s="932"/>
      <c r="CY35" s="932"/>
      <c r="CZ35" s="932"/>
      <c r="DA35" s="932"/>
      <c r="DB35" s="932"/>
      <c r="DC35" s="932"/>
      <c r="DD35" s="932"/>
      <c r="DE35" s="932"/>
      <c r="DF35" s="932"/>
      <c r="DG35" s="932"/>
      <c r="DH35" s="932"/>
      <c r="DI35" s="932"/>
      <c r="DJ35" s="932"/>
      <c r="DK35" s="932"/>
      <c r="DL35" s="932"/>
      <c r="DM35" s="932"/>
      <c r="DN35" s="932"/>
      <c r="DO35" s="932"/>
      <c r="DP35" s="932"/>
      <c r="DQ35" s="932"/>
      <c r="DR35" s="932"/>
      <c r="DS35" s="932"/>
      <c r="DT35" s="932"/>
      <c r="DU35" s="932"/>
      <c r="DV35" s="932"/>
      <c r="DW35" s="932"/>
      <c r="DX35" s="932"/>
      <c r="DY35" s="932"/>
      <c r="DZ35" s="932"/>
      <c r="EA35" s="932"/>
      <c r="EB35" s="932"/>
      <c r="EC35" s="932"/>
      <c r="ED35" s="932"/>
      <c r="EE35" s="932"/>
      <c r="EF35" s="932"/>
      <c r="EG35" s="932"/>
      <c r="EH35" s="932"/>
      <c r="EI35" s="932"/>
      <c r="EJ35" s="932"/>
      <c r="EK35" s="932"/>
      <c r="EL35" s="932"/>
      <c r="EM35" s="932"/>
      <c r="EN35" s="932"/>
      <c r="EO35" s="932"/>
      <c r="EP35" s="932"/>
      <c r="EQ35" s="932"/>
      <c r="ER35" s="932"/>
      <c r="ES35" s="932"/>
      <c r="ET35" s="932"/>
      <c r="EU35" s="932"/>
      <c r="EV35" s="932"/>
      <c r="EW35" s="932"/>
      <c r="EX35" s="932"/>
      <c r="EY35" s="932"/>
      <c r="EZ35" s="932"/>
      <c r="FA35" s="932"/>
      <c r="FB35" s="932"/>
      <c r="FC35" s="932"/>
      <c r="FD35" s="932"/>
      <c r="FE35" s="932"/>
      <c r="FF35" s="932"/>
      <c r="FG35" s="932"/>
      <c r="FH35" s="932"/>
      <c r="FI35" s="932"/>
      <c r="FJ35" s="932"/>
      <c r="FK35" s="932"/>
      <c r="FL35" s="932"/>
      <c r="FM35" s="932"/>
    </row>
    <row r="36" spans="1:169" s="1194" customFormat="1" ht="18" customHeight="1">
      <c r="A36" s="1195">
        <f t="shared" si="6"/>
        <v>12</v>
      </c>
      <c r="B36" s="2043"/>
      <c r="C36" s="1196"/>
      <c r="D36" s="2044"/>
      <c r="E36" s="1202"/>
      <c r="F36" s="1197"/>
      <c r="G36" s="1175">
        <f t="shared" si="2"/>
        <v>0</v>
      </c>
      <c r="H36" s="1176"/>
      <c r="I36" s="1177"/>
      <c r="J36" s="1177"/>
      <c r="K36" s="1177"/>
      <c r="L36" s="1177"/>
      <c r="M36" s="1177"/>
      <c r="N36" s="1177"/>
      <c r="O36" s="1177"/>
      <c r="P36" s="1177"/>
      <c r="Q36" s="1197"/>
      <c r="R36" s="1198">
        <f t="shared" si="3"/>
        <v>0</v>
      </c>
      <c r="S36" s="1199" t="e">
        <f t="shared" si="4"/>
        <v>#DIV/0!</v>
      </c>
      <c r="T36" s="1180"/>
      <c r="U36" s="1180"/>
      <c r="V36" s="1203"/>
      <c r="W36" s="1648"/>
      <c r="X36" s="2030" t="str">
        <f t="shared" si="7"/>
        <v xml:space="preserve"> </v>
      </c>
      <c r="Y36" s="1186"/>
      <c r="Z36" s="1183"/>
      <c r="AA36" s="1186"/>
      <c r="AB36" s="1183"/>
      <c r="AC36" s="1186"/>
      <c r="AD36" s="1183"/>
      <c r="AE36" s="1186"/>
      <c r="AF36" s="1183"/>
      <c r="AG36" s="1184"/>
      <c r="AH36" s="1185"/>
      <c r="AI36" s="1186"/>
      <c r="AJ36" s="2127"/>
      <c r="AK36" s="1187"/>
      <c r="AL36" s="1187"/>
      <c r="AM36" s="1187"/>
      <c r="AN36" s="1186"/>
      <c r="AO36" s="1204"/>
      <c r="AP36" s="2116"/>
      <c r="AQ36" s="2122"/>
      <c r="AR36" s="1187"/>
      <c r="AS36" s="1187"/>
      <c r="AT36" s="1187"/>
      <c r="AU36" s="1189"/>
      <c r="AV36" s="1187"/>
      <c r="AW36" s="2127"/>
      <c r="AX36" s="1187"/>
      <c r="AY36" s="1187"/>
      <c r="AZ36" s="1183"/>
      <c r="BA36" s="1652">
        <f>IF(OR(C36=R$7,C36=R$8,C36=R$9,C36=R$10,C36=R$11),'Site Vist fomat  (Design)'!M$64,0)</f>
        <v>0</v>
      </c>
      <c r="BB36" s="1190"/>
      <c r="BC36" s="1191"/>
      <c r="BD36" s="1191"/>
      <c r="BE36" s="1191"/>
      <c r="BF36" s="1192">
        <f t="shared" si="5"/>
        <v>0</v>
      </c>
      <c r="BG36" s="1191"/>
      <c r="BH36" s="1193"/>
      <c r="CJ36" s="932"/>
      <c r="CU36" s="932"/>
      <c r="CV36" s="932"/>
      <c r="CW36" s="932"/>
      <c r="CX36" s="932"/>
      <c r="CY36" s="932"/>
      <c r="CZ36" s="932"/>
      <c r="DA36" s="932"/>
      <c r="DB36" s="932"/>
      <c r="DC36" s="932"/>
      <c r="DD36" s="932"/>
      <c r="DE36" s="932"/>
      <c r="DF36" s="932"/>
      <c r="DG36" s="932"/>
      <c r="DH36" s="932"/>
      <c r="DI36" s="932"/>
      <c r="DJ36" s="932"/>
      <c r="DK36" s="932"/>
      <c r="DL36" s="932"/>
      <c r="DM36" s="932"/>
      <c r="DN36" s="932"/>
      <c r="DO36" s="932"/>
      <c r="DP36" s="932"/>
      <c r="DQ36" s="932"/>
      <c r="DR36" s="932"/>
      <c r="DS36" s="932"/>
      <c r="DT36" s="932"/>
      <c r="DU36" s="932"/>
      <c r="DV36" s="932"/>
      <c r="DW36" s="932"/>
      <c r="DX36" s="932"/>
      <c r="DY36" s="932"/>
      <c r="DZ36" s="932"/>
      <c r="EA36" s="932"/>
      <c r="EB36" s="932"/>
      <c r="EC36" s="932"/>
      <c r="ED36" s="932"/>
      <c r="EE36" s="932"/>
      <c r="EF36" s="932"/>
      <c r="EG36" s="932"/>
      <c r="EH36" s="932"/>
      <c r="EI36" s="932"/>
      <c r="EJ36" s="932"/>
      <c r="EK36" s="932"/>
      <c r="EL36" s="932"/>
      <c r="EM36" s="932"/>
      <c r="EN36" s="932"/>
      <c r="EO36" s="932"/>
      <c r="EP36" s="932"/>
      <c r="EQ36" s="932"/>
      <c r="ER36" s="932"/>
      <c r="ES36" s="932"/>
      <c r="ET36" s="932"/>
      <c r="EU36" s="932"/>
      <c r="EV36" s="932"/>
      <c r="EW36" s="932"/>
      <c r="EX36" s="932"/>
      <c r="EY36" s="932"/>
      <c r="EZ36" s="932"/>
      <c r="FA36" s="932"/>
      <c r="FB36" s="932"/>
      <c r="FC36" s="932"/>
      <c r="FD36" s="932"/>
      <c r="FE36" s="932"/>
      <c r="FF36" s="932"/>
      <c r="FG36" s="932"/>
      <c r="FH36" s="932"/>
      <c r="FI36" s="932"/>
      <c r="FJ36" s="932"/>
      <c r="FK36" s="932"/>
      <c r="FL36" s="932"/>
      <c r="FM36" s="932"/>
    </row>
    <row r="37" spans="1:169" s="1194" customFormat="1" ht="17.399999999999999">
      <c r="A37" s="1195">
        <f t="shared" si="6"/>
        <v>13</v>
      </c>
      <c r="B37" s="2043"/>
      <c r="C37" s="1196"/>
      <c r="D37" s="2044"/>
      <c r="E37" s="1202"/>
      <c r="F37" s="1197"/>
      <c r="G37" s="1175">
        <f t="shared" si="2"/>
        <v>0</v>
      </c>
      <c r="H37" s="1176"/>
      <c r="I37" s="1177"/>
      <c r="J37" s="1177"/>
      <c r="K37" s="1177"/>
      <c r="L37" s="1177"/>
      <c r="M37" s="1177"/>
      <c r="N37" s="1177"/>
      <c r="O37" s="1177"/>
      <c r="P37" s="1177"/>
      <c r="Q37" s="1197"/>
      <c r="R37" s="1198">
        <f t="shared" si="3"/>
        <v>0</v>
      </c>
      <c r="S37" s="1199" t="e">
        <f t="shared" si="4"/>
        <v>#DIV/0!</v>
      </c>
      <c r="T37" s="1180"/>
      <c r="U37" s="1180"/>
      <c r="V37" s="1203"/>
      <c r="W37" s="1648"/>
      <c r="X37" s="2030" t="str">
        <f t="shared" si="7"/>
        <v xml:space="preserve"> </v>
      </c>
      <c r="Y37" s="1186"/>
      <c r="Z37" s="1183"/>
      <c r="AA37" s="1186"/>
      <c r="AB37" s="1183"/>
      <c r="AC37" s="1186"/>
      <c r="AD37" s="1183"/>
      <c r="AE37" s="1186"/>
      <c r="AF37" s="1183"/>
      <c r="AG37" s="1184"/>
      <c r="AH37" s="1185"/>
      <c r="AI37" s="1186"/>
      <c r="AJ37" s="2127"/>
      <c r="AK37" s="1187"/>
      <c r="AL37" s="1187"/>
      <c r="AM37" s="1187"/>
      <c r="AN37" s="1186"/>
      <c r="AO37" s="1204"/>
      <c r="AP37" s="2116"/>
      <c r="AQ37" s="2122"/>
      <c r="AR37" s="1187"/>
      <c r="AS37" s="1187"/>
      <c r="AT37" s="1187"/>
      <c r="AU37" s="1189"/>
      <c r="AV37" s="1187"/>
      <c r="AW37" s="2127"/>
      <c r="AX37" s="1187"/>
      <c r="AY37" s="1187"/>
      <c r="AZ37" s="1183"/>
      <c r="BA37" s="1652">
        <f>IF(OR(C37=R$7,C37=R$8,C37=R$9,C37=R$10,C37=R$11),'Site Vist fomat  (Design)'!N$64,0)</f>
        <v>0</v>
      </c>
      <c r="BB37" s="1190"/>
      <c r="BC37" s="1191"/>
      <c r="BD37" s="1191"/>
      <c r="BE37" s="1191"/>
      <c r="BF37" s="1192">
        <f t="shared" si="5"/>
        <v>0</v>
      </c>
      <c r="BG37" s="1191"/>
      <c r="BH37" s="1193"/>
      <c r="CJ37" s="932"/>
      <c r="CU37" s="932"/>
      <c r="CV37" s="932"/>
      <c r="CW37" s="932"/>
      <c r="CX37" s="932"/>
      <c r="CY37" s="932"/>
      <c r="CZ37" s="932"/>
      <c r="DA37" s="932"/>
      <c r="DB37" s="932"/>
      <c r="DC37" s="932"/>
      <c r="DD37" s="932"/>
      <c r="DE37" s="932"/>
      <c r="DF37" s="932"/>
      <c r="DG37" s="932"/>
      <c r="DH37" s="932"/>
      <c r="DI37" s="932"/>
      <c r="DJ37" s="932"/>
      <c r="DK37" s="932"/>
      <c r="DL37" s="932"/>
      <c r="DM37" s="932"/>
      <c r="DN37" s="932"/>
      <c r="DO37" s="932"/>
      <c r="DP37" s="932"/>
      <c r="DQ37" s="932"/>
      <c r="DR37" s="932"/>
      <c r="DS37" s="932"/>
      <c r="DT37" s="932"/>
      <c r="DU37" s="932"/>
      <c r="DV37" s="932"/>
      <c r="DW37" s="932"/>
      <c r="DX37" s="932"/>
      <c r="DY37" s="932"/>
      <c r="DZ37" s="932"/>
      <c r="EA37" s="932"/>
      <c r="EB37" s="932"/>
      <c r="EC37" s="932"/>
      <c r="ED37" s="932"/>
      <c r="EE37" s="932"/>
      <c r="EF37" s="932"/>
      <c r="EG37" s="932"/>
      <c r="EH37" s="932"/>
      <c r="EI37" s="932"/>
      <c r="EJ37" s="932"/>
      <c r="EK37" s="932"/>
      <c r="EL37" s="932"/>
      <c r="EM37" s="932"/>
      <c r="EN37" s="932"/>
      <c r="EO37" s="932"/>
      <c r="EP37" s="932"/>
      <c r="EQ37" s="932"/>
      <c r="ER37" s="932"/>
      <c r="ES37" s="932"/>
      <c r="ET37" s="932"/>
      <c r="EU37" s="932"/>
      <c r="EV37" s="932"/>
      <c r="EW37" s="932"/>
      <c r="EX37" s="932"/>
      <c r="EY37" s="932"/>
      <c r="EZ37" s="932"/>
      <c r="FA37" s="932"/>
      <c r="FB37" s="932"/>
      <c r="FC37" s="932"/>
      <c r="FD37" s="932"/>
      <c r="FE37" s="932"/>
      <c r="FF37" s="932"/>
      <c r="FG37" s="932"/>
      <c r="FH37" s="932"/>
      <c r="FI37" s="932"/>
      <c r="FJ37" s="932"/>
      <c r="FK37" s="932"/>
      <c r="FL37" s="932"/>
      <c r="FM37" s="932"/>
    </row>
    <row r="38" spans="1:169" s="1194" customFormat="1" ht="17.399999999999999">
      <c r="A38" s="1195">
        <f t="shared" si="6"/>
        <v>14</v>
      </c>
      <c r="B38" s="2043"/>
      <c r="C38" s="1196"/>
      <c r="D38" s="2044"/>
      <c r="E38" s="1202"/>
      <c r="F38" s="1197"/>
      <c r="G38" s="1175">
        <f t="shared" si="2"/>
        <v>0</v>
      </c>
      <c r="H38" s="1176"/>
      <c r="I38" s="1177"/>
      <c r="J38" s="1177"/>
      <c r="K38" s="1177"/>
      <c r="L38" s="1177"/>
      <c r="M38" s="1177"/>
      <c r="N38" s="1177"/>
      <c r="O38" s="1177"/>
      <c r="P38" s="1177"/>
      <c r="Q38" s="1197"/>
      <c r="R38" s="1198">
        <f t="shared" si="3"/>
        <v>0</v>
      </c>
      <c r="S38" s="1199" t="e">
        <f t="shared" si="4"/>
        <v>#DIV/0!</v>
      </c>
      <c r="T38" s="1180"/>
      <c r="U38" s="1180"/>
      <c r="V38" s="1203"/>
      <c r="W38" s="1648"/>
      <c r="X38" s="2030" t="str">
        <f t="shared" si="7"/>
        <v xml:space="preserve"> </v>
      </c>
      <c r="Y38" s="1186"/>
      <c r="Z38" s="1183"/>
      <c r="AA38" s="1186"/>
      <c r="AB38" s="1183"/>
      <c r="AC38" s="1186"/>
      <c r="AD38" s="1183"/>
      <c r="AE38" s="1186"/>
      <c r="AF38" s="1183"/>
      <c r="AG38" s="1184"/>
      <c r="AH38" s="1185"/>
      <c r="AI38" s="1186"/>
      <c r="AJ38" s="2127"/>
      <c r="AK38" s="1187"/>
      <c r="AL38" s="1187"/>
      <c r="AM38" s="1187"/>
      <c r="AN38" s="1186"/>
      <c r="AO38" s="1204"/>
      <c r="AP38" s="2116"/>
      <c r="AQ38" s="2122"/>
      <c r="AR38" s="1187"/>
      <c r="AS38" s="1187"/>
      <c r="AT38" s="1187"/>
      <c r="AU38" s="1189"/>
      <c r="AV38" s="1187"/>
      <c r="AW38" s="2127"/>
      <c r="AX38" s="1187"/>
      <c r="AY38" s="1187"/>
      <c r="AZ38" s="1183"/>
      <c r="BA38" s="1652">
        <f>IF(OR(C38=R$7,C38=R$8,C38=R$9,C38=R$10,C38=R$11),'Site Vist fomat  (Design)'!O$64,0)</f>
        <v>0</v>
      </c>
      <c r="BB38" s="1190"/>
      <c r="BC38" s="1191"/>
      <c r="BD38" s="1191"/>
      <c r="BE38" s="1191"/>
      <c r="BF38" s="1192">
        <f t="shared" si="5"/>
        <v>0</v>
      </c>
      <c r="BG38" s="1191"/>
      <c r="BH38" s="1193"/>
      <c r="CJ38" s="932"/>
      <c r="CU38" s="932"/>
      <c r="CV38" s="932"/>
      <c r="CW38" s="932"/>
      <c r="CX38" s="932"/>
      <c r="CY38" s="932"/>
      <c r="CZ38" s="932"/>
      <c r="DA38" s="932"/>
      <c r="DB38" s="932"/>
      <c r="DC38" s="932"/>
      <c r="DD38" s="932"/>
      <c r="DE38" s="932"/>
      <c r="DF38" s="932"/>
      <c r="DG38" s="932"/>
      <c r="DH38" s="932"/>
      <c r="DI38" s="932"/>
      <c r="DJ38" s="932"/>
      <c r="DK38" s="932"/>
      <c r="DL38" s="932"/>
      <c r="DM38" s="932"/>
      <c r="DN38" s="932"/>
      <c r="DO38" s="932"/>
      <c r="DP38" s="932"/>
      <c r="DQ38" s="932"/>
      <c r="DR38" s="932"/>
      <c r="DS38" s="932"/>
      <c r="DT38" s="932"/>
      <c r="DU38" s="932"/>
      <c r="DV38" s="932"/>
      <c r="DW38" s="932"/>
      <c r="DX38" s="932"/>
      <c r="DY38" s="932"/>
      <c r="DZ38" s="932"/>
      <c r="EA38" s="932"/>
      <c r="EB38" s="932"/>
      <c r="EC38" s="932"/>
      <c r="ED38" s="932"/>
      <c r="EE38" s="932"/>
      <c r="EF38" s="932"/>
      <c r="EG38" s="932"/>
      <c r="EH38" s="932"/>
      <c r="EI38" s="932"/>
      <c r="EJ38" s="932"/>
      <c r="EK38" s="932"/>
      <c r="EL38" s="932"/>
      <c r="EM38" s="932"/>
      <c r="EN38" s="932"/>
      <c r="EO38" s="932"/>
      <c r="EP38" s="932"/>
      <c r="EQ38" s="932"/>
      <c r="ER38" s="932"/>
      <c r="ES38" s="932"/>
      <c r="ET38" s="932"/>
      <c r="EU38" s="932"/>
      <c r="EV38" s="932"/>
      <c r="EW38" s="932"/>
      <c r="EX38" s="932"/>
      <c r="EY38" s="932"/>
      <c r="EZ38" s="932"/>
      <c r="FA38" s="932"/>
      <c r="FB38" s="932"/>
      <c r="FC38" s="932"/>
      <c r="FD38" s="932"/>
      <c r="FE38" s="932"/>
      <c r="FF38" s="932"/>
      <c r="FG38" s="932"/>
      <c r="FH38" s="932"/>
      <c r="FI38" s="932"/>
      <c r="FJ38" s="932"/>
      <c r="FK38" s="932"/>
      <c r="FL38" s="932"/>
      <c r="FM38" s="932"/>
    </row>
    <row r="39" spans="1:169" s="1194" customFormat="1" ht="17.399999999999999">
      <c r="A39" s="1195">
        <f t="shared" si="6"/>
        <v>15</v>
      </c>
      <c r="B39" s="2043"/>
      <c r="C39" s="1196"/>
      <c r="D39" s="2044"/>
      <c r="E39" s="1202"/>
      <c r="F39" s="1197"/>
      <c r="G39" s="1175">
        <f t="shared" si="2"/>
        <v>0</v>
      </c>
      <c r="H39" s="1176"/>
      <c r="I39" s="1177"/>
      <c r="J39" s="1177"/>
      <c r="K39" s="1177"/>
      <c r="L39" s="1177"/>
      <c r="M39" s="1177"/>
      <c r="N39" s="1177"/>
      <c r="O39" s="1177"/>
      <c r="P39" s="1177"/>
      <c r="Q39" s="1197"/>
      <c r="R39" s="1198">
        <f t="shared" si="3"/>
        <v>0</v>
      </c>
      <c r="S39" s="1199" t="e">
        <f t="shared" si="4"/>
        <v>#DIV/0!</v>
      </c>
      <c r="T39" s="1180"/>
      <c r="U39" s="1180"/>
      <c r="V39" s="1203"/>
      <c r="W39" s="1648"/>
      <c r="X39" s="2030" t="str">
        <f t="shared" si="7"/>
        <v xml:space="preserve"> </v>
      </c>
      <c r="Y39" s="1186"/>
      <c r="Z39" s="1183"/>
      <c r="AA39" s="1186"/>
      <c r="AB39" s="1183"/>
      <c r="AC39" s="1186"/>
      <c r="AD39" s="1183"/>
      <c r="AE39" s="1186"/>
      <c r="AF39" s="1183"/>
      <c r="AG39" s="1184"/>
      <c r="AH39" s="1185"/>
      <c r="AI39" s="1186"/>
      <c r="AJ39" s="2127"/>
      <c r="AK39" s="1187"/>
      <c r="AL39" s="1187"/>
      <c r="AM39" s="1187"/>
      <c r="AN39" s="1186"/>
      <c r="AO39" s="1204"/>
      <c r="AP39" s="2116"/>
      <c r="AQ39" s="2122"/>
      <c r="AR39" s="1187"/>
      <c r="AS39" s="1187"/>
      <c r="AT39" s="1187"/>
      <c r="AU39" s="1189"/>
      <c r="AV39" s="1187"/>
      <c r="AW39" s="2127"/>
      <c r="AX39" s="1187"/>
      <c r="AY39" s="1187"/>
      <c r="AZ39" s="1183"/>
      <c r="BA39" s="1652">
        <f>IF(OR(C39=R$7,C39=R$8,C39=R$9,C39=R$10,C39=R$11),'Site Vist fomat  (Design)'!P$64,0)</f>
        <v>0</v>
      </c>
      <c r="BB39" s="1190"/>
      <c r="BC39" s="1191"/>
      <c r="BD39" s="1191"/>
      <c r="BE39" s="1191"/>
      <c r="BF39" s="1192">
        <f t="shared" si="5"/>
        <v>0</v>
      </c>
      <c r="BG39" s="1191"/>
      <c r="BH39" s="1193"/>
      <c r="CJ39" s="932"/>
      <c r="CU39" s="932"/>
      <c r="CV39" s="932"/>
      <c r="CW39" s="932"/>
      <c r="CX39" s="932"/>
      <c r="CY39" s="932"/>
      <c r="CZ39" s="932"/>
      <c r="DA39" s="932"/>
      <c r="DB39" s="932"/>
      <c r="DC39" s="932"/>
      <c r="DD39" s="932"/>
      <c r="DE39" s="932"/>
      <c r="DF39" s="932"/>
      <c r="DG39" s="932"/>
      <c r="DH39" s="932"/>
      <c r="DI39" s="932"/>
      <c r="DJ39" s="932"/>
      <c r="DK39" s="932"/>
      <c r="DL39" s="932"/>
      <c r="DM39" s="932"/>
      <c r="DN39" s="932"/>
      <c r="DO39" s="932"/>
      <c r="DP39" s="932"/>
      <c r="DQ39" s="932"/>
      <c r="DR39" s="932"/>
      <c r="DS39" s="932"/>
      <c r="DT39" s="932"/>
      <c r="DU39" s="932"/>
      <c r="DV39" s="932"/>
      <c r="DW39" s="932"/>
      <c r="DX39" s="932"/>
      <c r="DY39" s="932"/>
      <c r="DZ39" s="932"/>
      <c r="EA39" s="932"/>
      <c r="EB39" s="932"/>
      <c r="EC39" s="932"/>
      <c r="ED39" s="932"/>
      <c r="EE39" s="932"/>
      <c r="EF39" s="932"/>
      <c r="EG39" s="932"/>
      <c r="EH39" s="932"/>
      <c r="EI39" s="932"/>
      <c r="EJ39" s="932"/>
      <c r="EK39" s="932"/>
      <c r="EL39" s="932"/>
      <c r="EM39" s="932"/>
      <c r="EN39" s="932"/>
      <c r="EO39" s="932"/>
      <c r="EP39" s="932"/>
      <c r="EQ39" s="932"/>
      <c r="ER39" s="932"/>
      <c r="ES39" s="932"/>
      <c r="ET39" s="932"/>
      <c r="EU39" s="932"/>
      <c r="EV39" s="932"/>
      <c r="EW39" s="932"/>
      <c r="EX39" s="932"/>
      <c r="EY39" s="932"/>
      <c r="EZ39" s="932"/>
      <c r="FA39" s="932"/>
      <c r="FB39" s="932"/>
      <c r="FC39" s="932"/>
      <c r="FD39" s="932"/>
      <c r="FE39" s="932"/>
      <c r="FF39" s="932"/>
      <c r="FG39" s="932"/>
      <c r="FH39" s="932"/>
      <c r="FI39" s="932"/>
      <c r="FJ39" s="932"/>
      <c r="FK39" s="932"/>
      <c r="FL39" s="932"/>
      <c r="FM39" s="932"/>
    </row>
    <row r="40" spans="1:169" s="1194" customFormat="1" ht="17.399999999999999">
      <c r="A40" s="1195">
        <f t="shared" si="6"/>
        <v>16</v>
      </c>
      <c r="B40" s="2043"/>
      <c r="C40" s="1196"/>
      <c r="D40" s="2044"/>
      <c r="E40" s="1177"/>
      <c r="F40" s="1197"/>
      <c r="G40" s="1175">
        <f t="shared" si="2"/>
        <v>0</v>
      </c>
      <c r="H40" s="1176"/>
      <c r="I40" s="1177"/>
      <c r="J40" s="1177"/>
      <c r="K40" s="1177"/>
      <c r="L40" s="1177"/>
      <c r="M40" s="1177"/>
      <c r="N40" s="1177"/>
      <c r="O40" s="1177"/>
      <c r="P40" s="1177"/>
      <c r="Q40" s="1197"/>
      <c r="R40" s="1198">
        <f t="shared" si="3"/>
        <v>0</v>
      </c>
      <c r="S40" s="1199" t="e">
        <f t="shared" si="4"/>
        <v>#DIV/0!</v>
      </c>
      <c r="T40" s="1180"/>
      <c r="U40" s="1180"/>
      <c r="V40" s="1181"/>
      <c r="W40" s="1648"/>
      <c r="X40" s="2030" t="str">
        <f t="shared" si="7"/>
        <v xml:space="preserve"> </v>
      </c>
      <c r="Y40" s="1182"/>
      <c r="Z40" s="1183"/>
      <c r="AA40" s="1182"/>
      <c r="AB40" s="1183"/>
      <c r="AC40" s="1182"/>
      <c r="AD40" s="1183"/>
      <c r="AE40" s="1182"/>
      <c r="AF40" s="1183"/>
      <c r="AG40" s="1184"/>
      <c r="AH40" s="1185"/>
      <c r="AI40" s="1186"/>
      <c r="AJ40" s="2127"/>
      <c r="AK40" s="1187"/>
      <c r="AL40" s="1187"/>
      <c r="AM40" s="1187"/>
      <c r="AN40" s="1182"/>
      <c r="AO40" s="1188"/>
      <c r="AP40" s="2115"/>
      <c r="AQ40" s="2121"/>
      <c r="AR40" s="1187"/>
      <c r="AS40" s="1187"/>
      <c r="AT40" s="1187"/>
      <c r="AU40" s="1189"/>
      <c r="AV40" s="1187"/>
      <c r="AW40" s="2127"/>
      <c r="AX40" s="1187"/>
      <c r="AY40" s="1187"/>
      <c r="AZ40" s="1183"/>
      <c r="BA40" s="1652">
        <f>IF(OR(C40=R$7,C40=R$8,C40=R$9,C40=R$10,C40=R$11),'Site Vist fomat  (Design)'!Q$64,0)</f>
        <v>0</v>
      </c>
      <c r="BB40" s="1190"/>
      <c r="BC40" s="1191"/>
      <c r="BD40" s="1191"/>
      <c r="BE40" s="1191"/>
      <c r="BF40" s="1192">
        <f t="shared" si="5"/>
        <v>0</v>
      </c>
      <c r="BG40" s="1191"/>
      <c r="BH40" s="1193"/>
      <c r="CJ40" s="932"/>
      <c r="CU40" s="932"/>
      <c r="CV40" s="932"/>
      <c r="CW40" s="932"/>
      <c r="CX40" s="932"/>
      <c r="CY40" s="932"/>
      <c r="CZ40" s="932"/>
      <c r="DA40" s="932"/>
      <c r="DB40" s="932"/>
      <c r="DC40" s="932"/>
      <c r="DD40" s="932"/>
      <c r="DE40" s="932"/>
      <c r="DF40" s="932"/>
      <c r="DG40" s="932"/>
      <c r="DH40" s="932"/>
      <c r="DI40" s="932"/>
      <c r="DJ40" s="932"/>
      <c r="DK40" s="932"/>
      <c r="DL40" s="932"/>
      <c r="DM40" s="932"/>
      <c r="DN40" s="932"/>
      <c r="DO40" s="932"/>
      <c r="DP40" s="932"/>
      <c r="DQ40" s="932"/>
      <c r="DR40" s="932"/>
      <c r="DS40" s="932"/>
      <c r="DT40" s="932"/>
      <c r="DU40" s="932"/>
      <c r="DV40" s="932"/>
      <c r="DW40" s="932"/>
      <c r="DX40" s="932"/>
      <c r="DY40" s="932"/>
      <c r="DZ40" s="932"/>
      <c r="EA40" s="932"/>
      <c r="EB40" s="932"/>
      <c r="EC40" s="932"/>
      <c r="ED40" s="932"/>
      <c r="EE40" s="932"/>
      <c r="EF40" s="932"/>
      <c r="EG40" s="932"/>
      <c r="EH40" s="932"/>
      <c r="EI40" s="932"/>
      <c r="EJ40" s="932"/>
      <c r="EK40" s="932"/>
      <c r="EL40" s="932"/>
      <c r="EM40" s="932"/>
      <c r="EN40" s="932"/>
      <c r="EO40" s="932"/>
      <c r="EP40" s="932"/>
      <c r="EQ40" s="932"/>
      <c r="ER40" s="932"/>
      <c r="ES40" s="932"/>
      <c r="ET40" s="932"/>
      <c r="EU40" s="932"/>
      <c r="EV40" s="932"/>
      <c r="EW40" s="932"/>
      <c r="EX40" s="932"/>
      <c r="EY40" s="932"/>
      <c r="EZ40" s="932"/>
      <c r="FA40" s="932"/>
      <c r="FB40" s="932"/>
      <c r="FC40" s="932"/>
      <c r="FD40" s="932"/>
      <c r="FE40" s="932"/>
      <c r="FF40" s="932"/>
      <c r="FG40" s="932"/>
      <c r="FH40" s="932"/>
      <c r="FI40" s="932"/>
      <c r="FJ40" s="932"/>
      <c r="FK40" s="932"/>
      <c r="FL40" s="932"/>
      <c r="FM40" s="932"/>
    </row>
    <row r="41" spans="1:169" s="1194" customFormat="1" ht="17.399999999999999">
      <c r="A41" s="1195">
        <f t="shared" si="6"/>
        <v>17</v>
      </c>
      <c r="B41" s="2043"/>
      <c r="C41" s="1196"/>
      <c r="D41" s="2044"/>
      <c r="E41" s="1177"/>
      <c r="F41" s="1197"/>
      <c r="G41" s="1175">
        <f t="shared" si="2"/>
        <v>0</v>
      </c>
      <c r="H41" s="1176"/>
      <c r="I41" s="1177"/>
      <c r="J41" s="1177"/>
      <c r="K41" s="1177"/>
      <c r="L41" s="1177"/>
      <c r="M41" s="1177"/>
      <c r="N41" s="1177"/>
      <c r="O41" s="1177"/>
      <c r="P41" s="1177"/>
      <c r="Q41" s="1197"/>
      <c r="R41" s="1198">
        <f t="shared" si="3"/>
        <v>0</v>
      </c>
      <c r="S41" s="1199" t="e">
        <f t="shared" si="4"/>
        <v>#DIV/0!</v>
      </c>
      <c r="T41" s="1180"/>
      <c r="U41" s="1180"/>
      <c r="V41" s="1181"/>
      <c r="W41" s="1648"/>
      <c r="X41" s="2030" t="str">
        <f t="shared" si="7"/>
        <v xml:space="preserve"> </v>
      </c>
      <c r="Y41" s="1182"/>
      <c r="Z41" s="1183"/>
      <c r="AA41" s="1182"/>
      <c r="AB41" s="1183"/>
      <c r="AC41" s="1182"/>
      <c r="AD41" s="1183"/>
      <c r="AE41" s="1182"/>
      <c r="AF41" s="1183"/>
      <c r="AG41" s="1184"/>
      <c r="AH41" s="1185"/>
      <c r="AI41" s="1186"/>
      <c r="AJ41" s="2127"/>
      <c r="AK41" s="1187"/>
      <c r="AL41" s="1187"/>
      <c r="AM41" s="1187"/>
      <c r="AN41" s="1182"/>
      <c r="AO41" s="1188"/>
      <c r="AP41" s="2115"/>
      <c r="AQ41" s="2121"/>
      <c r="AR41" s="1187"/>
      <c r="AS41" s="1187"/>
      <c r="AT41" s="1187"/>
      <c r="AU41" s="1189"/>
      <c r="AV41" s="1187"/>
      <c r="AW41" s="2127"/>
      <c r="AX41" s="1187"/>
      <c r="AY41" s="1187"/>
      <c r="AZ41" s="1183"/>
      <c r="BA41" s="1652">
        <f>IF(OR(C41=R$7,C41=R$8,C41=R$9,C41=R$10,C41=R$11),'Site Vist fomat  (Design)'!R$64,0)</f>
        <v>0</v>
      </c>
      <c r="BB41" s="1190"/>
      <c r="BC41" s="1191"/>
      <c r="BD41" s="1191"/>
      <c r="BE41" s="1191"/>
      <c r="BF41" s="1192">
        <f t="shared" si="5"/>
        <v>0</v>
      </c>
      <c r="BG41" s="1191"/>
      <c r="BH41" s="1193"/>
      <c r="CJ41" s="932"/>
      <c r="CU41" s="932"/>
      <c r="CV41" s="932"/>
      <c r="CW41" s="932"/>
      <c r="CX41" s="932"/>
      <c r="CY41" s="932"/>
      <c r="CZ41" s="932"/>
      <c r="DA41" s="932"/>
      <c r="DB41" s="932"/>
      <c r="DC41" s="932"/>
      <c r="DD41" s="932"/>
      <c r="DE41" s="932"/>
      <c r="DF41" s="932"/>
      <c r="DG41" s="932"/>
      <c r="DH41" s="932"/>
      <c r="DI41" s="932"/>
      <c r="DJ41" s="932"/>
      <c r="DK41" s="932"/>
      <c r="DL41" s="932"/>
      <c r="DM41" s="932"/>
      <c r="DN41" s="932"/>
      <c r="DO41" s="932"/>
      <c r="DP41" s="932"/>
      <c r="DQ41" s="932"/>
      <c r="DR41" s="932"/>
      <c r="DS41" s="932"/>
      <c r="DT41" s="932"/>
      <c r="DU41" s="932"/>
      <c r="DV41" s="932"/>
      <c r="DW41" s="932"/>
      <c r="DX41" s="932"/>
      <c r="DY41" s="932"/>
      <c r="DZ41" s="932"/>
      <c r="EA41" s="932"/>
      <c r="EB41" s="932"/>
      <c r="EC41" s="932"/>
      <c r="ED41" s="932"/>
      <c r="EE41" s="932"/>
      <c r="EF41" s="932"/>
      <c r="EG41" s="932"/>
      <c r="EH41" s="932"/>
      <c r="EI41" s="932"/>
      <c r="EJ41" s="932"/>
      <c r="EK41" s="932"/>
      <c r="EL41" s="932"/>
      <c r="EM41" s="932"/>
      <c r="EN41" s="932"/>
      <c r="EO41" s="932"/>
      <c r="EP41" s="932"/>
      <c r="EQ41" s="932"/>
      <c r="ER41" s="932"/>
      <c r="ES41" s="932"/>
      <c r="ET41" s="932"/>
      <c r="EU41" s="932"/>
      <c r="EV41" s="932"/>
      <c r="EW41" s="932"/>
      <c r="EX41" s="932"/>
      <c r="EY41" s="932"/>
      <c r="EZ41" s="932"/>
      <c r="FA41" s="932"/>
      <c r="FB41" s="932"/>
      <c r="FC41" s="932"/>
      <c r="FD41" s="932"/>
      <c r="FE41" s="932"/>
      <c r="FF41" s="932"/>
      <c r="FG41" s="932"/>
      <c r="FH41" s="932"/>
      <c r="FI41" s="932"/>
      <c r="FJ41" s="932"/>
      <c r="FK41" s="932"/>
      <c r="FL41" s="932"/>
      <c r="FM41" s="932"/>
    </row>
    <row r="42" spans="1:169" s="1194" customFormat="1" ht="17.399999999999999">
      <c r="A42" s="1195">
        <f t="shared" si="6"/>
        <v>18</v>
      </c>
      <c r="B42" s="2043"/>
      <c r="C42" s="1196"/>
      <c r="D42" s="2044"/>
      <c r="E42" s="1177"/>
      <c r="F42" s="1197"/>
      <c r="G42" s="1175">
        <f t="shared" si="2"/>
        <v>0</v>
      </c>
      <c r="H42" s="1176"/>
      <c r="I42" s="1177"/>
      <c r="J42" s="1177"/>
      <c r="K42" s="1177"/>
      <c r="L42" s="1177"/>
      <c r="M42" s="1177"/>
      <c r="N42" s="1177"/>
      <c r="O42" s="1177"/>
      <c r="P42" s="1177"/>
      <c r="Q42" s="1197"/>
      <c r="R42" s="1198">
        <f t="shared" si="3"/>
        <v>0</v>
      </c>
      <c r="S42" s="1199" t="e">
        <f t="shared" si="4"/>
        <v>#DIV/0!</v>
      </c>
      <c r="T42" s="1180"/>
      <c r="U42" s="1180"/>
      <c r="V42" s="1181"/>
      <c r="W42" s="1648"/>
      <c r="X42" s="2030" t="str">
        <f t="shared" si="7"/>
        <v xml:space="preserve"> </v>
      </c>
      <c r="Y42" s="1182"/>
      <c r="Z42" s="1183"/>
      <c r="AA42" s="1182"/>
      <c r="AB42" s="1183"/>
      <c r="AC42" s="1182"/>
      <c r="AD42" s="1183"/>
      <c r="AE42" s="1182"/>
      <c r="AF42" s="1183"/>
      <c r="AG42" s="1184"/>
      <c r="AH42" s="1185"/>
      <c r="AI42" s="1186"/>
      <c r="AJ42" s="2127"/>
      <c r="AK42" s="1187"/>
      <c r="AL42" s="1187"/>
      <c r="AM42" s="1187"/>
      <c r="AN42" s="1182"/>
      <c r="AO42" s="1188"/>
      <c r="AP42" s="2115"/>
      <c r="AQ42" s="2121"/>
      <c r="AR42" s="1187"/>
      <c r="AS42" s="1187"/>
      <c r="AT42" s="1187"/>
      <c r="AU42" s="1189"/>
      <c r="AV42" s="1187"/>
      <c r="AW42" s="2127"/>
      <c r="AX42" s="1187"/>
      <c r="AY42" s="1187"/>
      <c r="AZ42" s="1183"/>
      <c r="BA42" s="1652">
        <f>IF(OR(C42=R$7,C42=R$8,C42=R$9,C42=R$10,C42=R$11),'Site Vist fomat  (Design)'!S$64,0)</f>
        <v>0</v>
      </c>
      <c r="BB42" s="1190"/>
      <c r="BC42" s="1191"/>
      <c r="BD42" s="1191"/>
      <c r="BE42" s="1191"/>
      <c r="BF42" s="1192">
        <f>BE42*2</f>
        <v>0</v>
      </c>
      <c r="BG42" s="1191"/>
      <c r="BH42" s="1193"/>
      <c r="CJ42" s="932"/>
      <c r="CU42" s="932"/>
      <c r="CV42" s="932"/>
      <c r="CW42" s="932"/>
      <c r="CX42" s="932"/>
      <c r="CY42" s="932"/>
      <c r="CZ42" s="932"/>
      <c r="DA42" s="932"/>
      <c r="DB42" s="932"/>
      <c r="DC42" s="932"/>
      <c r="DD42" s="932"/>
      <c r="DE42" s="932"/>
      <c r="DF42" s="932"/>
      <c r="DG42" s="932"/>
      <c r="DH42" s="932"/>
      <c r="DI42" s="932"/>
      <c r="DJ42" s="932"/>
      <c r="DK42" s="932"/>
      <c r="DL42" s="932"/>
      <c r="DM42" s="932"/>
      <c r="DN42" s="932"/>
      <c r="DO42" s="932"/>
      <c r="DP42" s="932"/>
      <c r="DQ42" s="932"/>
      <c r="DR42" s="932"/>
      <c r="DS42" s="932"/>
      <c r="DT42" s="932"/>
      <c r="DU42" s="932"/>
      <c r="DV42" s="932"/>
      <c r="DW42" s="932"/>
      <c r="DX42" s="932"/>
      <c r="DY42" s="932"/>
      <c r="DZ42" s="932"/>
      <c r="EA42" s="932"/>
      <c r="EB42" s="932"/>
      <c r="EC42" s="932"/>
      <c r="ED42" s="932"/>
      <c r="EE42" s="932"/>
      <c r="EF42" s="932"/>
      <c r="EG42" s="932"/>
      <c r="EH42" s="932"/>
      <c r="EI42" s="932"/>
      <c r="EJ42" s="932"/>
      <c r="EK42" s="932"/>
      <c r="EL42" s="932"/>
      <c r="EM42" s="932"/>
      <c r="EN42" s="932"/>
      <c r="EO42" s="932"/>
      <c r="EP42" s="932"/>
      <c r="EQ42" s="932"/>
      <c r="ER42" s="932"/>
      <c r="ES42" s="932"/>
      <c r="ET42" s="932"/>
      <c r="EU42" s="932"/>
      <c r="EV42" s="932"/>
      <c r="EW42" s="932"/>
      <c r="EX42" s="932"/>
      <c r="EY42" s="932"/>
      <c r="EZ42" s="932"/>
      <c r="FA42" s="932"/>
      <c r="FB42" s="932"/>
      <c r="FC42" s="932"/>
      <c r="FD42" s="932"/>
      <c r="FE42" s="932"/>
      <c r="FF42" s="932"/>
      <c r="FG42" s="932"/>
      <c r="FH42" s="932"/>
      <c r="FI42" s="932"/>
      <c r="FJ42" s="932"/>
      <c r="FK42" s="932"/>
      <c r="FL42" s="932"/>
      <c r="FM42" s="932"/>
    </row>
    <row r="43" spans="1:169" s="1194" customFormat="1" ht="17.399999999999999">
      <c r="A43" s="1195">
        <f t="shared" si="6"/>
        <v>19</v>
      </c>
      <c r="B43" s="2043"/>
      <c r="C43" s="1196"/>
      <c r="D43" s="2044"/>
      <c r="E43" s="1177"/>
      <c r="F43" s="1197"/>
      <c r="G43" s="1175">
        <f t="shared" si="2"/>
        <v>0</v>
      </c>
      <c r="H43" s="1176"/>
      <c r="I43" s="1177"/>
      <c r="J43" s="1177"/>
      <c r="K43" s="1177"/>
      <c r="L43" s="1177"/>
      <c r="M43" s="1177"/>
      <c r="N43" s="1177"/>
      <c r="O43" s="1177"/>
      <c r="P43" s="1177"/>
      <c r="Q43" s="1197"/>
      <c r="R43" s="1198">
        <f t="shared" si="3"/>
        <v>0</v>
      </c>
      <c r="S43" s="1199" t="e">
        <f t="shared" si="4"/>
        <v>#DIV/0!</v>
      </c>
      <c r="T43" s="1180"/>
      <c r="U43" s="1180"/>
      <c r="V43" s="1181"/>
      <c r="W43" s="1648"/>
      <c r="X43" s="2030" t="str">
        <f t="shared" si="7"/>
        <v xml:space="preserve"> </v>
      </c>
      <c r="Y43" s="1182"/>
      <c r="Z43" s="1183"/>
      <c r="AA43" s="1182"/>
      <c r="AB43" s="1183"/>
      <c r="AC43" s="1182"/>
      <c r="AD43" s="1183"/>
      <c r="AE43" s="1182"/>
      <c r="AF43" s="1183"/>
      <c r="AG43" s="1184"/>
      <c r="AH43" s="1185"/>
      <c r="AI43" s="1186"/>
      <c r="AJ43" s="2127"/>
      <c r="AK43" s="1187"/>
      <c r="AL43" s="1187"/>
      <c r="AM43" s="1187"/>
      <c r="AN43" s="1182"/>
      <c r="AO43" s="1188"/>
      <c r="AP43" s="2115"/>
      <c r="AQ43" s="2121"/>
      <c r="AR43" s="1187"/>
      <c r="AS43" s="1187"/>
      <c r="AT43" s="1187"/>
      <c r="AU43" s="1189"/>
      <c r="AV43" s="1187"/>
      <c r="AW43" s="2127"/>
      <c r="AX43" s="1187"/>
      <c r="AY43" s="1187"/>
      <c r="AZ43" s="1183"/>
      <c r="BA43" s="1652">
        <f>IF(OR(C43=R$7,C43=R$8,C43=R$9,C43=R$10,C43=R$11),'Site Vist fomat  (Design)'!T$64,0)</f>
        <v>0</v>
      </c>
      <c r="BB43" s="1190"/>
      <c r="BC43" s="1191"/>
      <c r="BD43" s="1191"/>
      <c r="BE43" s="1191"/>
      <c r="BF43" s="1192">
        <f t="shared" ref="BF43:BF54" si="8">BE43*2</f>
        <v>0</v>
      </c>
      <c r="BG43" s="1191"/>
      <c r="BH43" s="1193"/>
      <c r="CJ43" s="932"/>
      <c r="CU43" s="932"/>
      <c r="CV43" s="932"/>
      <c r="CW43" s="932"/>
      <c r="CX43" s="932"/>
      <c r="CY43" s="932"/>
      <c r="CZ43" s="932"/>
      <c r="DA43" s="932"/>
      <c r="DB43" s="932"/>
      <c r="DC43" s="932"/>
      <c r="DD43" s="932"/>
      <c r="DE43" s="932"/>
      <c r="DF43" s="932"/>
      <c r="DG43" s="932"/>
      <c r="DH43" s="932"/>
      <c r="DI43" s="932"/>
      <c r="DJ43" s="932"/>
      <c r="DK43" s="932"/>
      <c r="DL43" s="932"/>
      <c r="DM43" s="932"/>
      <c r="DN43" s="932"/>
      <c r="DO43" s="932"/>
      <c r="DP43" s="932"/>
      <c r="DQ43" s="932"/>
      <c r="DR43" s="932"/>
      <c r="DS43" s="932"/>
      <c r="DT43" s="932"/>
      <c r="DU43" s="932"/>
      <c r="DV43" s="932"/>
      <c r="DW43" s="932"/>
      <c r="DX43" s="932"/>
      <c r="DY43" s="932"/>
      <c r="DZ43" s="932"/>
      <c r="EA43" s="932"/>
      <c r="EB43" s="932"/>
      <c r="EC43" s="932"/>
      <c r="ED43" s="932"/>
      <c r="EE43" s="932"/>
      <c r="EF43" s="932"/>
      <c r="EG43" s="932"/>
      <c r="EH43" s="932"/>
      <c r="EI43" s="932"/>
      <c r="EJ43" s="932"/>
      <c r="EK43" s="932"/>
      <c r="EL43" s="932"/>
      <c r="EM43" s="932"/>
      <c r="EN43" s="932"/>
      <c r="EO43" s="932"/>
      <c r="EP43" s="932"/>
      <c r="EQ43" s="932"/>
      <c r="ER43" s="932"/>
      <c r="ES43" s="932"/>
      <c r="ET43" s="932"/>
      <c r="EU43" s="932"/>
      <c r="EV43" s="932"/>
      <c r="EW43" s="932"/>
      <c r="EX43" s="932"/>
      <c r="EY43" s="932"/>
      <c r="EZ43" s="932"/>
      <c r="FA43" s="932"/>
      <c r="FB43" s="932"/>
      <c r="FC43" s="932"/>
      <c r="FD43" s="932"/>
      <c r="FE43" s="932"/>
      <c r="FF43" s="932"/>
      <c r="FG43" s="932"/>
      <c r="FH43" s="932"/>
      <c r="FI43" s="932"/>
      <c r="FJ43" s="932"/>
      <c r="FK43" s="932"/>
      <c r="FL43" s="932"/>
      <c r="FM43" s="932"/>
    </row>
    <row r="44" spans="1:169" s="1194" customFormat="1" ht="17.399999999999999">
      <c r="A44" s="1195">
        <f t="shared" si="6"/>
        <v>20</v>
      </c>
      <c r="B44" s="2043"/>
      <c r="C44" s="1196"/>
      <c r="D44" s="2044"/>
      <c r="E44" s="1177"/>
      <c r="F44" s="1197"/>
      <c r="G44" s="1175">
        <f t="shared" si="2"/>
        <v>0</v>
      </c>
      <c r="H44" s="1176"/>
      <c r="I44" s="1177"/>
      <c r="J44" s="1177"/>
      <c r="K44" s="1177"/>
      <c r="L44" s="1177"/>
      <c r="M44" s="1177"/>
      <c r="N44" s="1177"/>
      <c r="O44" s="1177"/>
      <c r="P44" s="1177"/>
      <c r="Q44" s="1197"/>
      <c r="R44" s="1198">
        <f t="shared" si="3"/>
        <v>0</v>
      </c>
      <c r="S44" s="1199" t="e">
        <f t="shared" si="4"/>
        <v>#DIV/0!</v>
      </c>
      <c r="T44" s="1180"/>
      <c r="U44" s="1180"/>
      <c r="V44" s="1181"/>
      <c r="W44" s="1648"/>
      <c r="X44" s="2030" t="str">
        <f t="shared" si="7"/>
        <v xml:space="preserve"> </v>
      </c>
      <c r="Y44" s="1182"/>
      <c r="Z44" s="1183"/>
      <c r="AA44" s="1182"/>
      <c r="AB44" s="1183"/>
      <c r="AC44" s="1182"/>
      <c r="AD44" s="1183"/>
      <c r="AE44" s="1182"/>
      <c r="AF44" s="1183"/>
      <c r="AG44" s="1184"/>
      <c r="AH44" s="1185"/>
      <c r="AI44" s="1186"/>
      <c r="AJ44" s="2127"/>
      <c r="AK44" s="1187"/>
      <c r="AL44" s="1187"/>
      <c r="AM44" s="1187"/>
      <c r="AN44" s="1182"/>
      <c r="AO44" s="1188"/>
      <c r="AP44" s="2115"/>
      <c r="AQ44" s="2121"/>
      <c r="AR44" s="1187"/>
      <c r="AS44" s="1187"/>
      <c r="AT44" s="1187"/>
      <c r="AU44" s="1189"/>
      <c r="AV44" s="1187"/>
      <c r="AW44" s="2127"/>
      <c r="AX44" s="1187"/>
      <c r="AY44" s="1187"/>
      <c r="AZ44" s="1183"/>
      <c r="BA44" s="1652">
        <f>IF(OR(C44=R$7,C44=R$8,C44=R$9,C44=R$10,C44=R$11),'Site Vist fomat  (Design)'!U$64,0)</f>
        <v>0</v>
      </c>
      <c r="BB44" s="1190"/>
      <c r="BC44" s="1191"/>
      <c r="BD44" s="1191"/>
      <c r="BE44" s="1191"/>
      <c r="BF44" s="1192">
        <f t="shared" si="8"/>
        <v>0</v>
      </c>
      <c r="BG44" s="1191"/>
      <c r="BH44" s="1193"/>
      <c r="CJ44" s="932"/>
      <c r="CU44" s="932"/>
      <c r="CV44" s="932"/>
      <c r="CW44" s="932"/>
      <c r="CX44" s="932"/>
      <c r="CY44" s="932"/>
      <c r="CZ44" s="932"/>
      <c r="DA44" s="932"/>
      <c r="DB44" s="932"/>
      <c r="DC44" s="932"/>
      <c r="DD44" s="932"/>
      <c r="DE44" s="932"/>
      <c r="DF44" s="932"/>
      <c r="DG44" s="932"/>
      <c r="DH44" s="932"/>
      <c r="DI44" s="932"/>
      <c r="DJ44" s="932"/>
      <c r="DK44" s="932"/>
      <c r="DL44" s="932"/>
      <c r="DM44" s="932"/>
      <c r="DN44" s="932"/>
      <c r="DO44" s="932"/>
      <c r="DP44" s="932"/>
      <c r="DQ44" s="932"/>
      <c r="DR44" s="932"/>
      <c r="DS44" s="932"/>
      <c r="DT44" s="932"/>
      <c r="DU44" s="932"/>
      <c r="DV44" s="932"/>
      <c r="DW44" s="932"/>
      <c r="DX44" s="932"/>
      <c r="DY44" s="932"/>
      <c r="DZ44" s="932"/>
      <c r="EA44" s="932"/>
      <c r="EB44" s="932"/>
      <c r="EC44" s="932"/>
      <c r="ED44" s="932"/>
      <c r="EE44" s="932"/>
      <c r="EF44" s="932"/>
      <c r="EG44" s="932"/>
      <c r="EH44" s="932"/>
      <c r="EI44" s="932"/>
      <c r="EJ44" s="932"/>
      <c r="EK44" s="932"/>
      <c r="EL44" s="932"/>
      <c r="EM44" s="932"/>
      <c r="EN44" s="932"/>
      <c r="EO44" s="932"/>
      <c r="EP44" s="932"/>
      <c r="EQ44" s="932"/>
      <c r="ER44" s="932"/>
      <c r="ES44" s="932"/>
      <c r="ET44" s="932"/>
      <c r="EU44" s="932"/>
      <c r="EV44" s="932"/>
      <c r="EW44" s="932"/>
      <c r="EX44" s="932"/>
      <c r="EY44" s="932"/>
      <c r="EZ44" s="932"/>
      <c r="FA44" s="932"/>
      <c r="FB44" s="932"/>
      <c r="FC44" s="932"/>
      <c r="FD44" s="932"/>
      <c r="FE44" s="932"/>
      <c r="FF44" s="932"/>
      <c r="FG44" s="932"/>
      <c r="FH44" s="932"/>
      <c r="FI44" s="932"/>
      <c r="FJ44" s="932"/>
      <c r="FK44" s="932"/>
      <c r="FL44" s="932"/>
      <c r="FM44" s="932"/>
    </row>
    <row r="45" spans="1:169" s="1194" customFormat="1" ht="17.399999999999999">
      <c r="A45" s="1195">
        <f t="shared" si="6"/>
        <v>21</v>
      </c>
      <c r="B45" s="2043"/>
      <c r="C45" s="1196"/>
      <c r="D45" s="2044"/>
      <c r="E45" s="1177"/>
      <c r="F45" s="1197"/>
      <c r="G45" s="1175">
        <f t="shared" si="2"/>
        <v>0</v>
      </c>
      <c r="H45" s="1176"/>
      <c r="I45" s="1177"/>
      <c r="J45" s="1177"/>
      <c r="K45" s="1177"/>
      <c r="L45" s="1177"/>
      <c r="M45" s="1177"/>
      <c r="N45" s="1177"/>
      <c r="O45" s="1177"/>
      <c r="P45" s="1177"/>
      <c r="Q45" s="1197"/>
      <c r="R45" s="1198">
        <f t="shared" si="3"/>
        <v>0</v>
      </c>
      <c r="S45" s="1199" t="e">
        <f t="shared" si="4"/>
        <v>#DIV/0!</v>
      </c>
      <c r="T45" s="1180"/>
      <c r="U45" s="1180"/>
      <c r="V45" s="1181"/>
      <c r="W45" s="1648"/>
      <c r="X45" s="2030" t="str">
        <f t="shared" si="7"/>
        <v xml:space="preserve"> </v>
      </c>
      <c r="Y45" s="1182"/>
      <c r="Z45" s="1183"/>
      <c r="AA45" s="1182"/>
      <c r="AB45" s="1183"/>
      <c r="AC45" s="1182"/>
      <c r="AD45" s="1183"/>
      <c r="AE45" s="1182"/>
      <c r="AF45" s="1183"/>
      <c r="AG45" s="1184"/>
      <c r="AH45" s="1185"/>
      <c r="AI45" s="1186"/>
      <c r="AJ45" s="2127"/>
      <c r="AK45" s="1187"/>
      <c r="AL45" s="1187"/>
      <c r="AM45" s="1187"/>
      <c r="AN45" s="1182"/>
      <c r="AO45" s="1188"/>
      <c r="AP45" s="2115"/>
      <c r="AQ45" s="2121"/>
      <c r="AR45" s="1187"/>
      <c r="AS45" s="1187"/>
      <c r="AT45" s="1187"/>
      <c r="AU45" s="1189"/>
      <c r="AV45" s="1187"/>
      <c r="AW45" s="2127"/>
      <c r="AX45" s="1187"/>
      <c r="AY45" s="1187"/>
      <c r="AZ45" s="1183"/>
      <c r="BA45" s="1652">
        <f>IF(OR(C45=R$7,C45=R$8,C45=R$9,C45=R$10,C45=R$11),'Site Vist fomat  (Design)'!V$64,0)</f>
        <v>0</v>
      </c>
      <c r="BB45" s="1190"/>
      <c r="BC45" s="1191"/>
      <c r="BD45" s="1191"/>
      <c r="BE45" s="1191"/>
      <c r="BF45" s="1192">
        <f t="shared" si="8"/>
        <v>0</v>
      </c>
      <c r="BG45" s="1191"/>
      <c r="BH45" s="1193"/>
      <c r="CJ45" s="932"/>
      <c r="CU45" s="932"/>
      <c r="CV45" s="932"/>
      <c r="CW45" s="932"/>
      <c r="CX45" s="932"/>
      <c r="CY45" s="932"/>
      <c r="CZ45" s="932"/>
      <c r="DA45" s="932"/>
      <c r="DB45" s="932"/>
      <c r="DC45" s="932"/>
      <c r="DD45" s="932"/>
      <c r="DE45" s="932"/>
      <c r="DF45" s="932"/>
      <c r="DG45" s="932"/>
      <c r="DH45" s="932"/>
      <c r="DI45" s="932"/>
      <c r="DJ45" s="932"/>
      <c r="DK45" s="932"/>
      <c r="DL45" s="932"/>
      <c r="DM45" s="932"/>
      <c r="DN45" s="932"/>
      <c r="DO45" s="932"/>
      <c r="DP45" s="932"/>
      <c r="DQ45" s="932"/>
      <c r="DR45" s="932"/>
      <c r="DS45" s="932"/>
      <c r="DT45" s="932"/>
      <c r="DU45" s="932"/>
      <c r="DV45" s="932"/>
      <c r="DW45" s="932"/>
      <c r="DX45" s="932"/>
      <c r="DY45" s="932"/>
      <c r="DZ45" s="932"/>
      <c r="EA45" s="932"/>
      <c r="EB45" s="932"/>
      <c r="EC45" s="932"/>
      <c r="ED45" s="932"/>
      <c r="EE45" s="932"/>
      <c r="EF45" s="932"/>
      <c r="EG45" s="932"/>
      <c r="EH45" s="932"/>
      <c r="EI45" s="932"/>
      <c r="EJ45" s="932"/>
      <c r="EK45" s="932"/>
      <c r="EL45" s="932"/>
      <c r="EM45" s="932"/>
      <c r="EN45" s="932"/>
      <c r="EO45" s="932"/>
      <c r="EP45" s="932"/>
      <c r="EQ45" s="932"/>
      <c r="ER45" s="932"/>
      <c r="ES45" s="932"/>
      <c r="ET45" s="932"/>
      <c r="EU45" s="932"/>
      <c r="EV45" s="932"/>
      <c r="EW45" s="932"/>
      <c r="EX45" s="932"/>
      <c r="EY45" s="932"/>
      <c r="EZ45" s="932"/>
      <c r="FA45" s="932"/>
      <c r="FB45" s="932"/>
      <c r="FC45" s="932"/>
      <c r="FD45" s="932"/>
      <c r="FE45" s="932"/>
      <c r="FF45" s="932"/>
      <c r="FG45" s="932"/>
      <c r="FH45" s="932"/>
      <c r="FI45" s="932"/>
      <c r="FJ45" s="932"/>
      <c r="FK45" s="932"/>
      <c r="FL45" s="932"/>
      <c r="FM45" s="932"/>
    </row>
    <row r="46" spans="1:169" s="1194" customFormat="1" ht="17.399999999999999">
      <c r="A46" s="1195">
        <f t="shared" si="6"/>
        <v>22</v>
      </c>
      <c r="B46" s="2043"/>
      <c r="C46" s="1196"/>
      <c r="D46" s="2044"/>
      <c r="E46" s="1177"/>
      <c r="F46" s="1197"/>
      <c r="G46" s="1175">
        <f t="shared" si="2"/>
        <v>0</v>
      </c>
      <c r="H46" s="1176"/>
      <c r="I46" s="1177"/>
      <c r="J46" s="1177"/>
      <c r="K46" s="1177"/>
      <c r="L46" s="1177"/>
      <c r="M46" s="1177"/>
      <c r="N46" s="1177"/>
      <c r="O46" s="1177"/>
      <c r="P46" s="1177"/>
      <c r="Q46" s="1197"/>
      <c r="R46" s="1198">
        <f t="shared" si="3"/>
        <v>0</v>
      </c>
      <c r="S46" s="1199" t="e">
        <f t="shared" si="4"/>
        <v>#DIV/0!</v>
      </c>
      <c r="T46" s="1180"/>
      <c r="U46" s="1180"/>
      <c r="V46" s="1181"/>
      <c r="W46" s="1648"/>
      <c r="X46" s="2030" t="str">
        <f t="shared" si="7"/>
        <v xml:space="preserve"> </v>
      </c>
      <c r="Y46" s="1182"/>
      <c r="Z46" s="1183"/>
      <c r="AA46" s="1182"/>
      <c r="AB46" s="1183"/>
      <c r="AC46" s="1182"/>
      <c r="AD46" s="1183"/>
      <c r="AE46" s="1182"/>
      <c r="AF46" s="1183"/>
      <c r="AG46" s="1184"/>
      <c r="AH46" s="1185"/>
      <c r="AI46" s="1186"/>
      <c r="AJ46" s="2127"/>
      <c r="AK46" s="1187"/>
      <c r="AL46" s="1187"/>
      <c r="AM46" s="1187"/>
      <c r="AN46" s="1182"/>
      <c r="AO46" s="1188"/>
      <c r="AP46" s="2115"/>
      <c r="AQ46" s="2121"/>
      <c r="AR46" s="1187"/>
      <c r="AS46" s="1187"/>
      <c r="AT46" s="1187"/>
      <c r="AU46" s="1189"/>
      <c r="AV46" s="1187"/>
      <c r="AW46" s="2127"/>
      <c r="AX46" s="1187"/>
      <c r="AY46" s="1187"/>
      <c r="AZ46" s="1183"/>
      <c r="BA46" s="1652">
        <f>IF(OR(C46=R$7,C46=R$8,C46=R$9,C46=R$10,C46=R$11),'Site Vist fomat  (Design)'!W$64,0)</f>
        <v>0</v>
      </c>
      <c r="BB46" s="1190"/>
      <c r="BC46" s="1191"/>
      <c r="BD46" s="1191"/>
      <c r="BE46" s="1191"/>
      <c r="BF46" s="1192">
        <f t="shared" si="8"/>
        <v>0</v>
      </c>
      <c r="BG46" s="1191"/>
      <c r="BH46" s="1193"/>
      <c r="CJ46" s="932"/>
      <c r="CU46" s="932"/>
      <c r="CV46" s="932"/>
      <c r="CW46" s="932"/>
      <c r="CX46" s="932"/>
      <c r="CY46" s="932"/>
      <c r="CZ46" s="932"/>
      <c r="DA46" s="932"/>
      <c r="DB46" s="932"/>
      <c r="DC46" s="932"/>
      <c r="DD46" s="932"/>
      <c r="DE46" s="932"/>
      <c r="DF46" s="932"/>
      <c r="DG46" s="932"/>
      <c r="DH46" s="932"/>
      <c r="DI46" s="932"/>
      <c r="DJ46" s="932"/>
      <c r="DK46" s="932"/>
      <c r="DL46" s="932"/>
      <c r="DM46" s="932"/>
      <c r="DN46" s="932"/>
      <c r="DO46" s="932"/>
      <c r="DP46" s="932"/>
      <c r="DQ46" s="932"/>
      <c r="DR46" s="932"/>
      <c r="DS46" s="932"/>
      <c r="DT46" s="932"/>
      <c r="DU46" s="932"/>
      <c r="DV46" s="932"/>
      <c r="DW46" s="932"/>
      <c r="DX46" s="932"/>
      <c r="DY46" s="932"/>
      <c r="DZ46" s="932"/>
      <c r="EA46" s="932"/>
      <c r="EB46" s="932"/>
      <c r="EC46" s="932"/>
      <c r="ED46" s="932"/>
      <c r="EE46" s="932"/>
      <c r="EF46" s="932"/>
      <c r="EG46" s="932"/>
      <c r="EH46" s="932"/>
      <c r="EI46" s="932"/>
      <c r="EJ46" s="932"/>
      <c r="EK46" s="932"/>
      <c r="EL46" s="932"/>
      <c r="EM46" s="932"/>
      <c r="EN46" s="932"/>
      <c r="EO46" s="932"/>
      <c r="EP46" s="932"/>
      <c r="EQ46" s="932"/>
      <c r="ER46" s="932"/>
      <c r="ES46" s="932"/>
      <c r="ET46" s="932"/>
      <c r="EU46" s="932"/>
      <c r="EV46" s="932"/>
      <c r="EW46" s="932"/>
      <c r="EX46" s="932"/>
      <c r="EY46" s="932"/>
      <c r="EZ46" s="932"/>
      <c r="FA46" s="932"/>
      <c r="FB46" s="932"/>
      <c r="FC46" s="932"/>
      <c r="FD46" s="932"/>
      <c r="FE46" s="932"/>
      <c r="FF46" s="932"/>
      <c r="FG46" s="932"/>
      <c r="FH46" s="932"/>
      <c r="FI46" s="932"/>
      <c r="FJ46" s="932"/>
      <c r="FK46" s="932"/>
      <c r="FL46" s="932"/>
      <c r="FM46" s="932"/>
    </row>
    <row r="47" spans="1:169" s="1194" customFormat="1" ht="17.399999999999999">
      <c r="A47" s="1195">
        <f t="shared" si="6"/>
        <v>23</v>
      </c>
      <c r="B47" s="2043"/>
      <c r="C47" s="1196"/>
      <c r="D47" s="2044"/>
      <c r="E47" s="1177"/>
      <c r="F47" s="1197"/>
      <c r="G47" s="1175">
        <f t="shared" si="2"/>
        <v>0</v>
      </c>
      <c r="H47" s="1176"/>
      <c r="I47" s="1177"/>
      <c r="J47" s="1177"/>
      <c r="K47" s="1177"/>
      <c r="L47" s="1177"/>
      <c r="M47" s="1177"/>
      <c r="N47" s="1177"/>
      <c r="O47" s="1177"/>
      <c r="P47" s="1177"/>
      <c r="Q47" s="1197"/>
      <c r="R47" s="1198">
        <f t="shared" si="3"/>
        <v>0</v>
      </c>
      <c r="S47" s="1199" t="e">
        <f t="shared" si="4"/>
        <v>#DIV/0!</v>
      </c>
      <c r="T47" s="1180"/>
      <c r="U47" s="1180"/>
      <c r="V47" s="1181"/>
      <c r="W47" s="1648"/>
      <c r="X47" s="2030" t="str">
        <f t="shared" si="7"/>
        <v xml:space="preserve"> </v>
      </c>
      <c r="Y47" s="1182"/>
      <c r="Z47" s="1183"/>
      <c r="AA47" s="1182"/>
      <c r="AB47" s="1183"/>
      <c r="AC47" s="1182"/>
      <c r="AD47" s="1183"/>
      <c r="AE47" s="1182"/>
      <c r="AF47" s="1183"/>
      <c r="AG47" s="1184"/>
      <c r="AH47" s="1185"/>
      <c r="AI47" s="1186"/>
      <c r="AJ47" s="2127"/>
      <c r="AK47" s="1187"/>
      <c r="AL47" s="1187"/>
      <c r="AM47" s="1187"/>
      <c r="AN47" s="1182"/>
      <c r="AO47" s="1188"/>
      <c r="AP47" s="2115"/>
      <c r="AQ47" s="2121"/>
      <c r="AR47" s="1187"/>
      <c r="AS47" s="1187"/>
      <c r="AT47" s="1187"/>
      <c r="AU47" s="1189"/>
      <c r="AV47" s="1187"/>
      <c r="AW47" s="2127"/>
      <c r="AX47" s="1187"/>
      <c r="AY47" s="1187"/>
      <c r="AZ47" s="1183"/>
      <c r="BA47" s="1652">
        <f>IF(OR(C47=R$7,C47=R$8,C47=R$9,C47=R$10,C47=R$11),'Site Vist fomat  (Design)'!X$64,0)</f>
        <v>0</v>
      </c>
      <c r="BB47" s="1190"/>
      <c r="BC47" s="1191"/>
      <c r="BD47" s="1191"/>
      <c r="BE47" s="1191"/>
      <c r="BF47" s="1192">
        <f t="shared" si="8"/>
        <v>0</v>
      </c>
      <c r="BG47" s="1191"/>
      <c r="BH47" s="1193"/>
      <c r="CJ47" s="932"/>
      <c r="CU47" s="932"/>
      <c r="CV47" s="932"/>
      <c r="CW47" s="932"/>
      <c r="CX47" s="932"/>
      <c r="CY47" s="932"/>
      <c r="CZ47" s="932"/>
      <c r="DA47" s="932"/>
      <c r="DB47" s="932"/>
      <c r="DC47" s="932"/>
      <c r="DD47" s="932"/>
      <c r="DE47" s="932"/>
      <c r="DF47" s="932"/>
      <c r="DG47" s="932"/>
      <c r="DH47" s="932"/>
      <c r="DI47" s="932"/>
      <c r="DJ47" s="932"/>
      <c r="DK47" s="932"/>
      <c r="DL47" s="932"/>
      <c r="DM47" s="932"/>
      <c r="DN47" s="932"/>
      <c r="DO47" s="932"/>
      <c r="DP47" s="932"/>
      <c r="DQ47" s="932"/>
      <c r="DR47" s="932"/>
      <c r="DS47" s="932"/>
      <c r="DT47" s="932"/>
      <c r="DU47" s="932"/>
      <c r="DV47" s="932"/>
      <c r="DW47" s="932"/>
      <c r="DX47" s="932"/>
      <c r="DY47" s="932"/>
      <c r="DZ47" s="932"/>
      <c r="EA47" s="932"/>
      <c r="EB47" s="932"/>
      <c r="EC47" s="932"/>
      <c r="ED47" s="932"/>
      <c r="EE47" s="932"/>
      <c r="EF47" s="932"/>
      <c r="EG47" s="932"/>
      <c r="EH47" s="932"/>
      <c r="EI47" s="932"/>
      <c r="EJ47" s="932"/>
      <c r="EK47" s="932"/>
      <c r="EL47" s="932"/>
      <c r="EM47" s="932"/>
      <c r="EN47" s="932"/>
      <c r="EO47" s="932"/>
      <c r="EP47" s="932"/>
      <c r="EQ47" s="932"/>
      <c r="ER47" s="932"/>
      <c r="ES47" s="932"/>
      <c r="ET47" s="932"/>
      <c r="EU47" s="932"/>
      <c r="EV47" s="932"/>
      <c r="EW47" s="932"/>
      <c r="EX47" s="932"/>
      <c r="EY47" s="932"/>
      <c r="EZ47" s="932"/>
      <c r="FA47" s="932"/>
      <c r="FB47" s="932"/>
      <c r="FC47" s="932"/>
      <c r="FD47" s="932"/>
      <c r="FE47" s="932"/>
      <c r="FF47" s="932"/>
      <c r="FG47" s="932"/>
      <c r="FH47" s="932"/>
      <c r="FI47" s="932"/>
      <c r="FJ47" s="932"/>
      <c r="FK47" s="932"/>
      <c r="FL47" s="932"/>
      <c r="FM47" s="932"/>
    </row>
    <row r="48" spans="1:169" s="1194" customFormat="1" ht="17.399999999999999">
      <c r="A48" s="1195">
        <f t="shared" si="6"/>
        <v>24</v>
      </c>
      <c r="B48" s="2043"/>
      <c r="C48" s="1196"/>
      <c r="D48" s="2044"/>
      <c r="E48" s="1177"/>
      <c r="F48" s="1197"/>
      <c r="G48" s="1175">
        <f t="shared" si="2"/>
        <v>0</v>
      </c>
      <c r="H48" s="1176"/>
      <c r="I48" s="1177"/>
      <c r="J48" s="1177"/>
      <c r="K48" s="1177"/>
      <c r="L48" s="1177"/>
      <c r="M48" s="1177"/>
      <c r="N48" s="1177"/>
      <c r="O48" s="1177"/>
      <c r="P48" s="1177"/>
      <c r="Q48" s="1197"/>
      <c r="R48" s="1198">
        <f t="shared" si="3"/>
        <v>0</v>
      </c>
      <c r="S48" s="1199" t="e">
        <f t="shared" si="4"/>
        <v>#DIV/0!</v>
      </c>
      <c r="T48" s="1180"/>
      <c r="U48" s="1180"/>
      <c r="V48" s="1181"/>
      <c r="W48" s="1648"/>
      <c r="X48" s="2030" t="str">
        <f t="shared" si="7"/>
        <v xml:space="preserve"> </v>
      </c>
      <c r="Y48" s="1182"/>
      <c r="Z48" s="1183"/>
      <c r="AA48" s="1182"/>
      <c r="AB48" s="1183"/>
      <c r="AC48" s="1182"/>
      <c r="AD48" s="1183"/>
      <c r="AE48" s="1182"/>
      <c r="AF48" s="1183"/>
      <c r="AG48" s="1184"/>
      <c r="AH48" s="1185"/>
      <c r="AI48" s="1186"/>
      <c r="AJ48" s="2127"/>
      <c r="AK48" s="1187"/>
      <c r="AL48" s="1187"/>
      <c r="AM48" s="1187"/>
      <c r="AN48" s="1182"/>
      <c r="AO48" s="1188"/>
      <c r="AP48" s="2115"/>
      <c r="AQ48" s="2121"/>
      <c r="AR48" s="1187"/>
      <c r="AS48" s="1187"/>
      <c r="AT48" s="1187"/>
      <c r="AU48" s="1189"/>
      <c r="AV48" s="1187"/>
      <c r="AW48" s="2127"/>
      <c r="AX48" s="1187"/>
      <c r="AY48" s="1187"/>
      <c r="AZ48" s="1183"/>
      <c r="BA48" s="1652">
        <f>IF(OR(C48=R$7,C48=R$8,C48=R$9,C48=R$10,C48=R$11),'Site Vist fomat  (Design)'!Y$64,0)</f>
        <v>0</v>
      </c>
      <c r="BB48" s="1190"/>
      <c r="BC48" s="1191"/>
      <c r="BD48" s="1191"/>
      <c r="BE48" s="1191"/>
      <c r="BF48" s="1192">
        <f t="shared" si="8"/>
        <v>0</v>
      </c>
      <c r="BG48" s="1191"/>
      <c r="BH48" s="1193"/>
      <c r="CJ48" s="932"/>
      <c r="CU48" s="932"/>
      <c r="CV48" s="932"/>
      <c r="CW48" s="932"/>
      <c r="CX48" s="932"/>
      <c r="CY48" s="932"/>
      <c r="CZ48" s="932"/>
      <c r="DA48" s="932"/>
      <c r="DB48" s="932"/>
      <c r="DC48" s="932"/>
      <c r="DD48" s="932"/>
      <c r="DE48" s="932"/>
      <c r="DF48" s="932"/>
      <c r="DG48" s="932"/>
      <c r="DH48" s="932"/>
      <c r="DI48" s="932"/>
      <c r="DJ48" s="932"/>
      <c r="DK48" s="932"/>
      <c r="DL48" s="932"/>
      <c r="DM48" s="932"/>
      <c r="DN48" s="932"/>
      <c r="DO48" s="932"/>
      <c r="DP48" s="932"/>
      <c r="DQ48" s="932"/>
      <c r="DR48" s="932"/>
      <c r="DS48" s="932"/>
      <c r="DT48" s="932"/>
      <c r="DU48" s="932"/>
      <c r="DV48" s="932"/>
      <c r="DW48" s="932"/>
      <c r="DX48" s="932"/>
      <c r="DY48" s="932"/>
      <c r="DZ48" s="932"/>
      <c r="EA48" s="932"/>
      <c r="EB48" s="932"/>
      <c r="EC48" s="932"/>
      <c r="ED48" s="932"/>
      <c r="EE48" s="932"/>
      <c r="EF48" s="932"/>
      <c r="EG48" s="932"/>
      <c r="EH48" s="932"/>
      <c r="EI48" s="932"/>
      <c r="EJ48" s="932"/>
      <c r="EK48" s="932"/>
      <c r="EL48" s="932"/>
      <c r="EM48" s="932"/>
      <c r="EN48" s="932"/>
      <c r="EO48" s="932"/>
      <c r="EP48" s="932"/>
      <c r="EQ48" s="932"/>
      <c r="ER48" s="932"/>
      <c r="ES48" s="932"/>
      <c r="ET48" s="932"/>
      <c r="EU48" s="932"/>
      <c r="EV48" s="932"/>
      <c r="EW48" s="932"/>
      <c r="EX48" s="932"/>
      <c r="EY48" s="932"/>
      <c r="EZ48" s="932"/>
      <c r="FA48" s="932"/>
      <c r="FB48" s="932"/>
      <c r="FC48" s="932"/>
      <c r="FD48" s="932"/>
      <c r="FE48" s="932"/>
      <c r="FF48" s="932"/>
      <c r="FG48" s="932"/>
      <c r="FH48" s="932"/>
      <c r="FI48" s="932"/>
      <c r="FJ48" s="932"/>
      <c r="FK48" s="932"/>
      <c r="FL48" s="932"/>
      <c r="FM48" s="932"/>
    </row>
    <row r="49" spans="1:169" s="1194" customFormat="1" ht="17.399999999999999">
      <c r="A49" s="1195">
        <f t="shared" si="6"/>
        <v>25</v>
      </c>
      <c r="B49" s="2043"/>
      <c r="C49" s="1196"/>
      <c r="D49" s="2044"/>
      <c r="E49" s="1177"/>
      <c r="F49" s="1197"/>
      <c r="G49" s="1175">
        <f t="shared" si="2"/>
        <v>0</v>
      </c>
      <c r="H49" s="1176"/>
      <c r="I49" s="1177"/>
      <c r="J49" s="1177"/>
      <c r="K49" s="1177"/>
      <c r="L49" s="1177"/>
      <c r="M49" s="1177"/>
      <c r="N49" s="1177"/>
      <c r="O49" s="1177"/>
      <c r="P49" s="1177"/>
      <c r="Q49" s="1197"/>
      <c r="R49" s="1198">
        <f t="shared" si="3"/>
        <v>0</v>
      </c>
      <c r="S49" s="1199" t="e">
        <f t="shared" si="4"/>
        <v>#DIV/0!</v>
      </c>
      <c r="T49" s="1180"/>
      <c r="U49" s="1180"/>
      <c r="V49" s="1181"/>
      <c r="W49" s="1648"/>
      <c r="X49" s="2030" t="str">
        <f t="shared" si="7"/>
        <v xml:space="preserve"> </v>
      </c>
      <c r="Y49" s="1182"/>
      <c r="Z49" s="1183"/>
      <c r="AA49" s="1182"/>
      <c r="AB49" s="1183"/>
      <c r="AC49" s="1182"/>
      <c r="AD49" s="1183"/>
      <c r="AE49" s="1182"/>
      <c r="AF49" s="1183"/>
      <c r="AG49" s="1184"/>
      <c r="AH49" s="1185"/>
      <c r="AI49" s="1186"/>
      <c r="AJ49" s="2127"/>
      <c r="AK49" s="1187"/>
      <c r="AL49" s="1187"/>
      <c r="AM49" s="1187"/>
      <c r="AN49" s="1182"/>
      <c r="AO49" s="1188"/>
      <c r="AP49" s="2115"/>
      <c r="AQ49" s="2121"/>
      <c r="AR49" s="1187"/>
      <c r="AS49" s="1187"/>
      <c r="AT49" s="1187"/>
      <c r="AU49" s="1189"/>
      <c r="AV49" s="1187"/>
      <c r="AW49" s="2127"/>
      <c r="AX49" s="1187"/>
      <c r="AY49" s="1187"/>
      <c r="AZ49" s="1183"/>
      <c r="BA49" s="1652">
        <f>IF(OR(C49=R$7,C49=R$8,C49=R$9,C49=R$10,C49=R$11),'Site Vist fomat  (Design)'!Z$64,0)</f>
        <v>0</v>
      </c>
      <c r="BB49" s="1190"/>
      <c r="BC49" s="1191"/>
      <c r="BD49" s="1191"/>
      <c r="BE49" s="1191"/>
      <c r="BF49" s="1192">
        <f t="shared" si="8"/>
        <v>0</v>
      </c>
      <c r="BG49" s="1191"/>
      <c r="BH49" s="1193"/>
      <c r="CJ49" s="932"/>
      <c r="CU49" s="932"/>
      <c r="CV49" s="932"/>
      <c r="CW49" s="932"/>
      <c r="CX49" s="932"/>
      <c r="CY49" s="932"/>
      <c r="CZ49" s="932"/>
      <c r="DA49" s="932"/>
      <c r="DB49" s="932"/>
      <c r="DC49" s="932"/>
      <c r="DD49" s="932"/>
      <c r="DE49" s="932"/>
      <c r="DF49" s="932"/>
      <c r="DG49" s="932"/>
      <c r="DH49" s="932"/>
      <c r="DI49" s="932"/>
      <c r="DJ49" s="932"/>
      <c r="DK49" s="932"/>
      <c r="DL49" s="932"/>
      <c r="DM49" s="932"/>
      <c r="DN49" s="932"/>
      <c r="DO49" s="932"/>
      <c r="DP49" s="932"/>
      <c r="DQ49" s="932"/>
      <c r="DR49" s="932"/>
      <c r="DS49" s="932"/>
      <c r="DT49" s="932"/>
      <c r="DU49" s="932"/>
      <c r="DV49" s="932"/>
      <c r="DW49" s="932"/>
      <c r="DX49" s="932"/>
      <c r="DY49" s="932"/>
      <c r="DZ49" s="932"/>
      <c r="EA49" s="932"/>
      <c r="EB49" s="932"/>
      <c r="EC49" s="932"/>
      <c r="ED49" s="932"/>
      <c r="EE49" s="932"/>
      <c r="EF49" s="932"/>
      <c r="EG49" s="932"/>
      <c r="EH49" s="932"/>
      <c r="EI49" s="932"/>
      <c r="EJ49" s="932"/>
      <c r="EK49" s="932"/>
      <c r="EL49" s="932"/>
      <c r="EM49" s="932"/>
      <c r="EN49" s="932"/>
      <c r="EO49" s="932"/>
      <c r="EP49" s="932"/>
      <c r="EQ49" s="932"/>
      <c r="ER49" s="932"/>
      <c r="ES49" s="932"/>
      <c r="ET49" s="932"/>
      <c r="EU49" s="932"/>
      <c r="EV49" s="932"/>
      <c r="EW49" s="932"/>
      <c r="EX49" s="932"/>
      <c r="EY49" s="932"/>
      <c r="EZ49" s="932"/>
      <c r="FA49" s="932"/>
      <c r="FB49" s="932"/>
      <c r="FC49" s="932"/>
      <c r="FD49" s="932"/>
      <c r="FE49" s="932"/>
      <c r="FF49" s="932"/>
      <c r="FG49" s="932"/>
      <c r="FH49" s="932"/>
      <c r="FI49" s="932"/>
      <c r="FJ49" s="932"/>
      <c r="FK49" s="932"/>
      <c r="FL49" s="932"/>
      <c r="FM49" s="932"/>
    </row>
    <row r="50" spans="1:169" s="1194" customFormat="1" ht="17.399999999999999">
      <c r="A50" s="1195">
        <f t="shared" si="6"/>
        <v>26</v>
      </c>
      <c r="B50" s="2043"/>
      <c r="C50" s="1196"/>
      <c r="D50" s="2044"/>
      <c r="E50" s="1177"/>
      <c r="F50" s="1197"/>
      <c r="G50" s="1175">
        <f t="shared" si="2"/>
        <v>0</v>
      </c>
      <c r="H50" s="1176"/>
      <c r="I50" s="1177"/>
      <c r="J50" s="1177"/>
      <c r="K50" s="1177"/>
      <c r="L50" s="1177"/>
      <c r="M50" s="1177"/>
      <c r="N50" s="1177"/>
      <c r="O50" s="1177"/>
      <c r="P50" s="1177"/>
      <c r="Q50" s="1197"/>
      <c r="R50" s="1198">
        <f t="shared" si="3"/>
        <v>0</v>
      </c>
      <c r="S50" s="1199" t="e">
        <f t="shared" si="4"/>
        <v>#DIV/0!</v>
      </c>
      <c r="T50" s="1180"/>
      <c r="U50" s="1180"/>
      <c r="V50" s="1181"/>
      <c r="W50" s="1648"/>
      <c r="X50" s="2030" t="str">
        <f t="shared" si="7"/>
        <v xml:space="preserve"> </v>
      </c>
      <c r="Y50" s="1182"/>
      <c r="Z50" s="1183"/>
      <c r="AA50" s="1182"/>
      <c r="AB50" s="1183"/>
      <c r="AC50" s="1182"/>
      <c r="AD50" s="1183"/>
      <c r="AE50" s="1182"/>
      <c r="AF50" s="1183"/>
      <c r="AG50" s="1184"/>
      <c r="AH50" s="1185"/>
      <c r="AI50" s="1186"/>
      <c r="AJ50" s="2127"/>
      <c r="AK50" s="1187"/>
      <c r="AL50" s="1187"/>
      <c r="AM50" s="1187"/>
      <c r="AN50" s="1182"/>
      <c r="AO50" s="1188"/>
      <c r="AP50" s="2115"/>
      <c r="AQ50" s="2121"/>
      <c r="AR50" s="1187"/>
      <c r="AS50" s="1187"/>
      <c r="AT50" s="1187"/>
      <c r="AU50" s="1189"/>
      <c r="AV50" s="1187"/>
      <c r="AW50" s="2127"/>
      <c r="AX50" s="1187"/>
      <c r="AY50" s="1187"/>
      <c r="AZ50" s="1183"/>
      <c r="BA50" s="1652">
        <f>IF(OR(C50=R$7,C50=R$8,C50=R$9,C50=R$10,C50=R$11),'Site Vist fomat  (Design)'!AA$64,0)</f>
        <v>0</v>
      </c>
      <c r="BB50" s="1190"/>
      <c r="BC50" s="1191"/>
      <c r="BD50" s="1191"/>
      <c r="BE50" s="1191"/>
      <c r="BF50" s="1192">
        <f t="shared" si="8"/>
        <v>0</v>
      </c>
      <c r="BG50" s="1191"/>
      <c r="BH50" s="1193"/>
      <c r="CJ50" s="932"/>
      <c r="CU50" s="932"/>
      <c r="CV50" s="932"/>
      <c r="CW50" s="932"/>
      <c r="CX50" s="932"/>
      <c r="CY50" s="932"/>
      <c r="CZ50" s="932"/>
      <c r="DA50" s="932"/>
      <c r="DB50" s="932"/>
      <c r="DC50" s="932"/>
      <c r="DD50" s="932"/>
      <c r="DE50" s="932"/>
      <c r="DF50" s="932"/>
      <c r="DG50" s="932"/>
      <c r="DH50" s="932"/>
      <c r="DI50" s="932"/>
      <c r="DJ50" s="932"/>
      <c r="DK50" s="932"/>
      <c r="DL50" s="932"/>
      <c r="DM50" s="932"/>
      <c r="DN50" s="932"/>
      <c r="DO50" s="932"/>
      <c r="DP50" s="932"/>
      <c r="DQ50" s="932"/>
      <c r="DR50" s="932"/>
      <c r="DS50" s="932"/>
      <c r="DT50" s="932"/>
      <c r="DU50" s="932"/>
      <c r="DV50" s="932"/>
      <c r="DW50" s="932"/>
      <c r="DX50" s="932"/>
      <c r="DY50" s="932"/>
      <c r="DZ50" s="932"/>
      <c r="EA50" s="932"/>
      <c r="EB50" s="932"/>
      <c r="EC50" s="932"/>
      <c r="ED50" s="932"/>
      <c r="EE50" s="932"/>
      <c r="EF50" s="932"/>
      <c r="EG50" s="932"/>
      <c r="EH50" s="932"/>
      <c r="EI50" s="932"/>
      <c r="EJ50" s="932"/>
      <c r="EK50" s="932"/>
      <c r="EL50" s="932"/>
      <c r="EM50" s="932"/>
      <c r="EN50" s="932"/>
      <c r="EO50" s="932"/>
      <c r="EP50" s="932"/>
      <c r="EQ50" s="932"/>
      <c r="ER50" s="932"/>
      <c r="ES50" s="932"/>
      <c r="ET50" s="932"/>
      <c r="EU50" s="932"/>
      <c r="EV50" s="932"/>
      <c r="EW50" s="932"/>
      <c r="EX50" s="932"/>
      <c r="EY50" s="932"/>
      <c r="EZ50" s="932"/>
      <c r="FA50" s="932"/>
      <c r="FB50" s="932"/>
      <c r="FC50" s="932"/>
      <c r="FD50" s="932"/>
      <c r="FE50" s="932"/>
      <c r="FF50" s="932"/>
      <c r="FG50" s="932"/>
      <c r="FH50" s="932"/>
      <c r="FI50" s="932"/>
      <c r="FJ50" s="932"/>
      <c r="FK50" s="932"/>
      <c r="FL50" s="932"/>
      <c r="FM50" s="932"/>
    </row>
    <row r="51" spans="1:169" s="1194" customFormat="1" ht="17.399999999999999">
      <c r="A51" s="1195">
        <f t="shared" si="6"/>
        <v>27</v>
      </c>
      <c r="B51" s="2043"/>
      <c r="C51" s="1196"/>
      <c r="D51" s="2044"/>
      <c r="E51" s="1177"/>
      <c r="F51" s="1197"/>
      <c r="G51" s="1175">
        <f t="shared" si="2"/>
        <v>0</v>
      </c>
      <c r="H51" s="1176"/>
      <c r="I51" s="1177"/>
      <c r="J51" s="1177"/>
      <c r="K51" s="1177"/>
      <c r="L51" s="1177"/>
      <c r="M51" s="1177"/>
      <c r="N51" s="1177"/>
      <c r="O51" s="1177"/>
      <c r="P51" s="1177"/>
      <c r="Q51" s="1197"/>
      <c r="R51" s="1198">
        <f t="shared" si="3"/>
        <v>0</v>
      </c>
      <c r="S51" s="1199" t="e">
        <f t="shared" si="4"/>
        <v>#DIV/0!</v>
      </c>
      <c r="T51" s="1180"/>
      <c r="U51" s="1180"/>
      <c r="V51" s="1181"/>
      <c r="W51" s="1648"/>
      <c r="X51" s="2030" t="str">
        <f t="shared" si="7"/>
        <v xml:space="preserve"> </v>
      </c>
      <c r="Y51" s="1182"/>
      <c r="Z51" s="1183"/>
      <c r="AA51" s="1182"/>
      <c r="AB51" s="1183"/>
      <c r="AC51" s="1182"/>
      <c r="AD51" s="1183"/>
      <c r="AE51" s="1182"/>
      <c r="AF51" s="1183"/>
      <c r="AG51" s="1184"/>
      <c r="AH51" s="1185"/>
      <c r="AI51" s="1186"/>
      <c r="AJ51" s="2127"/>
      <c r="AK51" s="1187"/>
      <c r="AL51" s="1187"/>
      <c r="AM51" s="1187"/>
      <c r="AN51" s="1182"/>
      <c r="AO51" s="1188"/>
      <c r="AP51" s="2115"/>
      <c r="AQ51" s="2121"/>
      <c r="AR51" s="1187"/>
      <c r="AS51" s="1187"/>
      <c r="AT51" s="1187"/>
      <c r="AU51" s="1189"/>
      <c r="AV51" s="1187"/>
      <c r="AW51" s="2127"/>
      <c r="AX51" s="1187"/>
      <c r="AY51" s="1187"/>
      <c r="AZ51" s="1183"/>
      <c r="BA51" s="1652">
        <f>IF(OR(C51=R$7,C51=R$8,C51=R$9,C51=R$10,C51=R$11),'Site Vist fomat  (Design)'!AB$64,0)</f>
        <v>0</v>
      </c>
      <c r="BB51" s="1190"/>
      <c r="BC51" s="1191"/>
      <c r="BD51" s="1191"/>
      <c r="BE51" s="1191"/>
      <c r="BF51" s="1192">
        <f t="shared" si="8"/>
        <v>0</v>
      </c>
      <c r="BG51" s="1191"/>
      <c r="BH51" s="1193"/>
      <c r="CJ51" s="932"/>
      <c r="CU51" s="932"/>
      <c r="CV51" s="932"/>
      <c r="CW51" s="932"/>
      <c r="CX51" s="932"/>
      <c r="CY51" s="932"/>
      <c r="CZ51" s="932"/>
      <c r="DA51" s="932"/>
      <c r="DB51" s="932"/>
      <c r="DC51" s="932"/>
      <c r="DD51" s="932"/>
      <c r="DE51" s="932"/>
      <c r="DF51" s="932"/>
      <c r="DG51" s="932"/>
      <c r="DH51" s="932"/>
      <c r="DI51" s="932"/>
      <c r="DJ51" s="932"/>
      <c r="DK51" s="932"/>
      <c r="DL51" s="932"/>
      <c r="DM51" s="932"/>
      <c r="DN51" s="932"/>
      <c r="DO51" s="932"/>
      <c r="DP51" s="932"/>
      <c r="DQ51" s="932"/>
      <c r="DR51" s="932"/>
      <c r="DS51" s="932"/>
      <c r="DT51" s="932"/>
      <c r="DU51" s="932"/>
      <c r="DV51" s="932"/>
      <c r="DW51" s="932"/>
      <c r="DX51" s="932"/>
      <c r="DY51" s="932"/>
      <c r="DZ51" s="932"/>
      <c r="EA51" s="932"/>
      <c r="EB51" s="932"/>
      <c r="EC51" s="932"/>
      <c r="ED51" s="932"/>
      <c r="EE51" s="932"/>
      <c r="EF51" s="932"/>
      <c r="EG51" s="932"/>
      <c r="EH51" s="932"/>
      <c r="EI51" s="932"/>
      <c r="EJ51" s="932"/>
      <c r="EK51" s="932"/>
      <c r="EL51" s="932"/>
      <c r="EM51" s="932"/>
      <c r="EN51" s="932"/>
      <c r="EO51" s="932"/>
      <c r="EP51" s="932"/>
      <c r="EQ51" s="932"/>
      <c r="ER51" s="932"/>
      <c r="ES51" s="932"/>
      <c r="ET51" s="932"/>
      <c r="EU51" s="932"/>
      <c r="EV51" s="932"/>
      <c r="EW51" s="932"/>
      <c r="EX51" s="932"/>
      <c r="EY51" s="932"/>
      <c r="EZ51" s="932"/>
      <c r="FA51" s="932"/>
      <c r="FB51" s="932"/>
      <c r="FC51" s="932"/>
      <c r="FD51" s="932"/>
      <c r="FE51" s="932"/>
      <c r="FF51" s="932"/>
      <c r="FG51" s="932"/>
      <c r="FH51" s="932"/>
      <c r="FI51" s="932"/>
      <c r="FJ51" s="932"/>
      <c r="FK51" s="932"/>
      <c r="FL51" s="932"/>
      <c r="FM51" s="932"/>
    </row>
    <row r="52" spans="1:169" s="1194" customFormat="1" ht="17.399999999999999">
      <c r="A52" s="1195">
        <f t="shared" si="6"/>
        <v>28</v>
      </c>
      <c r="B52" s="2043"/>
      <c r="C52" s="1196"/>
      <c r="D52" s="2044"/>
      <c r="E52" s="1177"/>
      <c r="F52" s="1197"/>
      <c r="G52" s="1175">
        <f t="shared" si="2"/>
        <v>0</v>
      </c>
      <c r="H52" s="1176"/>
      <c r="I52" s="1177"/>
      <c r="J52" s="1177"/>
      <c r="K52" s="1177"/>
      <c r="L52" s="1177"/>
      <c r="M52" s="1177"/>
      <c r="N52" s="1177"/>
      <c r="O52" s="1177"/>
      <c r="P52" s="1177"/>
      <c r="Q52" s="1197"/>
      <c r="R52" s="1198">
        <f t="shared" si="3"/>
        <v>0</v>
      </c>
      <c r="S52" s="1199" t="e">
        <f t="shared" si="4"/>
        <v>#DIV/0!</v>
      </c>
      <c r="T52" s="1180"/>
      <c r="U52" s="1180"/>
      <c r="V52" s="1181"/>
      <c r="W52" s="1648"/>
      <c r="X52" s="2030" t="str">
        <f t="shared" si="7"/>
        <v xml:space="preserve"> </v>
      </c>
      <c r="Y52" s="1182"/>
      <c r="Z52" s="1183"/>
      <c r="AA52" s="1182"/>
      <c r="AB52" s="1183"/>
      <c r="AC52" s="1182"/>
      <c r="AD52" s="1183"/>
      <c r="AE52" s="1182"/>
      <c r="AF52" s="1183"/>
      <c r="AG52" s="1184"/>
      <c r="AH52" s="1185"/>
      <c r="AI52" s="1186"/>
      <c r="AJ52" s="2127"/>
      <c r="AK52" s="1187"/>
      <c r="AL52" s="1187"/>
      <c r="AM52" s="1187"/>
      <c r="AN52" s="1182"/>
      <c r="AO52" s="1188"/>
      <c r="AP52" s="2115"/>
      <c r="AQ52" s="2121"/>
      <c r="AR52" s="1187"/>
      <c r="AS52" s="1187"/>
      <c r="AT52" s="1187"/>
      <c r="AU52" s="1189"/>
      <c r="AV52" s="1187"/>
      <c r="AW52" s="2127"/>
      <c r="AX52" s="1187"/>
      <c r="AY52" s="1187"/>
      <c r="AZ52" s="1183"/>
      <c r="BA52" s="1652">
        <f>IF(OR(C52=R$7,C52=R$8,C52=R$9,C52=R$10,C52=R$11),'Site Vist fomat  (Design)'!AC$64,0)</f>
        <v>0</v>
      </c>
      <c r="BB52" s="1190"/>
      <c r="BC52" s="1191"/>
      <c r="BD52" s="1191"/>
      <c r="BE52" s="1191"/>
      <c r="BF52" s="1192">
        <f t="shared" si="8"/>
        <v>0</v>
      </c>
      <c r="BG52" s="1191"/>
      <c r="BH52" s="1193"/>
      <c r="CJ52" s="932"/>
      <c r="CU52" s="932"/>
      <c r="CV52" s="932"/>
      <c r="CW52" s="932"/>
      <c r="CX52" s="932"/>
      <c r="CY52" s="932"/>
      <c r="CZ52" s="932"/>
      <c r="DA52" s="932"/>
      <c r="DB52" s="932"/>
      <c r="DC52" s="932"/>
      <c r="DD52" s="932"/>
      <c r="DE52" s="932"/>
      <c r="DF52" s="932"/>
      <c r="DG52" s="932"/>
      <c r="DH52" s="932"/>
      <c r="DI52" s="932"/>
      <c r="DJ52" s="932"/>
      <c r="DK52" s="932"/>
      <c r="DL52" s="932"/>
      <c r="DM52" s="932"/>
      <c r="DN52" s="932"/>
      <c r="DO52" s="932"/>
      <c r="DP52" s="932"/>
      <c r="DQ52" s="932"/>
      <c r="DR52" s="932"/>
      <c r="DS52" s="932"/>
      <c r="DT52" s="932"/>
      <c r="DU52" s="932"/>
      <c r="DV52" s="932"/>
      <c r="DW52" s="932"/>
      <c r="DX52" s="932"/>
      <c r="DY52" s="932"/>
      <c r="DZ52" s="932"/>
      <c r="EA52" s="932"/>
      <c r="EB52" s="932"/>
      <c r="EC52" s="932"/>
      <c r="ED52" s="932"/>
      <c r="EE52" s="932"/>
      <c r="EF52" s="932"/>
      <c r="EG52" s="932"/>
      <c r="EH52" s="932"/>
      <c r="EI52" s="932"/>
      <c r="EJ52" s="932"/>
      <c r="EK52" s="932"/>
      <c r="EL52" s="932"/>
      <c r="EM52" s="932"/>
      <c r="EN52" s="932"/>
      <c r="EO52" s="932"/>
      <c r="EP52" s="932"/>
      <c r="EQ52" s="932"/>
      <c r="ER52" s="932"/>
      <c r="ES52" s="932"/>
      <c r="ET52" s="932"/>
      <c r="EU52" s="932"/>
      <c r="EV52" s="932"/>
      <c r="EW52" s="932"/>
      <c r="EX52" s="932"/>
      <c r="EY52" s="932"/>
      <c r="EZ52" s="932"/>
      <c r="FA52" s="932"/>
      <c r="FB52" s="932"/>
      <c r="FC52" s="932"/>
      <c r="FD52" s="932"/>
      <c r="FE52" s="932"/>
      <c r="FF52" s="932"/>
      <c r="FG52" s="932"/>
      <c r="FH52" s="932"/>
      <c r="FI52" s="932"/>
      <c r="FJ52" s="932"/>
      <c r="FK52" s="932"/>
      <c r="FL52" s="932"/>
      <c r="FM52" s="932"/>
    </row>
    <row r="53" spans="1:169" s="1194" customFormat="1" ht="17.399999999999999">
      <c r="A53" s="1195">
        <f t="shared" si="6"/>
        <v>29</v>
      </c>
      <c r="B53" s="2043"/>
      <c r="C53" s="1196"/>
      <c r="D53" s="2044"/>
      <c r="E53" s="1177"/>
      <c r="F53" s="1197"/>
      <c r="G53" s="1175">
        <f t="shared" si="2"/>
        <v>0</v>
      </c>
      <c r="H53" s="1176"/>
      <c r="I53" s="1177"/>
      <c r="J53" s="1177"/>
      <c r="K53" s="1177"/>
      <c r="L53" s="1177"/>
      <c r="M53" s="1177"/>
      <c r="N53" s="1177"/>
      <c r="O53" s="1177"/>
      <c r="P53" s="1177"/>
      <c r="Q53" s="1197"/>
      <c r="R53" s="1198">
        <f t="shared" si="3"/>
        <v>0</v>
      </c>
      <c r="S53" s="1199" t="e">
        <f t="shared" si="4"/>
        <v>#DIV/0!</v>
      </c>
      <c r="T53" s="1180"/>
      <c r="U53" s="1180"/>
      <c r="V53" s="1181"/>
      <c r="W53" s="1648"/>
      <c r="X53" s="2030" t="str">
        <f t="shared" si="7"/>
        <v xml:space="preserve"> </v>
      </c>
      <c r="Y53" s="1182"/>
      <c r="Z53" s="1183"/>
      <c r="AA53" s="1182"/>
      <c r="AB53" s="1183"/>
      <c r="AC53" s="1182"/>
      <c r="AD53" s="1183"/>
      <c r="AE53" s="1182"/>
      <c r="AF53" s="1183"/>
      <c r="AG53" s="1184"/>
      <c r="AH53" s="1185"/>
      <c r="AI53" s="1186"/>
      <c r="AJ53" s="2127"/>
      <c r="AK53" s="1187"/>
      <c r="AL53" s="1187"/>
      <c r="AM53" s="1187"/>
      <c r="AN53" s="1182"/>
      <c r="AO53" s="1188"/>
      <c r="AP53" s="2115"/>
      <c r="AQ53" s="2121"/>
      <c r="AR53" s="1187"/>
      <c r="AS53" s="1187"/>
      <c r="AT53" s="1187"/>
      <c r="AU53" s="1189"/>
      <c r="AV53" s="1187"/>
      <c r="AW53" s="2127"/>
      <c r="AX53" s="1187"/>
      <c r="AY53" s="1187"/>
      <c r="AZ53" s="1183"/>
      <c r="BA53" s="1652">
        <f>IF(OR(C53=R$7,C53=R$8,C53=R$9,C53=R$10,C53=R$11),'Site Vist fomat  (Design)'!AD$64,0)</f>
        <v>0</v>
      </c>
      <c r="BB53" s="1190"/>
      <c r="BC53" s="1191"/>
      <c r="BD53" s="1191"/>
      <c r="BE53" s="1191"/>
      <c r="BF53" s="1192">
        <f t="shared" si="8"/>
        <v>0</v>
      </c>
      <c r="BG53" s="1191"/>
      <c r="BH53" s="1193"/>
      <c r="CJ53" s="932"/>
      <c r="CU53" s="932"/>
      <c r="CV53" s="932"/>
      <c r="CW53" s="932"/>
      <c r="CX53" s="932"/>
      <c r="CY53" s="932"/>
      <c r="CZ53" s="932"/>
      <c r="DA53" s="932"/>
      <c r="DB53" s="932"/>
      <c r="DC53" s="932"/>
      <c r="DD53" s="932"/>
      <c r="DE53" s="932"/>
      <c r="DF53" s="932"/>
      <c r="DG53" s="932"/>
      <c r="DH53" s="932"/>
      <c r="DI53" s="932"/>
      <c r="DJ53" s="932"/>
      <c r="DK53" s="932"/>
      <c r="DL53" s="932"/>
      <c r="DM53" s="932"/>
      <c r="DN53" s="932"/>
      <c r="DO53" s="932"/>
      <c r="DP53" s="932"/>
      <c r="DQ53" s="932"/>
      <c r="DR53" s="932"/>
      <c r="DS53" s="932"/>
      <c r="DT53" s="932"/>
      <c r="DU53" s="932"/>
      <c r="DV53" s="932"/>
      <c r="DW53" s="932"/>
      <c r="DX53" s="932"/>
      <c r="DY53" s="932"/>
      <c r="DZ53" s="932"/>
      <c r="EA53" s="932"/>
      <c r="EB53" s="932"/>
      <c r="EC53" s="932"/>
      <c r="ED53" s="932"/>
      <c r="EE53" s="932"/>
      <c r="EF53" s="932"/>
      <c r="EG53" s="932"/>
      <c r="EH53" s="932"/>
      <c r="EI53" s="932"/>
      <c r="EJ53" s="932"/>
      <c r="EK53" s="932"/>
      <c r="EL53" s="932"/>
      <c r="EM53" s="932"/>
      <c r="EN53" s="932"/>
      <c r="EO53" s="932"/>
      <c r="EP53" s="932"/>
      <c r="EQ53" s="932"/>
      <c r="ER53" s="932"/>
      <c r="ES53" s="932"/>
      <c r="ET53" s="932"/>
      <c r="EU53" s="932"/>
      <c r="EV53" s="932"/>
      <c r="EW53" s="932"/>
      <c r="EX53" s="932"/>
      <c r="EY53" s="932"/>
      <c r="EZ53" s="932"/>
      <c r="FA53" s="932"/>
      <c r="FB53" s="932"/>
      <c r="FC53" s="932"/>
      <c r="FD53" s="932"/>
      <c r="FE53" s="932"/>
      <c r="FF53" s="932"/>
      <c r="FG53" s="932"/>
      <c r="FH53" s="932"/>
      <c r="FI53" s="932"/>
      <c r="FJ53" s="932"/>
      <c r="FK53" s="932"/>
      <c r="FL53" s="932"/>
      <c r="FM53" s="932"/>
    </row>
    <row r="54" spans="1:169" s="1194" customFormat="1" ht="18" thickBot="1">
      <c r="A54" s="2130">
        <f t="shared" si="6"/>
        <v>30</v>
      </c>
      <c r="B54" s="2131"/>
      <c r="C54" s="1196"/>
      <c r="D54" s="2044"/>
      <c r="E54" s="1207"/>
      <c r="F54" s="1197"/>
      <c r="G54" s="1208">
        <f t="shared" si="2"/>
        <v>0</v>
      </c>
      <c r="H54" s="1209"/>
      <c r="I54" s="1210"/>
      <c r="J54" s="1210"/>
      <c r="K54" s="1210"/>
      <c r="L54" s="1210"/>
      <c r="M54" s="1210"/>
      <c r="N54" s="1210"/>
      <c r="O54" s="1210"/>
      <c r="P54" s="1210"/>
      <c r="Q54" s="1211"/>
      <c r="R54" s="1212">
        <f t="shared" si="3"/>
        <v>0</v>
      </c>
      <c r="S54" s="1213" t="e">
        <f t="shared" si="4"/>
        <v>#DIV/0!</v>
      </c>
      <c r="T54" s="1214"/>
      <c r="U54" s="1214"/>
      <c r="V54" s="1215"/>
      <c r="W54" s="1648"/>
      <c r="X54" s="2030" t="str">
        <f t="shared" si="7"/>
        <v xml:space="preserve"> </v>
      </c>
      <c r="Y54" s="1216"/>
      <c r="Z54" s="1217"/>
      <c r="AA54" s="1216"/>
      <c r="AB54" s="1217"/>
      <c r="AC54" s="1216"/>
      <c r="AD54" s="1217"/>
      <c r="AE54" s="1216"/>
      <c r="AF54" s="1217"/>
      <c r="AG54" s="1218"/>
      <c r="AH54" s="1219"/>
      <c r="AI54" s="1220"/>
      <c r="AJ54" s="2128"/>
      <c r="AK54" s="1221"/>
      <c r="AL54" s="1221"/>
      <c r="AM54" s="1221"/>
      <c r="AN54" s="1216"/>
      <c r="AO54" s="1222"/>
      <c r="AP54" s="2117"/>
      <c r="AQ54" s="2123"/>
      <c r="AR54" s="1806"/>
      <c r="AS54" s="1806"/>
      <c r="AT54" s="1806"/>
      <c r="AU54" s="1807"/>
      <c r="AV54" s="1806"/>
      <c r="AW54" s="2129"/>
      <c r="AX54" s="1806"/>
      <c r="AY54" s="1806"/>
      <c r="AZ54" s="1808"/>
      <c r="BA54" s="1809">
        <f>IF(OR(C54=R$7,C54=R$8,C54=R$9,C54=R$10,C54=R$11),'Site Vist fomat  (Design)'!AE$64,0)</f>
        <v>0</v>
      </c>
      <c r="BB54" s="1223"/>
      <c r="BC54" s="1224"/>
      <c r="BD54" s="1224"/>
      <c r="BE54" s="1224"/>
      <c r="BF54" s="1225">
        <f t="shared" si="8"/>
        <v>0</v>
      </c>
      <c r="BG54" s="1224"/>
      <c r="BH54" s="1226"/>
      <c r="CJ54" s="932"/>
      <c r="CU54" s="932"/>
      <c r="CV54" s="932"/>
      <c r="CW54" s="932"/>
      <c r="CX54" s="932"/>
      <c r="CY54" s="932"/>
      <c r="CZ54" s="932"/>
      <c r="DA54" s="932"/>
      <c r="DB54" s="932"/>
      <c r="DC54" s="932"/>
      <c r="DD54" s="932"/>
      <c r="DE54" s="932"/>
      <c r="DF54" s="932"/>
      <c r="DG54" s="932"/>
      <c r="DH54" s="932"/>
      <c r="DI54" s="932"/>
      <c r="DJ54" s="932"/>
      <c r="DK54" s="932"/>
      <c r="DL54" s="932"/>
      <c r="DM54" s="932"/>
      <c r="DN54" s="932"/>
      <c r="DO54" s="932"/>
      <c r="DP54" s="932"/>
      <c r="DQ54" s="932"/>
      <c r="DR54" s="932"/>
      <c r="DS54" s="932"/>
      <c r="DT54" s="932"/>
      <c r="DU54" s="932"/>
      <c r="DV54" s="932"/>
      <c r="DW54" s="932"/>
      <c r="DX54" s="932"/>
      <c r="DY54" s="932"/>
      <c r="DZ54" s="932"/>
      <c r="EA54" s="932"/>
      <c r="EB54" s="932"/>
      <c r="EC54" s="932"/>
      <c r="ED54" s="932"/>
      <c r="EE54" s="932"/>
      <c r="EF54" s="932"/>
      <c r="EG54" s="932"/>
      <c r="EH54" s="932"/>
      <c r="EI54" s="932"/>
      <c r="EJ54" s="932"/>
      <c r="EK54" s="932"/>
      <c r="EL54" s="932"/>
      <c r="EM54" s="932"/>
      <c r="EN54" s="932"/>
      <c r="EO54" s="932"/>
      <c r="EP54" s="932"/>
      <c r="EQ54" s="932"/>
      <c r="ER54" s="932"/>
      <c r="ES54" s="932"/>
      <c r="ET54" s="932"/>
      <c r="EU54" s="932"/>
      <c r="EV54" s="932"/>
      <c r="EW54" s="932"/>
      <c r="EX54" s="932"/>
      <c r="EY54" s="932"/>
      <c r="EZ54" s="932"/>
      <c r="FA54" s="932"/>
      <c r="FB54" s="932"/>
      <c r="FC54" s="932"/>
      <c r="FD54" s="932"/>
      <c r="FE54" s="932"/>
      <c r="FF54" s="932"/>
      <c r="FG54" s="932"/>
      <c r="FH54" s="932"/>
      <c r="FI54" s="932"/>
      <c r="FJ54" s="932"/>
      <c r="FK54" s="932"/>
      <c r="FL54" s="932"/>
      <c r="FM54" s="932"/>
    </row>
    <row r="55" spans="1:169" s="441" customFormat="1" ht="18.600000000000001" thickBot="1">
      <c r="A55" s="2804" t="s">
        <v>216</v>
      </c>
      <c r="B55" s="2805"/>
      <c r="C55" s="2806"/>
      <c r="D55" s="1227"/>
      <c r="E55" s="1228">
        <f>SUM(E25:E54)</f>
        <v>646</v>
      </c>
      <c r="F55" s="1229">
        <f>SUM(F25:F54)</f>
        <v>646</v>
      </c>
      <c r="G55" s="1230">
        <f>SUM(G25:G54)</f>
        <v>400.52</v>
      </c>
      <c r="H55" s="1227" cm="1">
        <f t="array" ref="H55">IF(H24&gt;0, SUMPRODUCT(($F$25:$F$54&gt;0)*H25:H54), 0)</f>
        <v>2</v>
      </c>
      <c r="I55" s="1227" cm="1">
        <f t="array" ref="I55">IF(I24&gt;0, SUMPRODUCT(($F$25:$F$54&gt;0)*I25:I54), 0)</f>
        <v>0</v>
      </c>
      <c r="J55" s="1227" cm="1">
        <f t="array" ref="J55">IF(J24&gt;0, SUMPRODUCT(($F$25:$F$54&gt;0)*J25:J54), 0)</f>
        <v>0</v>
      </c>
      <c r="K55" s="1227" cm="1">
        <f t="array" ref="K55">IF(K24&gt;0, SUMPRODUCT(($F$25:$F$54&gt;0)*K25:K54), 0)</f>
        <v>0</v>
      </c>
      <c r="L55" s="1227" cm="1">
        <f t="array" ref="L55">IF(L24&gt;0, SUMPRODUCT(($F$25:$F$54&gt;0)*L25:L54), 0)</f>
        <v>0</v>
      </c>
      <c r="M55" s="1227" cm="1">
        <f t="array" ref="M55">IF(M24&gt;0, SUMPRODUCT(($F$25:$F$54&gt;0)*M25:M54), 0)</f>
        <v>0</v>
      </c>
      <c r="N55" s="1227" cm="1">
        <f t="array" ref="N55">IF(N24&gt;0, SUMPRODUCT(($F$25:$F$54&gt;0)*N25:N54), 0)</f>
        <v>0</v>
      </c>
      <c r="O55" s="1227" cm="1">
        <f t="array" ref="O55">IF(O24&gt;0, SUMPRODUCT(($F$25:$F$54&gt;0)*O25:O54), 0)</f>
        <v>0</v>
      </c>
      <c r="P55" s="1227" cm="1">
        <f t="array" ref="P55">IF(P24&gt;0, SUMPRODUCT(($F$25:$F$54&gt;0)*P25:P54), 0)</f>
        <v>0</v>
      </c>
      <c r="Q55" s="1227" cm="1">
        <f t="array" ref="Q55">IF(Q24&gt;0, SUMPRODUCT(($F$25:$F$54&gt;0)*Q25:Q54), 0)</f>
        <v>0</v>
      </c>
      <c r="R55" s="1231">
        <f>IF(G55&lt;1,0,SUM(R25:R54))</f>
        <v>300</v>
      </c>
      <c r="S55" s="1232">
        <f t="shared" si="4"/>
        <v>1.3350666666666666</v>
      </c>
      <c r="T55" s="1233"/>
      <c r="U55" s="1234"/>
      <c r="V55" s="1642">
        <f>SUM(V25:V54)</f>
        <v>33</v>
      </c>
      <c r="W55" s="1235"/>
      <c r="X55" s="1235"/>
      <c r="Y55" s="1235"/>
      <c r="Z55" s="1235"/>
      <c r="AA55" s="1235"/>
      <c r="AB55" s="1235"/>
      <c r="AC55" s="1235"/>
      <c r="AD55" s="1235"/>
      <c r="AE55" s="1235"/>
      <c r="AF55" s="1236"/>
      <c r="AG55" s="1235"/>
      <c r="AH55" s="1235">
        <f>IF(AG25&lt;&gt;$Q$189,AH25,0)+IF(AG26&lt;&gt;$Q$189,AH26,0)+IF(AG27&lt;&gt;$Q$189,AH27,0)+IF(AG28&lt;&gt;$Q$189,AH28,0) +IF(AG29&lt;&gt;$Q$189,AH29,0) +IF(AG30&lt;&gt;$Q$189,AH30,0) +IF(AG31&lt;&gt;$Q$189,AH31,0) +IF(AG32&lt;&gt;$Q$189,AH32,0) +IF(AG33&lt;&gt;$Q$189,AH33,0) +IF(AG34&lt;&gt;$Q$189,AH34,0) +IF(AG35&lt;&gt;$Q$189,AH35,0) +IF(AG36&lt;&gt;$Q$189,AH36,0) +IF(AG37&lt;&gt;$Q$189,AH37,0) +IF(AG38&lt;&gt;$Q$189,AH38,0) +IF(AG39&lt;&gt;$Q$189,AH39,0) +IF(AG40&lt;&gt;$Q$189,AH40,0) +IF(AG41&lt;&gt;$Q$189,AH41,0) +IF(AG42&lt;&gt;$Q$189,AH42,0) +IF(AG43&lt;&gt;$Q$189,AH43,0) +IF(AG44&lt;&gt;$Q$189,AH44,0)+IF(AG45&lt;&gt;$Q$189,AH45,0)+IF(AG46&lt;&gt;$Q$189,AH46,0)+IF(AG47&lt;&gt;$Q$189,AH47,0)+IF(AG48&lt;&gt;$Q$189,AH48,0)+IF(AG49&lt;&gt;$Q$189,AH49,0)+IF(AG50&lt;&gt;$Q$189,AH50,0)+IF(AG51&lt;&gt;$Q$189,AH51,0)+IF(AG52&lt;&gt;$Q$189,AH52,0)+IF(AG53&lt;&gt;$Q$189,AH53,0)+IF(AG54&lt;&gt;$Q$189,AH54,0)</f>
        <v>1</v>
      </c>
      <c r="AI55" s="1235">
        <f t="shared" ref="AI55" si="9">SUM(AI25:AI54)</f>
        <v>408</v>
      </c>
      <c r="AJ55" s="1235" cm="1">
        <f t="array" ref="AJ55">SUMPRODUCT((($C$25:$C$54=$R$7)+($C$25:$C$54=$R$8)+($C$25:$C$54=$R$10)+($C$25:$C$54=$R$11)+($C$25:$C$54=$R$13)+($C$25:$C$54=$R$14))*(AJ25:AJ54))</f>
        <v>350</v>
      </c>
      <c r="AK55" s="1235" cm="1">
        <f t="array" ref="AK55">SUMPRODUCT((($C$25:$C$54=$R$7)+($C$25:$C$54=$R$8)+($C$25:$C$54=$R$10)+($C$25:$C$54=$R$11)+($C$25:$C$54=$R$13)+($C$25:$C$54=$R$14))*(AK25:AK54))</f>
        <v>0</v>
      </c>
      <c r="AL55" s="1235" cm="1">
        <f t="array" ref="AL55">SUMPRODUCT((($C$25:$C$54=$R$7)+($C$25:$C$54=$R$8)+($C$25:$C$54=$R$10)+($C$25:$C$54=$R$11)+($C$25:$C$54=$R$13)+($C$25:$C$54=$R$14))*(AL25:AL54))</f>
        <v>350</v>
      </c>
      <c r="AM55" s="1235" cm="1">
        <f t="array" ref="AM55">SUMPRODUCT((($C$25:$C$54=$R$7)+($C$25:$C$54=$R$8)+($C$25:$C$54=$R$10)+($C$25:$C$54=$R$11)+($C$25:$C$54=$R$13)+($C$25:$C$54=$R$14))*(AM25:AM54))</f>
        <v>51</v>
      </c>
      <c r="AN55" s="1235">
        <f>IF($G$55&lt;1,0,SUM(AN25:AN54))</f>
        <v>4050</v>
      </c>
      <c r="AO55" s="1236">
        <f>IF($G$55&lt;1,0,SUM(AO25:AO54))</f>
        <v>0</v>
      </c>
      <c r="AP55" s="2118" cm="1">
        <f t="array" ref="AP55">SUMPRODUCT((($C$25:$C$54=$R$7)+($C$25:$C$54=$R$8)+($C$25:$C$54=$R$9)+($C$25:$C$54=$R$10)+($C$25:$C$54=$R$11))*(AP25:AP54))</f>
        <v>350</v>
      </c>
      <c r="AQ55" s="1237" cm="1">
        <f t="array" ref="AQ55">SUMPRODUCT((($C$25:$C$54=$R$7)+($C$25:$C$54=$R$8)+($C$25:$C$54=$R$9)+($C$25:$C$54=$R$10)+($C$25:$C$54=$R$11))*(AQ25:AQ54))</f>
        <v>0</v>
      </c>
      <c r="AR55" s="1237" cm="1">
        <f t="array" ref="AR55">SUMPRODUCT((($C$25:$C$54=$R$7)+($C$25:$C$54=$R$8))*(AR25:AR54))</f>
        <v>0</v>
      </c>
      <c r="AS55" s="1237" cm="1">
        <f t="array" ref="AS55">SUMPRODUCT((($C$25:$C$54=$R$7)+($C$25:$C$54=$R$8))*(AS25:AS54))</f>
        <v>0</v>
      </c>
      <c r="AT55" s="1237" cm="1">
        <f t="array" ref="AT55">SUMPRODUCT((($C$25:$C$54=$R$7)+($C$25:$C$54=$R$8))*(AT25:AT54))</f>
        <v>0</v>
      </c>
      <c r="AU55" s="1237"/>
      <c r="AV55" s="1237" cm="1">
        <f t="array" ref="AV55">SUMPRODUCT((($C$25:$C$54=$R$7)+($C$25:$C$54=$R$8))*(AV25:AV54))</f>
        <v>0</v>
      </c>
      <c r="AW55" s="1237" cm="1">
        <f t="array" ref="AW55">SUMPRODUCT((($C$25:$C$54=$R$7)+($C$25:$C$54=$R$8))*(AW25:AW54))</f>
        <v>0</v>
      </c>
      <c r="AX55" s="1237" cm="1">
        <f t="array" ref="AX55">SUMPRODUCT((($C$25:$C$54=$R$7)+($C$25:$C$54=$R$8))*(AX25:AX54))</f>
        <v>0</v>
      </c>
      <c r="AY55" s="1237" cm="1">
        <f t="array" ref="AY55">SUMPRODUCT((($C$25:$C$54=$R$7)+($C$25:$C$54=$R$8))*(AY25:AY54))</f>
        <v>0</v>
      </c>
      <c r="AZ55" s="1810"/>
      <c r="BA55" s="1811"/>
      <c r="BB55" s="1237" cm="1">
        <f t="array" ref="BB55">SUMPRODUCT((($C$25:$C$54=$R$12)+($C$25:$C$54=$R$13)+($C$25:$C$54=$R$14)+($C$25:$C$54=$R$15))*(BB25:BB54))</f>
        <v>0</v>
      </c>
      <c r="BC55" s="1237" cm="1">
        <f t="array" ref="BC55">SUMPRODUCT((($C$25:$C$54=$R$12)+($C$25:$C$54=$R$13)+($C$25:$C$54=$R$14)+($C$25:$C$54=$R$15))*(BC25:BC54))</f>
        <v>0</v>
      </c>
      <c r="BD55" s="1237" cm="1">
        <f t="array" ref="BD55">SUMPRODUCT((($C$25:$C$54=$R$12)+($C$25:$C$54=$R$13)+($C$25:$C$54=$R$14)+($C$25:$C$54=$R$15))*(BD25:BD54))</f>
        <v>0</v>
      </c>
      <c r="BE55" s="1237" cm="1">
        <f t="array" ref="BE55">SUMPRODUCT((($C$25:$C$54=$R$12)+($C$25:$C$54=$R$13)+($C$25:$C$54=$R$14)+($C$25:$C$54=$R$15))*(BE25:BE54))</f>
        <v>0</v>
      </c>
      <c r="BF55" s="1237" cm="1">
        <f t="array" ref="BF55">SUMPRODUCT((($C$25:$C$54=$R$12)+($C$25:$C$54=$R$13)+($C$25:$C$54=$R$14)+($C$25:$C$54=$R$15))*(BF25:BF54))</f>
        <v>0</v>
      </c>
      <c r="BG55" s="1237" cm="1">
        <f t="array" ref="BG55">SUMPRODUCT((($C$25:$C$54=$R$12)+($C$25:$C$54=$R$13)+($C$25:$C$54=$R$14)+($C$25:$C$54=$R$15))*(BG25:BG54))</f>
        <v>0</v>
      </c>
      <c r="BH55" s="1237" cm="1">
        <f t="array" ref="BH55">SUMPRODUCT((($C$25:$C$54=$R$12)+($C$25:$C$54=$R$13)+($C$25:$C$54=$R$14)+($C$25:$C$54=$R$15))*(BH25:BH54))</f>
        <v>0</v>
      </c>
      <c r="CJ55" s="288"/>
      <c r="CT55" s="288"/>
      <c r="CU55" s="288"/>
      <c r="CV55" s="288"/>
      <c r="CW55" s="288"/>
      <c r="CX55" s="288"/>
      <c r="CY55" s="288"/>
      <c r="CZ55" s="288"/>
      <c r="DA55" s="288"/>
      <c r="DB55" s="288"/>
      <c r="DC55" s="288"/>
      <c r="DD55" s="288"/>
      <c r="DE55" s="288"/>
      <c r="DF55" s="288"/>
      <c r="DG55" s="288"/>
      <c r="DH55" s="288"/>
      <c r="DI55" s="288"/>
      <c r="DJ55" s="288"/>
      <c r="DK55" s="288"/>
      <c r="DL55" s="288"/>
      <c r="DM55" s="288"/>
      <c r="DN55" s="288"/>
      <c r="DO55" s="288"/>
      <c r="DP55" s="288"/>
      <c r="DQ55" s="288"/>
      <c r="DR55" s="288"/>
      <c r="DS55" s="288"/>
      <c r="DT55" s="288"/>
      <c r="DU55" s="288"/>
      <c r="DV55" s="288"/>
      <c r="DW55" s="288"/>
      <c r="DX55" s="288"/>
      <c r="DY55" s="288"/>
      <c r="DZ55" s="288"/>
      <c r="EA55" s="288"/>
      <c r="EB55" s="288"/>
      <c r="EC55" s="288"/>
      <c r="ED55" s="288"/>
      <c r="EE55" s="288"/>
      <c r="EF55" s="288"/>
      <c r="EG55" s="288"/>
      <c r="EH55" s="288"/>
      <c r="EI55" s="288"/>
      <c r="EJ55" s="288"/>
      <c r="EK55" s="288"/>
      <c r="EL55" s="288"/>
      <c r="EM55" s="288"/>
      <c r="EN55" s="288"/>
      <c r="EO55" s="288"/>
      <c r="EP55" s="288"/>
      <c r="EQ55" s="288"/>
      <c r="ER55" s="288"/>
      <c r="ES55" s="288"/>
      <c r="ET55" s="288"/>
      <c r="EU55" s="288"/>
      <c r="EV55" s="288"/>
      <c r="EW55" s="288"/>
      <c r="EX55" s="288"/>
      <c r="EY55" s="288"/>
      <c r="EZ55" s="288"/>
      <c r="FA55" s="288"/>
      <c r="FB55" s="288"/>
      <c r="FC55" s="288"/>
      <c r="FD55" s="288"/>
      <c r="FE55" s="288"/>
      <c r="FF55" s="288"/>
      <c r="FG55" s="288"/>
      <c r="FH55" s="288"/>
      <c r="FI55" s="288"/>
      <c r="FJ55" s="288"/>
      <c r="FK55" s="288"/>
    </row>
    <row r="56" spans="1:169" s="422" customFormat="1" ht="20.399999999999999" thickBot="1">
      <c r="A56" s="416"/>
      <c r="B56" s="416"/>
      <c r="C56" s="416"/>
      <c r="D56" s="416"/>
      <c r="H56" s="2804" t="s">
        <v>734</v>
      </c>
      <c r="I56" s="2805"/>
      <c r="J56" s="2805"/>
      <c r="K56" s="2805"/>
      <c r="L56" s="2805"/>
      <c r="M56" s="2805"/>
      <c r="N56" s="2805"/>
      <c r="O56" s="2805"/>
      <c r="P56" s="2806"/>
      <c r="Q56" s="1878">
        <f>F542</f>
        <v>1.4980525317087785</v>
      </c>
      <c r="R56" s="754"/>
      <c r="S56" s="416"/>
      <c r="T56" s="416"/>
      <c r="U56" s="416"/>
      <c r="V56" s="426"/>
      <c r="W56" s="426"/>
      <c r="X56" s="426"/>
      <c r="Y56" s="426"/>
      <c r="Z56" s="426"/>
      <c r="AA56" s="426"/>
      <c r="AB56" s="426"/>
      <c r="AC56" s="426"/>
      <c r="AI56" s="426"/>
      <c r="AJ56" s="426"/>
      <c r="AK56" s="426"/>
      <c r="AL56" s="416"/>
      <c r="AM56" s="416"/>
      <c r="AN56" s="416"/>
      <c r="AO56" s="416"/>
      <c r="AP56" s="416"/>
      <c r="AQ56" s="416"/>
      <c r="AR56" s="416"/>
      <c r="AS56" s="416"/>
      <c r="AT56" s="416"/>
      <c r="AU56" s="416"/>
      <c r="AV56" s="416"/>
      <c r="AW56" s="416"/>
      <c r="AX56" s="416"/>
      <c r="AY56" s="416"/>
      <c r="BD56" s="416"/>
      <c r="BG56" s="416"/>
      <c r="BH56" s="416"/>
      <c r="BI56" s="416"/>
      <c r="BJ56" s="416"/>
      <c r="BK56" s="416"/>
      <c r="BL56" s="416"/>
      <c r="BM56" s="416"/>
      <c r="BZ56" s="45"/>
      <c r="CA56" s="45"/>
      <c r="CH56" s="416"/>
      <c r="CS56" s="416"/>
      <c r="CT56" s="416"/>
      <c r="CU56" s="416"/>
      <c r="CV56" s="416"/>
      <c r="CW56" s="416"/>
      <c r="CX56" s="416"/>
      <c r="CY56" s="416"/>
      <c r="CZ56" s="416"/>
      <c r="DA56" s="416"/>
      <c r="DB56" s="416"/>
      <c r="DC56" s="416"/>
      <c r="DD56" s="416"/>
      <c r="DE56" s="416"/>
      <c r="DF56" s="416"/>
      <c r="DG56" s="416"/>
      <c r="DH56" s="416"/>
      <c r="DI56" s="416"/>
      <c r="DJ56" s="416"/>
      <c r="DK56" s="416"/>
      <c r="DL56" s="416"/>
      <c r="DM56" s="416"/>
      <c r="DN56" s="416"/>
      <c r="DO56" s="416"/>
      <c r="DP56" s="416"/>
      <c r="DQ56" s="416"/>
      <c r="DR56" s="416"/>
      <c r="DS56" s="416"/>
      <c r="DT56" s="416"/>
      <c r="DU56" s="416"/>
      <c r="DV56" s="416"/>
      <c r="DW56" s="416"/>
      <c r="DX56" s="416"/>
      <c r="DY56" s="416"/>
      <c r="DZ56" s="416"/>
      <c r="EA56" s="416"/>
      <c r="EB56" s="416"/>
      <c r="EC56" s="416"/>
      <c r="ED56" s="416"/>
      <c r="EE56" s="416"/>
      <c r="EF56" s="416"/>
      <c r="EG56" s="416"/>
      <c r="EH56" s="416"/>
      <c r="EI56" s="416"/>
      <c r="EJ56" s="416"/>
      <c r="EK56" s="416"/>
      <c r="EL56" s="416"/>
      <c r="EM56" s="416"/>
      <c r="EN56" s="416"/>
      <c r="EO56" s="416"/>
      <c r="EP56" s="416"/>
      <c r="EQ56" s="416"/>
      <c r="ER56" s="416"/>
      <c r="ES56" s="416"/>
      <c r="ET56" s="416"/>
      <c r="EU56" s="416"/>
      <c r="EV56" s="416"/>
      <c r="EW56" s="416"/>
      <c r="EX56" s="416"/>
      <c r="EY56" s="416"/>
      <c r="EZ56" s="416"/>
      <c r="FA56" s="416"/>
      <c r="FB56" s="416"/>
      <c r="FC56" s="416"/>
      <c r="FD56" s="416"/>
      <c r="FE56" s="416"/>
      <c r="FF56" s="416"/>
      <c r="FG56" s="416"/>
      <c r="FH56" s="416"/>
      <c r="FI56" s="416"/>
      <c r="FJ56" s="416"/>
      <c r="FK56" s="416"/>
    </row>
    <row r="57" spans="1:169" s="218" customFormat="1" ht="17.100000000000001" customHeight="1" thickBot="1">
      <c r="A57" s="753"/>
      <c r="B57" s="753"/>
      <c r="C57" s="753"/>
      <c r="D57" s="753"/>
      <c r="E57" s="753"/>
      <c r="F57" s="416"/>
      <c r="G57" s="416"/>
      <c r="H57" s="416"/>
      <c r="I57" s="288"/>
      <c r="J57" s="288"/>
      <c r="K57" s="288"/>
      <c r="L57" s="173"/>
      <c r="M57" s="173"/>
      <c r="N57" s="1822"/>
      <c r="O57" s="1822"/>
      <c r="P57" s="1822"/>
      <c r="Q57" s="175"/>
      <c r="R57" s="288"/>
      <c r="S57" s="288"/>
      <c r="T57" s="438" t="s">
        <v>735</v>
      </c>
      <c r="U57" s="438" t="s">
        <v>736</v>
      </c>
      <c r="V57" s="175"/>
      <c r="W57" s="175"/>
      <c r="X57" s="175"/>
      <c r="Y57" s="175"/>
      <c r="Z57" s="175"/>
      <c r="AA57" s="438"/>
      <c r="AB57" s="438"/>
      <c r="AC57" s="705"/>
      <c r="AD57" s="705"/>
      <c r="AE57" s="416"/>
      <c r="AF57" s="416"/>
      <c r="AG57" s="288"/>
      <c r="AH57" s="416"/>
      <c r="AI57" s="426"/>
      <c r="AJ57" s="426"/>
      <c r="AO57" s="451"/>
      <c r="AP57" s="451"/>
      <c r="AQ57" s="451"/>
      <c r="AR57" s="451"/>
      <c r="AS57" s="451"/>
      <c r="AT57" s="451"/>
      <c r="AU57" s="451"/>
      <c r="AV57" s="451"/>
      <c r="AW57" s="451"/>
      <c r="AX57" s="451"/>
      <c r="AY57" s="451"/>
      <c r="AZ57" s="451"/>
      <c r="BA57" s="451"/>
      <c r="BB57" s="451"/>
      <c r="BC57" s="451"/>
      <c r="BE57" s="451"/>
      <c r="BF57" s="451"/>
      <c r="BH57" s="175"/>
      <c r="BI57" s="175"/>
      <c r="BJ57" s="175"/>
      <c r="BK57" s="175"/>
      <c r="BL57" s="175"/>
    </row>
    <row r="58" spans="1:169" s="422" customFormat="1" ht="36.6" thickBot="1">
      <c r="A58" s="1277"/>
      <c r="B58" s="2834" t="s">
        <v>737</v>
      </c>
      <c r="C58" s="2835"/>
      <c r="D58" s="2835"/>
      <c r="E58" s="2835"/>
      <c r="F58" s="2835"/>
      <c r="G58" s="2835"/>
      <c r="H58" s="2835"/>
      <c r="I58" s="2835"/>
      <c r="J58" s="2835"/>
      <c r="K58" s="2835"/>
      <c r="L58" s="2835"/>
      <c r="M58" s="2835"/>
      <c r="N58" s="2835"/>
      <c r="O58" s="2835"/>
      <c r="P58" s="2835"/>
      <c r="Q58" s="2835"/>
      <c r="R58" s="2835"/>
      <c r="S58" s="2835"/>
      <c r="T58" s="1278"/>
      <c r="U58" s="2941" t="s">
        <v>738</v>
      </c>
      <c r="V58" s="2929" t="s">
        <v>739</v>
      </c>
      <c r="W58" s="2929" t="s">
        <v>740</v>
      </c>
      <c r="X58" s="2929" t="s">
        <v>741</v>
      </c>
      <c r="Y58" s="2929" t="s">
        <v>742</v>
      </c>
      <c r="Z58" s="3066" t="s">
        <v>743</v>
      </c>
      <c r="AA58" s="1776" t="s">
        <v>744</v>
      </c>
      <c r="AB58" s="2831" t="s">
        <v>745</v>
      </c>
      <c r="AC58" s="2832"/>
      <c r="AD58" s="2832"/>
      <c r="AE58" s="2832"/>
      <c r="AF58" s="2833"/>
      <c r="AG58" s="423"/>
      <c r="AH58" s="3206" t="s">
        <v>746</v>
      </c>
      <c r="AI58" s="3207"/>
      <c r="AJ58" s="3207"/>
      <c r="AK58" s="3207"/>
      <c r="AL58" s="3207"/>
      <c r="AM58" s="3207"/>
      <c r="AN58" s="3208"/>
      <c r="AU58" s="1279"/>
      <c r="BD58" s="416"/>
      <c r="BG58" s="416"/>
      <c r="BH58" s="416"/>
      <c r="BI58" s="416"/>
      <c r="BJ58" s="416"/>
    </row>
    <row r="59" spans="1:169" s="441" customFormat="1" ht="62.25" customHeight="1" thickBot="1">
      <c r="A59" s="440"/>
      <c r="B59" s="1149" t="str">
        <f>B23</f>
        <v>Building/Location Name</v>
      </c>
      <c r="C59" s="1150" t="s">
        <v>747</v>
      </c>
      <c r="D59" s="1151" t="s">
        <v>748</v>
      </c>
      <c r="E59" s="1151" t="s">
        <v>749</v>
      </c>
      <c r="F59" s="1151" t="s">
        <v>750</v>
      </c>
      <c r="G59" s="1151" t="s">
        <v>751</v>
      </c>
      <c r="H59" s="1151" t="s">
        <v>752</v>
      </c>
      <c r="I59" s="1151" t="s">
        <v>753</v>
      </c>
      <c r="J59" s="1151" t="s">
        <v>754</v>
      </c>
      <c r="K59" s="1151" t="s">
        <v>755</v>
      </c>
      <c r="L59" s="1151" t="s">
        <v>756</v>
      </c>
      <c r="M59" s="1151" t="s">
        <v>757</v>
      </c>
      <c r="N59" s="1151" t="s">
        <v>758</v>
      </c>
      <c r="O59" s="1151" t="s">
        <v>759</v>
      </c>
      <c r="P59" s="1151" t="s">
        <v>760</v>
      </c>
      <c r="Q59" s="1151" t="s">
        <v>761</v>
      </c>
      <c r="R59" s="1151" t="s">
        <v>762</v>
      </c>
      <c r="S59" s="1152" t="s">
        <v>763</v>
      </c>
      <c r="T59" s="1153" t="s">
        <v>764</v>
      </c>
      <c r="U59" s="2942"/>
      <c r="V59" s="2930"/>
      <c r="W59" s="2930"/>
      <c r="X59" s="2930"/>
      <c r="Y59" s="2930"/>
      <c r="Z59" s="3067"/>
      <c r="AA59" s="1154" t="s">
        <v>765</v>
      </c>
      <c r="AB59" s="1152" t="s">
        <v>766</v>
      </c>
      <c r="AC59" s="1152" t="s">
        <v>767</v>
      </c>
      <c r="AD59" s="1152" t="s">
        <v>768</v>
      </c>
      <c r="AE59" s="1152" t="s">
        <v>769</v>
      </c>
      <c r="AF59" s="1155" t="s">
        <v>770</v>
      </c>
      <c r="AH59" s="1953" t="s">
        <v>771</v>
      </c>
      <c r="AI59" s="1954" t="s">
        <v>772</v>
      </c>
      <c r="AJ59" s="1954" t="s">
        <v>773</v>
      </c>
      <c r="AK59" s="2829" t="s">
        <v>774</v>
      </c>
      <c r="AL59" s="2830"/>
      <c r="AM59" s="1955" t="s">
        <v>775</v>
      </c>
      <c r="AN59" s="1955" t="s">
        <v>776</v>
      </c>
      <c r="BD59" s="288"/>
      <c r="BG59" s="288"/>
      <c r="BH59" s="3065"/>
      <c r="BI59" s="3065"/>
      <c r="BJ59" s="288"/>
    </row>
    <row r="60" spans="1:169" s="441" customFormat="1" ht="19.95" customHeight="1">
      <c r="A60" s="440"/>
      <c r="B60" s="2945" t="str">
        <f>B25</f>
        <v>Main RCC  B Block at LG South side</v>
      </c>
      <c r="C60" s="1156" t="s">
        <v>777</v>
      </c>
      <c r="D60" s="1243">
        <v>10</v>
      </c>
      <c r="E60" s="1244"/>
      <c r="F60" s="1244"/>
      <c r="G60" s="1244"/>
      <c r="H60" s="1244"/>
      <c r="I60" s="1244"/>
      <c r="J60" s="1244"/>
      <c r="K60" s="1244"/>
      <c r="L60" s="1244"/>
      <c r="M60" s="1244"/>
      <c r="N60" s="1244"/>
      <c r="O60" s="1245"/>
      <c r="P60" s="1245"/>
      <c r="Q60" s="1246"/>
      <c r="R60" s="1246"/>
      <c r="S60" s="1246">
        <v>10</v>
      </c>
      <c r="T60" s="2933">
        <v>1</v>
      </c>
      <c r="U60" s="2933">
        <f>SUM(COUNT(_xlfn._xlws.FILTER($D$60:$R$60,$T$60)))</f>
        <v>1</v>
      </c>
      <c r="V60" s="2935" t="str">
        <f>_xlfn.CONCAT($U$60,$T$57,$U$57)</f>
        <v>1 IN :1 OUT</v>
      </c>
      <c r="W60" s="2931">
        <v>150</v>
      </c>
      <c r="X60" s="2840">
        <f>'Site Vist fomat  (Design)'!B31</f>
        <v>170</v>
      </c>
      <c r="Y60" s="2796">
        <v>1</v>
      </c>
      <c r="Z60" s="2786">
        <f>IF(B60&lt;&gt;0,X60*Y60,0)</f>
        <v>170</v>
      </c>
      <c r="AA60" s="2786" t="str">
        <f>IF('Cable Calcualtion'!B20&lt;&gt;"NO MATCH","3.5CX"&amp;'Cable Calcualtion'!B20&amp;"Sqmm","NO MATCH")</f>
        <v>3.5CX300Sqmm</v>
      </c>
      <c r="AB60" s="1157">
        <v>170</v>
      </c>
      <c r="AC60" s="2796">
        <v>0</v>
      </c>
      <c r="AD60" s="2796">
        <v>0</v>
      </c>
      <c r="AE60" s="2796">
        <v>0</v>
      </c>
      <c r="AF60" s="2809">
        <v>0</v>
      </c>
      <c r="AH60" s="1956">
        <v>1</v>
      </c>
      <c r="AI60" s="1948"/>
      <c r="AJ60" s="1957" t="s">
        <v>778</v>
      </c>
      <c r="AK60" s="2822" t="s">
        <v>779</v>
      </c>
      <c r="AL60" s="2822"/>
      <c r="AM60" s="2105" t="s">
        <v>780</v>
      </c>
      <c r="AN60" s="1949">
        <v>0</v>
      </c>
      <c r="BD60" s="288"/>
      <c r="BG60" s="288"/>
      <c r="BH60" s="707"/>
      <c r="BI60" s="707"/>
      <c r="BJ60" s="288"/>
    </row>
    <row r="61" spans="1:169" s="441" customFormat="1" ht="19.95" customHeight="1" thickBot="1">
      <c r="A61" s="440"/>
      <c r="B61" s="2946"/>
      <c r="C61" s="1159" t="s">
        <v>781</v>
      </c>
      <c r="D61" s="1247" t="s">
        <v>922</v>
      </c>
      <c r="E61" s="1248"/>
      <c r="F61" s="1248"/>
      <c r="G61" s="1248"/>
      <c r="H61" s="1248"/>
      <c r="I61" s="1248"/>
      <c r="J61" s="1248"/>
      <c r="K61" s="1248"/>
      <c r="L61" s="1248"/>
      <c r="M61" s="1248"/>
      <c r="N61" s="1248"/>
      <c r="O61" s="1248"/>
      <c r="P61" s="1248"/>
      <c r="Q61" s="1248"/>
      <c r="R61" s="1248"/>
      <c r="S61" s="1249" t="s">
        <v>892</v>
      </c>
      <c r="T61" s="2934"/>
      <c r="U61" s="2934"/>
      <c r="V61" s="2936"/>
      <c r="W61" s="2932"/>
      <c r="X61" s="2841"/>
      <c r="Y61" s="2797"/>
      <c r="Z61" s="2787"/>
      <c r="AA61" s="2787"/>
      <c r="AB61" s="1160" t="s">
        <v>892</v>
      </c>
      <c r="AC61" s="2797"/>
      <c r="AD61" s="2797"/>
      <c r="AE61" s="2797"/>
      <c r="AF61" s="2810"/>
      <c r="AH61" s="1958">
        <f>AH60+1</f>
        <v>2</v>
      </c>
      <c r="AI61" s="1040"/>
      <c r="AJ61" s="1161" t="s">
        <v>788</v>
      </c>
      <c r="AK61" s="2823" t="s">
        <v>789</v>
      </c>
      <c r="AL61" s="2820"/>
      <c r="AM61" s="2106" t="s">
        <v>780</v>
      </c>
      <c r="AN61" s="1947">
        <v>0</v>
      </c>
      <c r="BD61" s="288"/>
      <c r="BG61" s="288"/>
      <c r="BH61" s="706"/>
      <c r="BI61" s="288"/>
      <c r="BJ61" s="288"/>
    </row>
    <row r="62" spans="1:169" s="441" customFormat="1" ht="19.95" customHeight="1">
      <c r="A62" s="440"/>
      <c r="B62" s="2944" t="str">
        <f>B26</f>
        <v>LT Panel - 2</v>
      </c>
      <c r="C62" s="1162" t="s">
        <v>777</v>
      </c>
      <c r="D62" s="1250">
        <v>10</v>
      </c>
      <c r="E62" s="1251"/>
      <c r="F62" s="1251"/>
      <c r="G62" s="1252"/>
      <c r="H62" s="1252"/>
      <c r="I62" s="1252"/>
      <c r="J62" s="1252"/>
      <c r="K62" s="1252"/>
      <c r="L62" s="1252"/>
      <c r="M62" s="1253"/>
      <c r="N62" s="1253"/>
      <c r="O62" s="1252"/>
      <c r="P62" s="1252"/>
      <c r="Q62" s="1254"/>
      <c r="R62" s="1255"/>
      <c r="S62" s="1254">
        <v>10</v>
      </c>
      <c r="T62" s="2842">
        <v>2</v>
      </c>
      <c r="U62" s="2842">
        <f>SUM(COUNT(_xlfn._xlws.FILTER($D$62:$R$62,$T$62)))</f>
        <v>1</v>
      </c>
      <c r="V62" s="2948" t="str">
        <f>_xlfn.CONCAT($U$62,$T$57,$U$57)</f>
        <v>1 IN :1 OUT</v>
      </c>
      <c r="W62" s="2937">
        <v>150</v>
      </c>
      <c r="X62" s="2938">
        <f>'Site Vist fomat  (Design)'!C31</f>
        <v>220</v>
      </c>
      <c r="Y62" s="2940">
        <v>2</v>
      </c>
      <c r="Z62" s="2790">
        <f>IF(B62&lt;&gt;0,X62*Y62,0)</f>
        <v>440</v>
      </c>
      <c r="AA62" s="2790" t="str">
        <f>IF('Cable Calcualtion'!B43&lt;&gt;"NO MATCH","3.5CX"&amp;'Cable Calcualtion'!B43&amp;"Sqmm","NO MATCH")</f>
        <v>3.5CX185Sqmm</v>
      </c>
      <c r="AB62" s="1163">
        <v>220</v>
      </c>
      <c r="AC62" s="2794">
        <v>0</v>
      </c>
      <c r="AD62" s="2794">
        <v>0</v>
      </c>
      <c r="AE62" s="2794">
        <v>0</v>
      </c>
      <c r="AF62" s="2807">
        <v>0</v>
      </c>
      <c r="AH62" s="1958">
        <f t="shared" ref="AH62:AH84" si="10">AH61+1</f>
        <v>3</v>
      </c>
      <c r="AI62" s="1058"/>
      <c r="AJ62" s="1161" t="s">
        <v>790</v>
      </c>
      <c r="AK62" s="2823" t="s">
        <v>791</v>
      </c>
      <c r="AL62" s="2823"/>
      <c r="AM62" s="2106" t="s">
        <v>792</v>
      </c>
      <c r="AN62" s="1947">
        <v>0</v>
      </c>
      <c r="BD62" s="288"/>
      <c r="BG62" s="288"/>
      <c r="BH62" s="706"/>
      <c r="BI62" s="288"/>
      <c r="BJ62" s="288"/>
    </row>
    <row r="63" spans="1:169" s="441" customFormat="1" ht="19.95" customHeight="1" thickBot="1">
      <c r="A63" s="440"/>
      <c r="B63" s="2944"/>
      <c r="C63" s="1164" t="s">
        <v>781</v>
      </c>
      <c r="D63" s="1247" t="s">
        <v>922</v>
      </c>
      <c r="E63" s="1248"/>
      <c r="F63" s="1248"/>
      <c r="G63" s="1248"/>
      <c r="H63" s="1248"/>
      <c r="I63" s="1248"/>
      <c r="J63" s="1248"/>
      <c r="K63" s="1248"/>
      <c r="L63" s="1248"/>
      <c r="M63" s="1248"/>
      <c r="N63" s="1248"/>
      <c r="O63" s="1248"/>
      <c r="P63" s="1248"/>
      <c r="Q63" s="1248"/>
      <c r="R63" s="1256"/>
      <c r="S63" s="1249" t="s">
        <v>892</v>
      </c>
      <c r="T63" s="2839"/>
      <c r="U63" s="2839"/>
      <c r="V63" s="2812"/>
      <c r="W63" s="2789"/>
      <c r="X63" s="2939"/>
      <c r="Y63" s="2793"/>
      <c r="Z63" s="2787"/>
      <c r="AA63" s="2787"/>
      <c r="AB63" s="1160" t="s">
        <v>894</v>
      </c>
      <c r="AC63" s="2797"/>
      <c r="AD63" s="2797"/>
      <c r="AE63" s="2797"/>
      <c r="AF63" s="2810"/>
      <c r="AH63" s="1958">
        <f t="shared" si="10"/>
        <v>4</v>
      </c>
      <c r="AI63" s="1058" t="s">
        <v>2064</v>
      </c>
      <c r="AJ63" s="1161" t="s">
        <v>778</v>
      </c>
      <c r="AK63" s="2823" t="s">
        <v>1942</v>
      </c>
      <c r="AL63" s="2823"/>
      <c r="AM63" s="2106" t="s">
        <v>794</v>
      </c>
      <c r="AN63" s="1947">
        <v>2</v>
      </c>
      <c r="BD63" s="288"/>
      <c r="BG63" s="288"/>
      <c r="BH63" s="706"/>
      <c r="BI63" s="288"/>
      <c r="BJ63" s="288"/>
    </row>
    <row r="64" spans="1:169" s="441" customFormat="1" ht="19.95" customHeight="1">
      <c r="A64" s="440"/>
      <c r="B64" s="2927">
        <f>B27</f>
        <v>0</v>
      </c>
      <c r="C64" s="1162" t="s">
        <v>777</v>
      </c>
      <c r="D64" s="1257"/>
      <c r="E64" s="1258"/>
      <c r="F64" s="1258"/>
      <c r="G64" s="1259"/>
      <c r="H64" s="1259"/>
      <c r="I64" s="1259"/>
      <c r="J64" s="1259"/>
      <c r="K64" s="1259"/>
      <c r="L64" s="1259"/>
      <c r="M64" s="1260"/>
      <c r="N64" s="1260"/>
      <c r="O64" s="1259"/>
      <c r="P64" s="1259"/>
      <c r="Q64" s="1261"/>
      <c r="R64" s="1262"/>
      <c r="S64" s="1261"/>
      <c r="T64" s="2838">
        <v>3</v>
      </c>
      <c r="U64" s="2838">
        <f>SUM(COUNT(_xlfn._xlws.FILTER(D64:R64,T64)))</f>
        <v>0</v>
      </c>
      <c r="V64" s="2811" t="str">
        <f>_xlfn.CONCAT($U$64,$T$57,$U$57)</f>
        <v>0 IN :1 OUT</v>
      </c>
      <c r="W64" s="2788"/>
      <c r="X64" s="2947">
        <f>'Site Vist fomat  (Design)'!D31</f>
        <v>200</v>
      </c>
      <c r="Y64" s="2792"/>
      <c r="Z64" s="2790">
        <f>IF(B64&lt;&gt;0,X64*Y64,0)</f>
        <v>0</v>
      </c>
      <c r="AA64" s="2786" t="e">
        <f>IF('Cable Calcualtion'!B65&lt;&gt;"NO MATCH","3.5CX"&amp;'Cable Calcualtion'!B65&amp;"Sqmm","NO MATCH")</f>
        <v>#DIV/0!</v>
      </c>
      <c r="AB64" s="1158"/>
      <c r="AC64" s="2796"/>
      <c r="AD64" s="2796"/>
      <c r="AE64" s="2796"/>
      <c r="AF64" s="2809"/>
      <c r="AH64" s="1958">
        <f t="shared" si="10"/>
        <v>5</v>
      </c>
      <c r="AI64" s="1058"/>
      <c r="AJ64" s="1161" t="s">
        <v>788</v>
      </c>
      <c r="AK64" s="2823" t="s">
        <v>795</v>
      </c>
      <c r="AL64" s="2823" t="s">
        <v>796</v>
      </c>
      <c r="AM64" s="2106" t="s">
        <v>797</v>
      </c>
      <c r="AN64" s="1947">
        <v>0</v>
      </c>
      <c r="BD64" s="288"/>
      <c r="BG64" s="288"/>
      <c r="BH64" s="706"/>
      <c r="BI64" s="288"/>
      <c r="BJ64" s="288"/>
    </row>
    <row r="65" spans="1:68" s="441" customFormat="1" ht="19.95" customHeight="1" thickBot="1">
      <c r="A65" s="440"/>
      <c r="B65" s="2928"/>
      <c r="C65" s="1164" t="s">
        <v>781</v>
      </c>
      <c r="D65" s="1263"/>
      <c r="E65" s="1264"/>
      <c r="F65" s="1264"/>
      <c r="G65" s="1264"/>
      <c r="H65" s="1264"/>
      <c r="I65" s="1264"/>
      <c r="J65" s="1264"/>
      <c r="K65" s="1264"/>
      <c r="L65" s="1264"/>
      <c r="M65" s="1264"/>
      <c r="N65" s="1264"/>
      <c r="O65" s="1264"/>
      <c r="P65" s="1264"/>
      <c r="Q65" s="1264"/>
      <c r="R65" s="1265"/>
      <c r="S65" s="1266"/>
      <c r="T65" s="2839"/>
      <c r="U65" s="2839"/>
      <c r="V65" s="2812"/>
      <c r="W65" s="2789"/>
      <c r="X65" s="2939"/>
      <c r="Y65" s="2793"/>
      <c r="Z65" s="2787"/>
      <c r="AA65" s="2791"/>
      <c r="AB65" s="1160"/>
      <c r="AC65" s="2795"/>
      <c r="AD65" s="2795"/>
      <c r="AE65" s="2795"/>
      <c r="AF65" s="2808"/>
      <c r="AH65" s="1958">
        <f t="shared" si="10"/>
        <v>6</v>
      </c>
      <c r="AI65" s="1165"/>
      <c r="AJ65" s="1161" t="s">
        <v>788</v>
      </c>
      <c r="AK65" s="2824" t="s">
        <v>798</v>
      </c>
      <c r="AL65" s="2824" t="s">
        <v>796</v>
      </c>
      <c r="AM65" s="2106" t="s">
        <v>799</v>
      </c>
      <c r="AN65" s="1947">
        <v>0</v>
      </c>
      <c r="BD65" s="288"/>
      <c r="BG65" s="296"/>
      <c r="BH65" s="706"/>
      <c r="BI65" s="288"/>
      <c r="BJ65" s="288"/>
    </row>
    <row r="66" spans="1:68" s="441" customFormat="1" ht="19.95" customHeight="1">
      <c r="A66" s="442"/>
      <c r="B66" s="2944">
        <f>B28</f>
        <v>0</v>
      </c>
      <c r="C66" s="1162" t="s">
        <v>777</v>
      </c>
      <c r="D66" s="1257"/>
      <c r="E66" s="1258"/>
      <c r="F66" s="1258"/>
      <c r="G66" s="1259"/>
      <c r="H66" s="1259"/>
      <c r="I66" s="1259"/>
      <c r="J66" s="1259"/>
      <c r="K66" s="1259"/>
      <c r="L66" s="1259"/>
      <c r="M66" s="1260"/>
      <c r="N66" s="1260"/>
      <c r="O66" s="1259"/>
      <c r="P66" s="1259"/>
      <c r="Q66" s="1261"/>
      <c r="R66" s="1261"/>
      <c r="S66" s="1261"/>
      <c r="T66" s="2838">
        <v>4</v>
      </c>
      <c r="U66" s="2838">
        <f>SUM(COUNT(_xlfn._xlws.FILTER(D66:R66,T66)))</f>
        <v>0</v>
      </c>
      <c r="V66" s="2811" t="str">
        <f>_xlfn.CONCAT($U$66,$T$57,$U$57)</f>
        <v>0 IN :1 OUT</v>
      </c>
      <c r="W66" s="2788"/>
      <c r="X66" s="2947">
        <f>'Site Vist fomat  (Design)'!E31</f>
        <v>0</v>
      </c>
      <c r="Y66" s="2792"/>
      <c r="Z66" s="2790">
        <f>IF(B66&lt;&gt;0,X66*Y66,0)</f>
        <v>0</v>
      </c>
      <c r="AA66" s="2786" t="e">
        <f>IF('Cable Calcualtion'!B87&lt;&gt;"NO MATCH","3.5CX"&amp;'Cable Calcualtion'!B87&amp;"Sqmm","NO MATCH")</f>
        <v>#DIV/0!</v>
      </c>
      <c r="AB66" s="1158"/>
      <c r="AC66" s="2796"/>
      <c r="AD66" s="2796"/>
      <c r="AE66" s="2796"/>
      <c r="AF66" s="2809"/>
      <c r="AH66" s="1958">
        <f t="shared" si="10"/>
        <v>7</v>
      </c>
      <c r="AI66" s="1165"/>
      <c r="AJ66" s="1161" t="s">
        <v>788</v>
      </c>
      <c r="AK66" s="2823" t="s">
        <v>1956</v>
      </c>
      <c r="AL66" s="2823" t="s">
        <v>800</v>
      </c>
      <c r="AM66" s="2106" t="s">
        <v>801</v>
      </c>
      <c r="AN66" s="1947">
        <v>0</v>
      </c>
      <c r="BD66" s="288"/>
      <c r="BG66" s="296"/>
      <c r="BH66" s="706"/>
      <c r="BI66" s="288"/>
      <c r="BJ66" s="288"/>
    </row>
    <row r="67" spans="1:68" s="441" customFormat="1" ht="19.95" customHeight="1" thickBot="1">
      <c r="B67" s="2944"/>
      <c r="C67" s="1164" t="s">
        <v>781</v>
      </c>
      <c r="D67" s="1247"/>
      <c r="E67" s="1248"/>
      <c r="F67" s="1248"/>
      <c r="G67" s="1248"/>
      <c r="H67" s="1248"/>
      <c r="I67" s="1248"/>
      <c r="J67" s="1248"/>
      <c r="K67" s="1248"/>
      <c r="L67" s="1248"/>
      <c r="M67" s="1248"/>
      <c r="N67" s="1248"/>
      <c r="O67" s="1248"/>
      <c r="P67" s="1248"/>
      <c r="Q67" s="1248"/>
      <c r="R67" s="1248"/>
      <c r="S67" s="1249"/>
      <c r="T67" s="2839"/>
      <c r="U67" s="2839"/>
      <c r="V67" s="2812"/>
      <c r="W67" s="2789"/>
      <c r="X67" s="2939"/>
      <c r="Y67" s="2793"/>
      <c r="Z67" s="2787"/>
      <c r="AA67" s="2787"/>
      <c r="AB67" s="1160"/>
      <c r="AC67" s="2797"/>
      <c r="AD67" s="2797"/>
      <c r="AE67" s="2797"/>
      <c r="AF67" s="2810"/>
      <c r="AH67" s="1958">
        <f t="shared" si="10"/>
        <v>8</v>
      </c>
      <c r="AI67" s="1165"/>
      <c r="AJ67" s="1161" t="s">
        <v>790</v>
      </c>
      <c r="AK67" s="2820" t="s">
        <v>1957</v>
      </c>
      <c r="AL67" s="2821" t="s">
        <v>800</v>
      </c>
      <c r="AM67" s="2106" t="s">
        <v>802</v>
      </c>
      <c r="AN67" s="1947">
        <v>0</v>
      </c>
      <c r="BD67" s="288"/>
      <c r="BG67" s="288"/>
      <c r="BH67" s="706"/>
      <c r="BI67" s="288"/>
      <c r="BJ67" s="288"/>
    </row>
    <row r="68" spans="1:68" s="441" customFormat="1" ht="19.95" customHeight="1">
      <c r="B68" s="2927">
        <f>B29</f>
        <v>0</v>
      </c>
      <c r="C68" s="1162" t="s">
        <v>777</v>
      </c>
      <c r="D68" s="1257"/>
      <c r="E68" s="1258"/>
      <c r="F68" s="1258"/>
      <c r="G68" s="1259"/>
      <c r="H68" s="1259"/>
      <c r="I68" s="1259"/>
      <c r="J68" s="1259"/>
      <c r="K68" s="1259"/>
      <c r="L68" s="1259"/>
      <c r="M68" s="1260"/>
      <c r="N68" s="1260"/>
      <c r="O68" s="1259"/>
      <c r="P68" s="1259"/>
      <c r="Q68" s="1261"/>
      <c r="R68" s="1262"/>
      <c r="S68" s="1261"/>
      <c r="T68" s="2838">
        <v>5</v>
      </c>
      <c r="U68" s="2838">
        <f>SUM(COUNT(_xlfn._xlws.FILTER(D68:R68,T68)))</f>
        <v>0</v>
      </c>
      <c r="V68" s="2811" t="str">
        <f>_xlfn.CONCAT($U$68,$T$57,$U$57)</f>
        <v>0 IN :1 OUT</v>
      </c>
      <c r="W68" s="2788"/>
      <c r="X68" s="2947">
        <f>'Site Vist fomat  (Design)'!F31</f>
        <v>0</v>
      </c>
      <c r="Y68" s="2792"/>
      <c r="Z68" s="2790">
        <f>IF(B68&lt;&gt;0,X68*Y68,0)</f>
        <v>0</v>
      </c>
      <c r="AA68" s="2786" t="e">
        <f>IF('Cable Calcualtion'!B111&lt;&gt;"NO MATCH","3.5CX"&amp;'Cable Calcualtion'!B111&amp;"Sqmm","NO MATCH")</f>
        <v>#DIV/0!</v>
      </c>
      <c r="AB68" s="1158"/>
      <c r="AC68" s="2796"/>
      <c r="AD68" s="2796"/>
      <c r="AE68" s="2796"/>
      <c r="AF68" s="2809"/>
      <c r="AH68" s="1958">
        <f t="shared" si="10"/>
        <v>9</v>
      </c>
      <c r="AI68" s="1058"/>
      <c r="AJ68" s="1161" t="s">
        <v>790</v>
      </c>
      <c r="AK68" s="2825" t="s">
        <v>1958</v>
      </c>
      <c r="AL68" s="2826" t="s">
        <v>800</v>
      </c>
      <c r="AM68" s="2106" t="s">
        <v>803</v>
      </c>
      <c r="AN68" s="1947">
        <v>0</v>
      </c>
      <c r="BD68" s="288"/>
      <c r="BG68" s="288"/>
      <c r="BH68" s="706"/>
      <c r="BI68" s="288"/>
      <c r="BJ68" s="288"/>
    </row>
    <row r="69" spans="1:68" s="441" customFormat="1" ht="19.95" customHeight="1" thickBot="1">
      <c r="B69" s="2928"/>
      <c r="C69" s="1164" t="s">
        <v>781</v>
      </c>
      <c r="D69" s="1247"/>
      <c r="E69" s="1248"/>
      <c r="F69" s="1248"/>
      <c r="G69" s="1248"/>
      <c r="H69" s="1248"/>
      <c r="I69" s="1248"/>
      <c r="J69" s="1248"/>
      <c r="K69" s="1248"/>
      <c r="L69" s="1248"/>
      <c r="M69" s="1248"/>
      <c r="N69" s="1248"/>
      <c r="O69" s="1248"/>
      <c r="P69" s="1248"/>
      <c r="Q69" s="1248"/>
      <c r="R69" s="1256"/>
      <c r="S69" s="1249"/>
      <c r="T69" s="2839"/>
      <c r="U69" s="2839"/>
      <c r="V69" s="2812"/>
      <c r="W69" s="2789"/>
      <c r="X69" s="2939"/>
      <c r="Y69" s="2793"/>
      <c r="Z69" s="2787"/>
      <c r="AA69" s="2787"/>
      <c r="AB69" s="1160"/>
      <c r="AC69" s="2797"/>
      <c r="AD69" s="2797"/>
      <c r="AE69" s="2797"/>
      <c r="AF69" s="2810"/>
      <c r="AH69" s="1958">
        <f t="shared" si="10"/>
        <v>10</v>
      </c>
      <c r="AI69" s="1058"/>
      <c r="AJ69" s="1161" t="s">
        <v>804</v>
      </c>
      <c r="AK69" s="2820" t="s">
        <v>805</v>
      </c>
      <c r="AL69" s="2821"/>
      <c r="AM69" s="2106" t="s">
        <v>806</v>
      </c>
      <c r="AN69" s="1947">
        <v>0</v>
      </c>
      <c r="BD69" s="288"/>
      <c r="BG69" s="288"/>
      <c r="BH69" s="706"/>
      <c r="BI69" s="288"/>
      <c r="BJ69" s="288"/>
    </row>
    <row r="70" spans="1:68" s="441" customFormat="1" ht="19.95" customHeight="1">
      <c r="B70" s="2944">
        <f>B30</f>
        <v>0</v>
      </c>
      <c r="C70" s="1162" t="s">
        <v>777</v>
      </c>
      <c r="D70" s="1250"/>
      <c r="E70" s="1251"/>
      <c r="F70" s="1251"/>
      <c r="G70" s="1252"/>
      <c r="H70" s="1252"/>
      <c r="I70" s="1252"/>
      <c r="J70" s="1252"/>
      <c r="K70" s="1252"/>
      <c r="L70" s="1252"/>
      <c r="M70" s="1253"/>
      <c r="N70" s="1253"/>
      <c r="O70" s="1252"/>
      <c r="P70" s="1252"/>
      <c r="Q70" s="1254"/>
      <c r="R70" s="1255"/>
      <c r="S70" s="1254"/>
      <c r="T70" s="2838">
        <v>6</v>
      </c>
      <c r="U70" s="2838">
        <f>SUM(COUNT(_xlfn._xlws.FILTER(D70:R70,T70)))</f>
        <v>0</v>
      </c>
      <c r="V70" s="2811" t="str">
        <f>_xlfn.CONCAT($U$70,$T$57,$U$57)</f>
        <v>0 IN :1 OUT</v>
      </c>
      <c r="W70" s="2788"/>
      <c r="X70" s="2947">
        <f>'Site Vist fomat  (Design)'!G31</f>
        <v>0</v>
      </c>
      <c r="Y70" s="2792"/>
      <c r="Z70" s="2790">
        <f>IF(B70&lt;&gt;0,X70*Y70,0)</f>
        <v>0</v>
      </c>
      <c r="AA70" s="2790" t="e">
        <f>IF('Cable Calcualtion'!B135&lt;&gt;"NO MATCH","3.5CX"&amp;'Cable Calcualtion'!B135&amp;"Sqmm","NO MATCH")</f>
        <v>#DIV/0!</v>
      </c>
      <c r="AB70" s="1163"/>
      <c r="AC70" s="2794"/>
      <c r="AD70" s="2794"/>
      <c r="AE70" s="2794"/>
      <c r="AF70" s="2807"/>
      <c r="AH70" s="1958">
        <f t="shared" si="10"/>
        <v>11</v>
      </c>
      <c r="AI70" s="1058"/>
      <c r="AJ70" s="1161" t="s">
        <v>804</v>
      </c>
      <c r="AK70" s="2820" t="s">
        <v>807</v>
      </c>
      <c r="AL70" s="2821"/>
      <c r="AM70" s="2106" t="s">
        <v>808</v>
      </c>
      <c r="AN70" s="1947">
        <v>0</v>
      </c>
      <c r="BD70" s="288"/>
      <c r="BG70" s="288"/>
      <c r="BH70" s="706"/>
      <c r="BI70" s="288"/>
      <c r="BJ70" s="288"/>
    </row>
    <row r="71" spans="1:68" s="441" customFormat="1" ht="19.95" customHeight="1" thickBot="1">
      <c r="B71" s="2944"/>
      <c r="C71" s="1164" t="s">
        <v>781</v>
      </c>
      <c r="D71" s="1263"/>
      <c r="E71" s="1264"/>
      <c r="F71" s="1264"/>
      <c r="G71" s="1264"/>
      <c r="H71" s="1264"/>
      <c r="I71" s="1264"/>
      <c r="J71" s="1264"/>
      <c r="K71" s="1264"/>
      <c r="L71" s="1264"/>
      <c r="M71" s="1264"/>
      <c r="N71" s="1264"/>
      <c r="O71" s="1264"/>
      <c r="P71" s="1264"/>
      <c r="Q71" s="1264"/>
      <c r="R71" s="1265"/>
      <c r="S71" s="1266"/>
      <c r="T71" s="2839"/>
      <c r="U71" s="2839"/>
      <c r="V71" s="2812"/>
      <c r="W71" s="2789"/>
      <c r="X71" s="2939"/>
      <c r="Y71" s="2793"/>
      <c r="Z71" s="2787"/>
      <c r="AA71" s="2791"/>
      <c r="AB71" s="1160"/>
      <c r="AC71" s="2795"/>
      <c r="AD71" s="2795"/>
      <c r="AE71" s="2795"/>
      <c r="AF71" s="2808"/>
      <c r="AH71" s="1958">
        <f t="shared" si="10"/>
        <v>12</v>
      </c>
      <c r="AI71" s="1058"/>
      <c r="AJ71" s="1161" t="s">
        <v>809</v>
      </c>
      <c r="AK71" s="2820" t="s">
        <v>810</v>
      </c>
      <c r="AL71" s="2821"/>
      <c r="AM71" s="2106" t="s">
        <v>811</v>
      </c>
      <c r="AN71" s="1947">
        <v>0</v>
      </c>
      <c r="BD71" s="288"/>
      <c r="BG71" s="288"/>
      <c r="BH71" s="706"/>
      <c r="BI71" s="288"/>
      <c r="BJ71" s="288"/>
    </row>
    <row r="72" spans="1:68" s="441" customFormat="1" ht="19.95" customHeight="1">
      <c r="A72" s="1167"/>
      <c r="B72" s="2927">
        <f>B31</f>
        <v>0</v>
      </c>
      <c r="C72" s="1162" t="s">
        <v>777</v>
      </c>
      <c r="D72" s="1257"/>
      <c r="E72" s="1258"/>
      <c r="F72" s="1258"/>
      <c r="G72" s="1259"/>
      <c r="H72" s="1259"/>
      <c r="I72" s="1259"/>
      <c r="J72" s="1259"/>
      <c r="K72" s="1259"/>
      <c r="L72" s="1259"/>
      <c r="M72" s="1260"/>
      <c r="N72" s="1260"/>
      <c r="O72" s="1259"/>
      <c r="P72" s="1259"/>
      <c r="Q72" s="1261"/>
      <c r="R72" s="1262"/>
      <c r="S72" s="1261"/>
      <c r="T72" s="2838">
        <v>7</v>
      </c>
      <c r="U72" s="2838">
        <f>SUM(COUNT(_xlfn._xlws.FILTER(D72:R72,T72)))</f>
        <v>0</v>
      </c>
      <c r="V72" s="2811" t="str">
        <f>_xlfn.CONCAT($U$72,$T$57,$U$57)</f>
        <v>0 IN :1 OUT</v>
      </c>
      <c r="W72" s="2788"/>
      <c r="X72" s="2947">
        <f>'Site Vist fomat  (Design)'!H31</f>
        <v>0</v>
      </c>
      <c r="Y72" s="2792"/>
      <c r="Z72" s="2790">
        <f>IF(B72&lt;&gt;0,X72*Y72,0)</f>
        <v>0</v>
      </c>
      <c r="AA72" s="2786" t="e">
        <f>IF('Cable Calcualtion'!B159&lt;&gt;"NO MATCH","3.5CX"&amp;'Cable Calcualtion'!B159&amp;"Sqmm","NO MATCH")</f>
        <v>#DIV/0!</v>
      </c>
      <c r="AB72" s="1158"/>
      <c r="AC72" s="2796"/>
      <c r="AD72" s="2796"/>
      <c r="AE72" s="2796"/>
      <c r="AF72" s="2809"/>
      <c r="AH72" s="1958">
        <f t="shared" si="10"/>
        <v>13</v>
      </c>
      <c r="AI72" s="1058"/>
      <c r="AJ72" s="1161" t="s">
        <v>809</v>
      </c>
      <c r="AK72" s="2820" t="s">
        <v>812</v>
      </c>
      <c r="AL72" s="2821"/>
      <c r="AM72" s="2106" t="s">
        <v>813</v>
      </c>
      <c r="AN72" s="1947">
        <v>0</v>
      </c>
      <c r="BD72" s="288"/>
      <c r="BG72" s="288"/>
      <c r="BH72" s="288"/>
      <c r="BI72" s="288"/>
      <c r="BJ72" s="288"/>
    </row>
    <row r="73" spans="1:68" s="441" customFormat="1" ht="19.95" customHeight="1" thickBot="1">
      <c r="A73" s="1167"/>
      <c r="B73" s="2928"/>
      <c r="C73" s="1164" t="s">
        <v>781</v>
      </c>
      <c r="D73" s="1247"/>
      <c r="E73" s="1248"/>
      <c r="F73" s="1248"/>
      <c r="G73" s="1248"/>
      <c r="H73" s="1248"/>
      <c r="I73" s="1248"/>
      <c r="J73" s="1248"/>
      <c r="K73" s="1248"/>
      <c r="L73" s="1248"/>
      <c r="M73" s="1248"/>
      <c r="N73" s="1248"/>
      <c r="O73" s="1248"/>
      <c r="P73" s="1248"/>
      <c r="Q73" s="1248"/>
      <c r="R73" s="1256"/>
      <c r="S73" s="1249"/>
      <c r="T73" s="2839"/>
      <c r="U73" s="2839"/>
      <c r="V73" s="2812"/>
      <c r="W73" s="2789"/>
      <c r="X73" s="2939"/>
      <c r="Y73" s="2793"/>
      <c r="Z73" s="2787"/>
      <c r="AA73" s="2787"/>
      <c r="AB73" s="1160"/>
      <c r="AC73" s="2797"/>
      <c r="AD73" s="2797"/>
      <c r="AE73" s="2797"/>
      <c r="AF73" s="2810"/>
      <c r="AH73" s="1958">
        <f t="shared" si="10"/>
        <v>14</v>
      </c>
      <c r="AI73" s="1058"/>
      <c r="AJ73" s="1161" t="s">
        <v>814</v>
      </c>
      <c r="AK73" s="2820" t="s">
        <v>815</v>
      </c>
      <c r="AL73" s="2821"/>
      <c r="AM73" s="2106" t="s">
        <v>816</v>
      </c>
      <c r="AN73" s="1947">
        <v>0</v>
      </c>
      <c r="AU73" s="1167"/>
      <c r="AV73" s="1167"/>
      <c r="BD73" s="288"/>
      <c r="BG73" s="288"/>
      <c r="BH73" s="288"/>
      <c r="BI73" s="288"/>
      <c r="BJ73" s="288"/>
    </row>
    <row r="74" spans="1:68" s="441" customFormat="1" ht="19.95" customHeight="1">
      <c r="A74" s="1167"/>
      <c r="B74" s="2944">
        <f>B32</f>
        <v>0</v>
      </c>
      <c r="C74" s="1162" t="s">
        <v>777</v>
      </c>
      <c r="D74" s="1250"/>
      <c r="E74" s="1251"/>
      <c r="F74" s="1251"/>
      <c r="G74" s="1252"/>
      <c r="H74" s="1252"/>
      <c r="I74" s="1252"/>
      <c r="J74" s="1252"/>
      <c r="K74" s="1252"/>
      <c r="L74" s="1252"/>
      <c r="M74" s="1253"/>
      <c r="N74" s="1253"/>
      <c r="O74" s="1252"/>
      <c r="P74" s="1252"/>
      <c r="Q74" s="1254"/>
      <c r="R74" s="1255"/>
      <c r="S74" s="1267"/>
      <c r="T74" s="2838">
        <v>8</v>
      </c>
      <c r="U74" s="2838">
        <f>SUM(COUNT(_xlfn._xlws.FILTER(D74:R74,T74)))</f>
        <v>0</v>
      </c>
      <c r="V74" s="2811" t="str">
        <f>_xlfn.CONCAT($U$74,$T$57,$U$57)</f>
        <v>0 IN :1 OUT</v>
      </c>
      <c r="W74" s="2788"/>
      <c r="X74" s="2947">
        <f>'Site Vist fomat  (Design)'!I31</f>
        <v>0</v>
      </c>
      <c r="Y74" s="2792"/>
      <c r="Z74" s="2790">
        <f>IF(B74&lt;&gt;0,X74*Y74,0)</f>
        <v>0</v>
      </c>
      <c r="AA74" s="2790" t="e">
        <f>IF('Cable Calcualtion'!B183&lt;&gt;"NO MATCH","3.5CX"&amp;'Cable Calcualtion'!B183&amp;"Sqmm","NO MATCH")</f>
        <v>#DIV/0!</v>
      </c>
      <c r="AB74" s="1157"/>
      <c r="AC74" s="2794"/>
      <c r="AD74" s="2794"/>
      <c r="AE74" s="2794"/>
      <c r="AF74" s="2807"/>
      <c r="AH74" s="1958">
        <f t="shared" si="10"/>
        <v>15</v>
      </c>
      <c r="AI74" s="1058"/>
      <c r="AJ74" s="1161" t="s">
        <v>814</v>
      </c>
      <c r="AK74" s="2820" t="s">
        <v>817</v>
      </c>
      <c r="AL74" s="2821"/>
      <c r="AM74" s="2106" t="s">
        <v>818</v>
      </c>
      <c r="AN74" s="1947">
        <v>0</v>
      </c>
      <c r="AU74" s="1167"/>
      <c r="AV74" s="1167"/>
      <c r="BD74" s="288"/>
      <c r="BG74" s="288"/>
      <c r="BH74" s="288"/>
      <c r="BI74" s="288"/>
      <c r="BJ74" s="288"/>
    </row>
    <row r="75" spans="1:68" s="441" customFormat="1" ht="19.95" customHeight="1" thickBot="1">
      <c r="A75" s="439"/>
      <c r="B75" s="2944"/>
      <c r="C75" s="1164" t="s">
        <v>781</v>
      </c>
      <c r="D75" s="1263"/>
      <c r="E75" s="1264"/>
      <c r="F75" s="1264"/>
      <c r="G75" s="1264"/>
      <c r="H75" s="1264"/>
      <c r="I75" s="1264"/>
      <c r="J75" s="1264"/>
      <c r="K75" s="1264"/>
      <c r="L75" s="1264"/>
      <c r="M75" s="1264"/>
      <c r="N75" s="1264"/>
      <c r="O75" s="1264"/>
      <c r="P75" s="1264"/>
      <c r="Q75" s="1264"/>
      <c r="R75" s="1265"/>
      <c r="S75" s="1266"/>
      <c r="T75" s="2839"/>
      <c r="U75" s="2839"/>
      <c r="V75" s="2812"/>
      <c r="W75" s="2789"/>
      <c r="X75" s="2939"/>
      <c r="Y75" s="2793"/>
      <c r="Z75" s="2787"/>
      <c r="AA75" s="2791"/>
      <c r="AB75" s="1160"/>
      <c r="AC75" s="2795"/>
      <c r="AD75" s="2795"/>
      <c r="AE75" s="2795"/>
      <c r="AF75" s="2808"/>
      <c r="AH75" s="1958">
        <f t="shared" si="10"/>
        <v>16</v>
      </c>
      <c r="AI75" s="1058"/>
      <c r="AJ75" s="1161" t="s">
        <v>819</v>
      </c>
      <c r="AK75" s="2823" t="s">
        <v>820</v>
      </c>
      <c r="AL75" s="2823"/>
      <c r="AM75" s="2106" t="s">
        <v>821</v>
      </c>
      <c r="AN75" s="1947">
        <v>0</v>
      </c>
      <c r="AW75" s="1167"/>
      <c r="AX75" s="1167"/>
    </row>
    <row r="76" spans="1:68" s="1167" customFormat="1" ht="19.95" customHeight="1">
      <c r="A76" s="440"/>
      <c r="B76" s="2927">
        <f>B33</f>
        <v>0</v>
      </c>
      <c r="C76" s="1162" t="s">
        <v>777</v>
      </c>
      <c r="D76" s="1257"/>
      <c r="E76" s="1258"/>
      <c r="F76" s="1258"/>
      <c r="G76" s="1259"/>
      <c r="H76" s="1259"/>
      <c r="I76" s="1259"/>
      <c r="J76" s="1259"/>
      <c r="K76" s="1259"/>
      <c r="L76" s="1259"/>
      <c r="M76" s="1260"/>
      <c r="N76" s="1260"/>
      <c r="O76" s="1259"/>
      <c r="P76" s="1259"/>
      <c r="Q76" s="1261"/>
      <c r="R76" s="1262"/>
      <c r="S76" s="1268"/>
      <c r="T76" s="2838">
        <v>9</v>
      </c>
      <c r="U76" s="2838">
        <f>SUM(COUNT(_xlfn._xlws.FILTER(D76:R76,T76)))</f>
        <v>0</v>
      </c>
      <c r="V76" s="2811" t="str">
        <f>_xlfn.CONCAT($U$76,$T$57,$U$57)</f>
        <v>0 IN :1 OUT</v>
      </c>
      <c r="W76" s="2788"/>
      <c r="X76" s="2947">
        <f>'Site Vist fomat  (Design)'!J31</f>
        <v>0</v>
      </c>
      <c r="Y76" s="2792"/>
      <c r="Z76" s="2790">
        <f>IF(B76&lt;&gt;0,X76*Y76,0)</f>
        <v>0</v>
      </c>
      <c r="AA76" s="2786" t="e">
        <f>IF('Cable Calcualtion'!B207&lt;&gt;"NO MATCH","3.5CX"&amp;'Cable Calcualtion'!B207&amp;"Sqmm","NO MATCH")</f>
        <v>#DIV/0!</v>
      </c>
      <c r="AB76" s="1158"/>
      <c r="AC76" s="2796"/>
      <c r="AD76" s="2796"/>
      <c r="AE76" s="2796"/>
      <c r="AF76" s="2809"/>
      <c r="AH76" s="1958">
        <f t="shared" si="10"/>
        <v>17</v>
      </c>
      <c r="AI76" s="1058"/>
      <c r="AJ76" s="1161" t="s">
        <v>819</v>
      </c>
      <c r="AK76" s="2823" t="s">
        <v>822</v>
      </c>
      <c r="AL76" s="2823"/>
      <c r="AM76" s="2106" t="s">
        <v>823</v>
      </c>
      <c r="AN76" s="1947">
        <v>0</v>
      </c>
      <c r="AP76" s="441"/>
      <c r="AU76" s="441"/>
      <c r="AV76" s="441"/>
      <c r="AW76" s="441"/>
      <c r="AX76" s="441"/>
      <c r="BG76" s="441"/>
      <c r="BH76" s="441"/>
      <c r="BI76" s="441"/>
      <c r="BP76" s="441"/>
    </row>
    <row r="77" spans="1:68" s="1167" customFormat="1" ht="19.95" customHeight="1" thickBot="1">
      <c r="A77" s="440"/>
      <c r="B77" s="2928"/>
      <c r="C77" s="1164" t="s">
        <v>781</v>
      </c>
      <c r="D77" s="1247"/>
      <c r="E77" s="1248"/>
      <c r="F77" s="1248"/>
      <c r="G77" s="1248"/>
      <c r="H77" s="1248"/>
      <c r="I77" s="1248"/>
      <c r="J77" s="1248"/>
      <c r="K77" s="1248"/>
      <c r="L77" s="1248"/>
      <c r="M77" s="1248"/>
      <c r="N77" s="1248"/>
      <c r="O77" s="1248"/>
      <c r="P77" s="1248"/>
      <c r="Q77" s="1248"/>
      <c r="R77" s="1256"/>
      <c r="S77" s="1249"/>
      <c r="T77" s="2839"/>
      <c r="U77" s="2839"/>
      <c r="V77" s="2812"/>
      <c r="W77" s="2789"/>
      <c r="X77" s="2939"/>
      <c r="Y77" s="2793"/>
      <c r="Z77" s="2787"/>
      <c r="AA77" s="2787"/>
      <c r="AB77" s="1160"/>
      <c r="AC77" s="2797"/>
      <c r="AD77" s="2797"/>
      <c r="AE77" s="2797"/>
      <c r="AF77" s="2810"/>
      <c r="AH77" s="1958">
        <f t="shared" si="10"/>
        <v>18</v>
      </c>
      <c r="AI77" s="1058"/>
      <c r="AJ77" s="1161" t="s">
        <v>824</v>
      </c>
      <c r="AK77" s="2823" t="s">
        <v>825</v>
      </c>
      <c r="AL77" s="2823"/>
      <c r="AM77" s="2106" t="s">
        <v>826</v>
      </c>
      <c r="AN77" s="1947">
        <v>0</v>
      </c>
      <c r="AP77" s="441"/>
      <c r="AU77" s="441"/>
      <c r="AV77" s="441"/>
      <c r="AW77" s="441"/>
      <c r="AX77" s="441"/>
      <c r="BP77" s="441"/>
    </row>
    <row r="78" spans="1:68" s="441" customFormat="1" ht="19.95" customHeight="1">
      <c r="A78" s="440"/>
      <c r="B78" s="2944">
        <f>B34</f>
        <v>0</v>
      </c>
      <c r="C78" s="1162" t="s">
        <v>777</v>
      </c>
      <c r="D78" s="1250"/>
      <c r="E78" s="1251"/>
      <c r="F78" s="1251"/>
      <c r="G78" s="1252"/>
      <c r="H78" s="1252"/>
      <c r="I78" s="1252"/>
      <c r="J78" s="1252"/>
      <c r="K78" s="1252"/>
      <c r="L78" s="1252"/>
      <c r="M78" s="1253"/>
      <c r="N78" s="1253"/>
      <c r="O78" s="1252"/>
      <c r="P78" s="1252"/>
      <c r="Q78" s="1254"/>
      <c r="R78" s="1255"/>
      <c r="S78" s="1269"/>
      <c r="T78" s="2838">
        <v>10</v>
      </c>
      <c r="U78" s="2838">
        <f>SUM(COUNT(_xlfn._xlws.FILTER(D78:R78,T78)))</f>
        <v>0</v>
      </c>
      <c r="V78" s="2811" t="str">
        <f>_xlfn.CONCAT($U$78,$T$57,$U$57)</f>
        <v>0 IN :1 OUT</v>
      </c>
      <c r="W78" s="2788"/>
      <c r="X78" s="2947">
        <f>'Site Vist fomat  (Design)'!K31</f>
        <v>0</v>
      </c>
      <c r="Y78" s="2792"/>
      <c r="Z78" s="2790">
        <f>IF(B78&lt;&gt;0,X78*Y78,0)</f>
        <v>0</v>
      </c>
      <c r="AA78" s="2790" t="e">
        <f>IF('Cable Calcualtion'!B231&lt;&gt;"NO MATCH","3.5CX"&amp;'Cable Calcualtion'!B231&amp;"Sqmm","NO MATCH")</f>
        <v>#DIV/0!</v>
      </c>
      <c r="AB78" s="1158"/>
      <c r="AC78" s="2794"/>
      <c r="AD78" s="2794"/>
      <c r="AE78" s="2794"/>
      <c r="AF78" s="2807"/>
      <c r="AH78" s="1958">
        <f t="shared" si="10"/>
        <v>19</v>
      </c>
      <c r="AI78" s="1058"/>
      <c r="AJ78" s="1161" t="s">
        <v>824</v>
      </c>
      <c r="AK78" s="2823" t="s">
        <v>827</v>
      </c>
      <c r="AL78" s="2823"/>
      <c r="AM78" s="2106" t="s">
        <v>828</v>
      </c>
      <c r="AN78" s="1947">
        <v>0</v>
      </c>
    </row>
    <row r="79" spans="1:68" s="441" customFormat="1" ht="19.95" customHeight="1" thickBot="1">
      <c r="A79" s="440"/>
      <c r="B79" s="2944"/>
      <c r="C79" s="1164" t="s">
        <v>781</v>
      </c>
      <c r="D79" s="1263"/>
      <c r="E79" s="1264"/>
      <c r="F79" s="1264"/>
      <c r="G79" s="1264"/>
      <c r="H79" s="1264"/>
      <c r="I79" s="1264"/>
      <c r="J79" s="1264"/>
      <c r="K79" s="1264"/>
      <c r="L79" s="1264"/>
      <c r="M79" s="1264"/>
      <c r="N79" s="1264"/>
      <c r="O79" s="1264"/>
      <c r="P79" s="1264"/>
      <c r="Q79" s="1264"/>
      <c r="R79" s="1265"/>
      <c r="S79" s="1266"/>
      <c r="T79" s="2839"/>
      <c r="U79" s="2839"/>
      <c r="V79" s="2812"/>
      <c r="W79" s="2789"/>
      <c r="X79" s="2939"/>
      <c r="Y79" s="2793"/>
      <c r="Z79" s="2787"/>
      <c r="AA79" s="2791"/>
      <c r="AB79" s="1160"/>
      <c r="AC79" s="2795"/>
      <c r="AD79" s="2795"/>
      <c r="AE79" s="2795"/>
      <c r="AF79" s="2808"/>
      <c r="AH79" s="1958">
        <f t="shared" si="10"/>
        <v>20</v>
      </c>
      <c r="AI79" s="1058"/>
      <c r="AJ79" s="1161" t="s">
        <v>829</v>
      </c>
      <c r="AK79" s="2823" t="s">
        <v>830</v>
      </c>
      <c r="AL79" s="2823"/>
      <c r="AM79" s="2106" t="s">
        <v>831</v>
      </c>
      <c r="AN79" s="1947">
        <v>0</v>
      </c>
    </row>
    <row r="80" spans="1:68" s="441" customFormat="1" ht="19.95" customHeight="1">
      <c r="A80" s="440"/>
      <c r="B80" s="2927">
        <f>B35</f>
        <v>0</v>
      </c>
      <c r="C80" s="1162" t="s">
        <v>777</v>
      </c>
      <c r="D80" s="1257"/>
      <c r="E80" s="1258"/>
      <c r="F80" s="1258"/>
      <c r="G80" s="1259"/>
      <c r="H80" s="1259"/>
      <c r="I80" s="1259"/>
      <c r="J80" s="1259"/>
      <c r="K80" s="1259"/>
      <c r="L80" s="1259"/>
      <c r="M80" s="1260"/>
      <c r="N80" s="1260"/>
      <c r="O80" s="1259"/>
      <c r="P80" s="1259"/>
      <c r="Q80" s="1261"/>
      <c r="R80" s="1262"/>
      <c r="S80" s="1270"/>
      <c r="T80" s="2838">
        <v>11</v>
      </c>
      <c r="U80" s="2838">
        <f>SUM(COUNT(_xlfn._xlws.FILTER(D80:R80,T80)))</f>
        <v>0</v>
      </c>
      <c r="V80" s="2811" t="str">
        <f>_xlfn.CONCAT($U$80,$T$57,$U$57)</f>
        <v>0 IN :1 OUT</v>
      </c>
      <c r="W80" s="2788"/>
      <c r="X80" s="2947">
        <f>'Site Vist fomat  (Design)'!L31</f>
        <v>0</v>
      </c>
      <c r="Y80" s="2792"/>
      <c r="Z80" s="2790">
        <f>IF(B80&lt;&gt;0,X80*Y80,0)</f>
        <v>0</v>
      </c>
      <c r="AA80" s="2786" t="e">
        <f>IF('Cable Calcualtion'!B255&lt;&gt;"NO MATCH","3.5CX"&amp;'Cable Calcualtion'!B255&amp;"Sqmm","NO MATCH")</f>
        <v>#DIV/0!</v>
      </c>
      <c r="AB80" s="1158"/>
      <c r="AC80" s="2796"/>
      <c r="AD80" s="2796"/>
      <c r="AE80" s="2796"/>
      <c r="AF80" s="2809"/>
      <c r="AH80" s="1958">
        <f t="shared" si="10"/>
        <v>21</v>
      </c>
      <c r="AI80" s="1058"/>
      <c r="AJ80" s="1161" t="s">
        <v>829</v>
      </c>
      <c r="AK80" s="2823" t="s">
        <v>832</v>
      </c>
      <c r="AL80" s="2823"/>
      <c r="AM80" s="2106" t="s">
        <v>833</v>
      </c>
      <c r="AN80" s="1947">
        <v>0</v>
      </c>
    </row>
    <row r="81" spans="1:61" s="441" customFormat="1" ht="19.95" customHeight="1" thickBot="1">
      <c r="A81" s="440"/>
      <c r="B81" s="2928"/>
      <c r="C81" s="1164" t="s">
        <v>781</v>
      </c>
      <c r="D81" s="1247"/>
      <c r="E81" s="1248"/>
      <c r="F81" s="1248"/>
      <c r="G81" s="1248"/>
      <c r="H81" s="1248"/>
      <c r="I81" s="1248"/>
      <c r="J81" s="1248"/>
      <c r="K81" s="1248"/>
      <c r="L81" s="1248"/>
      <c r="M81" s="1248"/>
      <c r="N81" s="1248"/>
      <c r="O81" s="1248"/>
      <c r="P81" s="1248"/>
      <c r="Q81" s="1248"/>
      <c r="R81" s="1256"/>
      <c r="S81" s="1249"/>
      <c r="T81" s="2839"/>
      <c r="U81" s="2839"/>
      <c r="V81" s="2812"/>
      <c r="W81" s="2789"/>
      <c r="X81" s="2939"/>
      <c r="Y81" s="2793"/>
      <c r="Z81" s="2787"/>
      <c r="AA81" s="2787"/>
      <c r="AB81" s="1160"/>
      <c r="AC81" s="2797"/>
      <c r="AD81" s="2797"/>
      <c r="AE81" s="2797"/>
      <c r="AF81" s="2810"/>
      <c r="AH81" s="1958">
        <f t="shared" si="10"/>
        <v>22</v>
      </c>
      <c r="AI81" s="1058"/>
      <c r="AJ81" s="1161" t="s">
        <v>834</v>
      </c>
      <c r="AK81" s="2823" t="s">
        <v>835</v>
      </c>
      <c r="AL81" s="2823"/>
      <c r="AM81" s="2106" t="s">
        <v>836</v>
      </c>
      <c r="AN81" s="1947">
        <v>0</v>
      </c>
    </row>
    <row r="82" spans="1:61" s="441" customFormat="1" ht="19.95" customHeight="1">
      <c r="A82" s="440"/>
      <c r="B82" s="2944">
        <f>B36</f>
        <v>0</v>
      </c>
      <c r="C82" s="1162" t="s">
        <v>777</v>
      </c>
      <c r="D82" s="1250"/>
      <c r="E82" s="1251"/>
      <c r="F82" s="1251"/>
      <c r="G82" s="1252"/>
      <c r="H82" s="1252"/>
      <c r="I82" s="1252"/>
      <c r="J82" s="1252"/>
      <c r="K82" s="1252"/>
      <c r="L82" s="1252"/>
      <c r="M82" s="1253"/>
      <c r="N82" s="1253"/>
      <c r="O82" s="1252"/>
      <c r="P82" s="1252"/>
      <c r="Q82" s="1254"/>
      <c r="R82" s="1255"/>
      <c r="S82" s="1269"/>
      <c r="T82" s="2838">
        <v>12</v>
      </c>
      <c r="U82" s="2838">
        <f>SUM(COUNT(_xlfn._xlws.FILTER(D82:R82,T82)))</f>
        <v>0</v>
      </c>
      <c r="V82" s="2811" t="str">
        <f>_xlfn.CONCAT($U$82,$T$57,$U$57)</f>
        <v>0 IN :1 OUT</v>
      </c>
      <c r="W82" s="2788"/>
      <c r="X82" s="2947">
        <f>'Site Vist fomat  (Design)'!M31</f>
        <v>0</v>
      </c>
      <c r="Y82" s="2792"/>
      <c r="Z82" s="2790">
        <f>IF(B82&lt;&gt;0,X82*Y82,0)</f>
        <v>0</v>
      </c>
      <c r="AA82" s="2790" t="e">
        <f>IF('Cable Calcualtion'!B279&lt;&gt;"NO MATCH","3.5CX"&amp;'Cable Calcualtion'!B279&amp;"Sqmm","NO MATCH")</f>
        <v>#DIV/0!</v>
      </c>
      <c r="AB82" s="1158"/>
      <c r="AC82" s="2794"/>
      <c r="AD82" s="2794"/>
      <c r="AE82" s="2794"/>
      <c r="AF82" s="2807"/>
      <c r="AH82" s="1958">
        <f t="shared" si="10"/>
        <v>23</v>
      </c>
      <c r="AI82" s="1058"/>
      <c r="AJ82" s="1161" t="s">
        <v>834</v>
      </c>
      <c r="AK82" s="2823" t="s">
        <v>837</v>
      </c>
      <c r="AL82" s="2823"/>
      <c r="AM82" s="2106" t="s">
        <v>838</v>
      </c>
      <c r="AN82" s="1947">
        <v>0</v>
      </c>
    </row>
    <row r="83" spans="1:61" s="441" customFormat="1" ht="19.95" customHeight="1" thickBot="1">
      <c r="A83" s="440"/>
      <c r="B83" s="2944"/>
      <c r="C83" s="1164" t="s">
        <v>781</v>
      </c>
      <c r="D83" s="1263"/>
      <c r="E83" s="1264"/>
      <c r="F83" s="1264"/>
      <c r="G83" s="1264"/>
      <c r="H83" s="1264"/>
      <c r="I83" s="1264"/>
      <c r="J83" s="1264"/>
      <c r="K83" s="1264"/>
      <c r="L83" s="1264"/>
      <c r="M83" s="1264"/>
      <c r="N83" s="1264"/>
      <c r="O83" s="1264"/>
      <c r="P83" s="1264"/>
      <c r="Q83" s="1264"/>
      <c r="R83" s="1265"/>
      <c r="S83" s="1266"/>
      <c r="T83" s="2839"/>
      <c r="U83" s="2839"/>
      <c r="V83" s="2812"/>
      <c r="W83" s="2789"/>
      <c r="X83" s="2939"/>
      <c r="Y83" s="2793"/>
      <c r="Z83" s="2787"/>
      <c r="AA83" s="2791"/>
      <c r="AB83" s="1160"/>
      <c r="AC83" s="2795"/>
      <c r="AD83" s="2795"/>
      <c r="AE83" s="2795"/>
      <c r="AF83" s="2808"/>
      <c r="AH83" s="1958">
        <f t="shared" si="10"/>
        <v>24</v>
      </c>
      <c r="AI83" s="1058"/>
      <c r="AJ83" s="1161" t="s">
        <v>839</v>
      </c>
      <c r="AK83" s="2823" t="s">
        <v>840</v>
      </c>
      <c r="AL83" s="2823"/>
      <c r="AM83" s="2106" t="s">
        <v>841</v>
      </c>
      <c r="AN83" s="1947">
        <v>0</v>
      </c>
    </row>
    <row r="84" spans="1:61" s="441" customFormat="1" ht="19.95" customHeight="1">
      <c r="A84" s="440"/>
      <c r="B84" s="2927">
        <f>B37</f>
        <v>0</v>
      </c>
      <c r="C84" s="1162" t="s">
        <v>777</v>
      </c>
      <c r="D84" s="1257"/>
      <c r="E84" s="1258"/>
      <c r="F84" s="1258"/>
      <c r="G84" s="1259"/>
      <c r="H84" s="1259"/>
      <c r="I84" s="1259"/>
      <c r="J84" s="1259"/>
      <c r="K84" s="1259"/>
      <c r="L84" s="1259"/>
      <c r="M84" s="1260"/>
      <c r="N84" s="1260"/>
      <c r="O84" s="1259"/>
      <c r="P84" s="1259"/>
      <c r="Q84" s="1261"/>
      <c r="R84" s="1262"/>
      <c r="S84" s="1271"/>
      <c r="T84" s="2838">
        <v>13</v>
      </c>
      <c r="U84" s="2838">
        <f>SUM(COUNT(_xlfn._xlws.FILTER(D84:R84,T84)))</f>
        <v>0</v>
      </c>
      <c r="V84" s="2811" t="str">
        <f>_xlfn.CONCAT($U$84,$T$57,$U$57)</f>
        <v>0 IN :1 OUT</v>
      </c>
      <c r="W84" s="2788"/>
      <c r="X84" s="2947">
        <f>'Site Vist fomat  (Design)'!N31</f>
        <v>0</v>
      </c>
      <c r="Y84" s="2792"/>
      <c r="Z84" s="2790">
        <f>IF(B84&lt;&gt;0,X84*Y84,0)</f>
        <v>0</v>
      </c>
      <c r="AA84" s="2786" t="e">
        <f>IF('Cable Calcualtion'!B303&lt;&gt;"NO MATCH","3.5CX"&amp;'Cable Calcualtion'!B303&amp;"Sqmm","NO MATCH")</f>
        <v>#DIV/0!</v>
      </c>
      <c r="AB84" s="1163"/>
      <c r="AC84" s="2796"/>
      <c r="AD84" s="2796"/>
      <c r="AE84" s="2796"/>
      <c r="AF84" s="2809"/>
      <c r="AH84" s="1958">
        <f t="shared" si="10"/>
        <v>25</v>
      </c>
      <c r="AI84" s="1058"/>
      <c r="AJ84" s="1161" t="s">
        <v>839</v>
      </c>
      <c r="AK84" s="2823" t="s">
        <v>842</v>
      </c>
      <c r="AL84" s="2823"/>
      <c r="AM84" s="2106" t="s">
        <v>843</v>
      </c>
      <c r="AN84" s="1947">
        <v>0</v>
      </c>
      <c r="AU84" s="1167"/>
      <c r="AV84" s="1167"/>
    </row>
    <row r="85" spans="1:61" s="441" customFormat="1" ht="19.95" customHeight="1" thickBot="1">
      <c r="A85" s="440"/>
      <c r="B85" s="2928"/>
      <c r="C85" s="1164" t="s">
        <v>781</v>
      </c>
      <c r="D85" s="1247"/>
      <c r="E85" s="1248"/>
      <c r="F85" s="1248"/>
      <c r="G85" s="1248"/>
      <c r="H85" s="1248"/>
      <c r="I85" s="1248"/>
      <c r="J85" s="1248"/>
      <c r="K85" s="1248"/>
      <c r="L85" s="1248"/>
      <c r="M85" s="1248"/>
      <c r="N85" s="1248"/>
      <c r="O85" s="1248"/>
      <c r="P85" s="1248"/>
      <c r="Q85" s="1248"/>
      <c r="R85" s="1256"/>
      <c r="S85" s="1249"/>
      <c r="T85" s="2839"/>
      <c r="U85" s="2839"/>
      <c r="V85" s="2812"/>
      <c r="W85" s="2789"/>
      <c r="X85" s="2939"/>
      <c r="Y85" s="2793"/>
      <c r="Z85" s="2787"/>
      <c r="AA85" s="2787"/>
      <c r="AB85" s="1160"/>
      <c r="AC85" s="2797"/>
      <c r="AD85" s="2797"/>
      <c r="AE85" s="2797"/>
      <c r="AF85" s="2810"/>
      <c r="AH85" s="1958">
        <f>AH84+1</f>
        <v>26</v>
      </c>
      <c r="AI85" s="1058"/>
      <c r="AJ85" s="1161" t="s">
        <v>844</v>
      </c>
      <c r="AK85" s="2823" t="s">
        <v>845</v>
      </c>
      <c r="AL85" s="2823"/>
      <c r="AM85" s="2106" t="s">
        <v>846</v>
      </c>
      <c r="AN85" s="1947">
        <v>0</v>
      </c>
    </row>
    <row r="86" spans="1:61" s="441" customFormat="1" ht="19.95" customHeight="1">
      <c r="A86" s="442"/>
      <c r="B86" s="2944">
        <f>B38</f>
        <v>0</v>
      </c>
      <c r="C86" s="1162" t="s">
        <v>777</v>
      </c>
      <c r="D86" s="1250"/>
      <c r="E86" s="1251"/>
      <c r="F86" s="1251"/>
      <c r="G86" s="1252"/>
      <c r="H86" s="1252"/>
      <c r="I86" s="1252"/>
      <c r="J86" s="1252"/>
      <c r="K86" s="1252"/>
      <c r="L86" s="1252"/>
      <c r="M86" s="1253"/>
      <c r="N86" s="1253"/>
      <c r="O86" s="1252"/>
      <c r="P86" s="1252"/>
      <c r="Q86" s="1254"/>
      <c r="R86" s="1255"/>
      <c r="S86" s="1272"/>
      <c r="T86" s="2838">
        <v>14</v>
      </c>
      <c r="U86" s="2838">
        <f>SUM(COUNT(_xlfn._xlws.FILTER(D86:R86,T86)))</f>
        <v>0</v>
      </c>
      <c r="V86" s="2811" t="str">
        <f>_xlfn.CONCAT($U$86,$T$57,$U$57)</f>
        <v>0 IN :1 OUT</v>
      </c>
      <c r="W86" s="2788"/>
      <c r="X86" s="2947">
        <f>'Site Vist fomat  (Design)'!O31</f>
        <v>0</v>
      </c>
      <c r="Y86" s="2792"/>
      <c r="Z86" s="2790">
        <f>IF(B86&lt;&gt;0,X86*Y86,0)</f>
        <v>0</v>
      </c>
      <c r="AA86" s="2790" t="e">
        <f>IF('Cable Calcualtion'!B327&lt;&gt;"NO MATCH","3.5CX"&amp;'Cable Calcualtion'!B327&amp;"Sqmm","NO MATCH")</f>
        <v>#DIV/0!</v>
      </c>
      <c r="AB86" s="1158"/>
      <c r="AC86" s="2794"/>
      <c r="AD86" s="2794"/>
      <c r="AE86" s="2794"/>
      <c r="AF86" s="2807"/>
      <c r="AH86" s="1958">
        <f t="shared" ref="AH86:AH92" si="11">AH85+1</f>
        <v>27</v>
      </c>
      <c r="AI86" s="1058"/>
      <c r="AJ86" s="1161" t="s">
        <v>844</v>
      </c>
      <c r="AK86" s="2823" t="s">
        <v>847</v>
      </c>
      <c r="AL86" s="2823"/>
      <c r="AM86" s="2106" t="s">
        <v>848</v>
      </c>
      <c r="AN86" s="1947">
        <v>0</v>
      </c>
      <c r="AW86" s="1167"/>
      <c r="AX86" s="1167"/>
    </row>
    <row r="87" spans="1:61" s="441" customFormat="1" ht="19.95" customHeight="1" thickBot="1">
      <c r="B87" s="2944"/>
      <c r="C87" s="1164" t="s">
        <v>781</v>
      </c>
      <c r="D87" s="1263"/>
      <c r="E87" s="1264"/>
      <c r="F87" s="1264"/>
      <c r="G87" s="1264"/>
      <c r="H87" s="1264"/>
      <c r="I87" s="1264"/>
      <c r="J87" s="1264"/>
      <c r="K87" s="1264"/>
      <c r="L87" s="1264"/>
      <c r="M87" s="1264"/>
      <c r="N87" s="1264"/>
      <c r="O87" s="1264"/>
      <c r="P87" s="1264"/>
      <c r="Q87" s="1264"/>
      <c r="R87" s="1265"/>
      <c r="S87" s="1266"/>
      <c r="T87" s="2839"/>
      <c r="U87" s="2839"/>
      <c r="V87" s="2812"/>
      <c r="W87" s="2789"/>
      <c r="X87" s="2939"/>
      <c r="Y87" s="2793"/>
      <c r="Z87" s="2787"/>
      <c r="AA87" s="2791"/>
      <c r="AB87" s="1160"/>
      <c r="AC87" s="2795"/>
      <c r="AD87" s="2795"/>
      <c r="AE87" s="2795"/>
      <c r="AF87" s="2808"/>
      <c r="AH87" s="1958">
        <f t="shared" si="11"/>
        <v>28</v>
      </c>
      <c r="AI87" s="1058"/>
      <c r="AJ87" s="1161" t="s">
        <v>849</v>
      </c>
      <c r="AK87" s="2823" t="s">
        <v>850</v>
      </c>
      <c r="AL87" s="2823"/>
      <c r="AM87" s="2106" t="s">
        <v>851</v>
      </c>
      <c r="AN87" s="1947">
        <v>0</v>
      </c>
    </row>
    <row r="88" spans="1:61" s="1167" customFormat="1" ht="19.95" customHeight="1">
      <c r="A88" s="441"/>
      <c r="B88" s="2927">
        <f>B39</f>
        <v>0</v>
      </c>
      <c r="C88" s="1162" t="s">
        <v>777</v>
      </c>
      <c r="D88" s="1257"/>
      <c r="E88" s="1258"/>
      <c r="F88" s="1258"/>
      <c r="G88" s="1259"/>
      <c r="H88" s="1259"/>
      <c r="I88" s="1259"/>
      <c r="J88" s="1259"/>
      <c r="K88" s="1259"/>
      <c r="L88" s="1259"/>
      <c r="M88" s="1260"/>
      <c r="N88" s="1260"/>
      <c r="O88" s="1259"/>
      <c r="P88" s="1259"/>
      <c r="Q88" s="1261"/>
      <c r="R88" s="1262"/>
      <c r="S88" s="1273"/>
      <c r="T88" s="2838">
        <v>15</v>
      </c>
      <c r="U88" s="2838">
        <f>SUM(COUNT(_xlfn._xlws.FILTER(D88:R88,T88)))</f>
        <v>0</v>
      </c>
      <c r="V88" s="2811" t="str">
        <f>_xlfn.CONCAT($U$88,$T$57,$U$57)</f>
        <v>0 IN :1 OUT</v>
      </c>
      <c r="W88" s="2788"/>
      <c r="X88" s="2947">
        <f>'Site Vist fomat  (Design)'!P31</f>
        <v>0</v>
      </c>
      <c r="Y88" s="2792"/>
      <c r="Z88" s="2790">
        <f>IF(B88&lt;&gt;0,X88*Y88,0)</f>
        <v>0</v>
      </c>
      <c r="AA88" s="2786" t="e">
        <f>IF('Cable Calcualtion'!B351&lt;&gt;"NO MATCH","3.5CX"&amp;'Cable Calcualtion'!B351&amp;"Sqmm","NO MATCH")</f>
        <v>#DIV/0!</v>
      </c>
      <c r="AB88" s="1157"/>
      <c r="AC88" s="2796"/>
      <c r="AD88" s="2796"/>
      <c r="AE88" s="2796"/>
      <c r="AF88" s="2809"/>
      <c r="AH88" s="1958">
        <f t="shared" si="11"/>
        <v>29</v>
      </c>
      <c r="AI88" s="1058"/>
      <c r="AJ88" s="1161" t="s">
        <v>849</v>
      </c>
      <c r="AK88" s="2823" t="s">
        <v>852</v>
      </c>
      <c r="AL88" s="2823"/>
      <c r="AM88" s="2106" t="s">
        <v>853</v>
      </c>
      <c r="AN88" s="1947">
        <v>0</v>
      </c>
      <c r="AP88" s="441"/>
      <c r="AQ88" s="441"/>
      <c r="AR88" s="441"/>
      <c r="AS88" s="441"/>
      <c r="AT88" s="441"/>
      <c r="AU88" s="441"/>
      <c r="AV88" s="441"/>
      <c r="AW88" s="441"/>
      <c r="AX88" s="441"/>
      <c r="BG88" s="441"/>
      <c r="BH88" s="441"/>
      <c r="BI88" s="441"/>
    </row>
    <row r="89" spans="1:61" s="441" customFormat="1" ht="19.95" customHeight="1" thickBot="1">
      <c r="B89" s="2928"/>
      <c r="C89" s="1164" t="s">
        <v>781</v>
      </c>
      <c r="D89" s="1247"/>
      <c r="E89" s="1248"/>
      <c r="F89" s="1248"/>
      <c r="G89" s="1248"/>
      <c r="H89" s="1248"/>
      <c r="I89" s="1248"/>
      <c r="J89" s="1248"/>
      <c r="K89" s="1248"/>
      <c r="L89" s="1248"/>
      <c r="M89" s="1248"/>
      <c r="N89" s="1248"/>
      <c r="O89" s="1248"/>
      <c r="P89" s="1248"/>
      <c r="Q89" s="1248"/>
      <c r="R89" s="1256"/>
      <c r="S89" s="1249"/>
      <c r="T89" s="2839"/>
      <c r="U89" s="2839"/>
      <c r="V89" s="2812"/>
      <c r="W89" s="2789"/>
      <c r="X89" s="2939"/>
      <c r="Y89" s="2793"/>
      <c r="Z89" s="2787"/>
      <c r="AA89" s="2787"/>
      <c r="AB89" s="1160"/>
      <c r="AC89" s="2797"/>
      <c r="AD89" s="2797"/>
      <c r="AE89" s="2797"/>
      <c r="AF89" s="2810"/>
      <c r="AH89" s="1958">
        <f t="shared" si="11"/>
        <v>30</v>
      </c>
      <c r="AI89" s="1058"/>
      <c r="AJ89" s="1161" t="s">
        <v>854</v>
      </c>
      <c r="AK89" s="2823" t="s">
        <v>855</v>
      </c>
      <c r="AL89" s="2823"/>
      <c r="AM89" s="2106" t="s">
        <v>856</v>
      </c>
      <c r="AN89" s="1947">
        <v>0</v>
      </c>
    </row>
    <row r="90" spans="1:61" s="441" customFormat="1" ht="19.95" customHeight="1">
      <c r="B90" s="2944">
        <f>B40</f>
        <v>0</v>
      </c>
      <c r="C90" s="1162" t="s">
        <v>777</v>
      </c>
      <c r="D90" s="1257"/>
      <c r="E90" s="1258"/>
      <c r="F90" s="1258"/>
      <c r="G90" s="1259"/>
      <c r="H90" s="1259"/>
      <c r="I90" s="1259"/>
      <c r="J90" s="1259"/>
      <c r="K90" s="1259"/>
      <c r="L90" s="1259"/>
      <c r="M90" s="1260"/>
      <c r="N90" s="1260"/>
      <c r="O90" s="1259"/>
      <c r="P90" s="1259"/>
      <c r="Q90" s="1261"/>
      <c r="R90" s="1262"/>
      <c r="S90" s="1273"/>
      <c r="T90" s="2838">
        <v>16</v>
      </c>
      <c r="U90" s="2838">
        <f>SUM(COUNT(_xlfn._xlws.FILTER(D90:R90,T90)))</f>
        <v>0</v>
      </c>
      <c r="V90" s="2811" t="str">
        <f>_xlfn.CONCAT($U$90,$T$57,$U$57)</f>
        <v>0 IN :1 OUT</v>
      </c>
      <c r="W90" s="2788"/>
      <c r="X90" s="2947">
        <f>'Site Vist fomat  (Design)'!Q31</f>
        <v>0</v>
      </c>
      <c r="Y90" s="2792"/>
      <c r="Z90" s="2790">
        <f>IF(B90&lt;&gt;0,X90*Y90,0)</f>
        <v>0</v>
      </c>
      <c r="AA90" s="2786" t="e">
        <f>IF('Cable Calcualtion'!B375&lt;&gt;"NO MATCH","3.5CX"&amp;'Cable Calcualtion'!B375&amp;"Sqmm","NO MATCH")</f>
        <v>#DIV/0!</v>
      </c>
      <c r="AB90" s="1158"/>
      <c r="AC90" s="2796"/>
      <c r="AD90" s="2796"/>
      <c r="AE90" s="2796"/>
      <c r="AF90" s="2809"/>
      <c r="AH90" s="1958">
        <f t="shared" si="11"/>
        <v>31</v>
      </c>
      <c r="AI90" s="1058"/>
      <c r="AJ90" s="1161" t="s">
        <v>854</v>
      </c>
      <c r="AK90" s="2823" t="s">
        <v>857</v>
      </c>
      <c r="AL90" s="2823"/>
      <c r="AM90" s="2106" t="s">
        <v>858</v>
      </c>
      <c r="AN90" s="1947">
        <v>0</v>
      </c>
    </row>
    <row r="91" spans="1:61" s="441" customFormat="1" ht="19.95" customHeight="1" thickBot="1">
      <c r="B91" s="2944"/>
      <c r="C91" s="1164" t="s">
        <v>781</v>
      </c>
      <c r="D91" s="1247"/>
      <c r="E91" s="1248"/>
      <c r="F91" s="1248"/>
      <c r="G91" s="1248"/>
      <c r="H91" s="1248"/>
      <c r="I91" s="1248"/>
      <c r="J91" s="1248"/>
      <c r="K91" s="1248"/>
      <c r="L91" s="1248"/>
      <c r="M91" s="1248"/>
      <c r="N91" s="1248"/>
      <c r="O91" s="1248"/>
      <c r="P91" s="1248"/>
      <c r="Q91" s="1248"/>
      <c r="R91" s="1256"/>
      <c r="S91" s="1249"/>
      <c r="T91" s="2839"/>
      <c r="U91" s="2839"/>
      <c r="V91" s="2812"/>
      <c r="W91" s="2789"/>
      <c r="X91" s="2939"/>
      <c r="Y91" s="2793"/>
      <c r="Z91" s="2787"/>
      <c r="AA91" s="2787"/>
      <c r="AB91" s="1160"/>
      <c r="AC91" s="2797"/>
      <c r="AD91" s="2797"/>
      <c r="AE91" s="2797"/>
      <c r="AF91" s="2810"/>
      <c r="AH91" s="1958">
        <f t="shared" si="11"/>
        <v>32</v>
      </c>
      <c r="AI91" s="1058"/>
      <c r="AJ91" s="1161" t="s">
        <v>859</v>
      </c>
      <c r="AK91" s="2823" t="s">
        <v>860</v>
      </c>
      <c r="AL91" s="2823"/>
      <c r="AM91" s="2106" t="s">
        <v>861</v>
      </c>
      <c r="AN91" s="1947">
        <v>0</v>
      </c>
    </row>
    <row r="92" spans="1:61" s="441" customFormat="1" ht="19.95" customHeight="1" thickBot="1">
      <c r="B92" s="2927">
        <f>B41</f>
        <v>0</v>
      </c>
      <c r="C92" s="1162" t="s">
        <v>777</v>
      </c>
      <c r="D92" s="1250"/>
      <c r="E92" s="1251"/>
      <c r="F92" s="1251"/>
      <c r="G92" s="1252"/>
      <c r="H92" s="1252"/>
      <c r="I92" s="1252"/>
      <c r="J92" s="1252"/>
      <c r="K92" s="1252"/>
      <c r="L92" s="1252"/>
      <c r="M92" s="1253"/>
      <c r="N92" s="1253"/>
      <c r="O92" s="1252"/>
      <c r="P92" s="1252"/>
      <c r="Q92" s="1254"/>
      <c r="R92" s="1255"/>
      <c r="S92" s="1272"/>
      <c r="T92" s="2838">
        <v>17</v>
      </c>
      <c r="U92" s="2838">
        <f>SUM(COUNT(_xlfn._xlws.FILTER(D92:R92,T92)))</f>
        <v>0</v>
      </c>
      <c r="V92" s="2811" t="str">
        <f>_xlfn.CONCAT($U$92,$T$57,$U$57)</f>
        <v>0 IN :1 OUT</v>
      </c>
      <c r="W92" s="2788"/>
      <c r="X92" s="2947">
        <f>'Site Vist fomat  (Design)'!R31</f>
        <v>0</v>
      </c>
      <c r="Y92" s="2792"/>
      <c r="Z92" s="2790">
        <f>IF(B92&lt;&gt;0,X92*Y92,0)</f>
        <v>0</v>
      </c>
      <c r="AA92" s="2790" t="e">
        <f>IF('Cable Calcualtion'!B399&lt;&gt;"NO MATCH","3.5CX"&amp;'Cable Calcualtion'!B399&amp;"Sqmm","NO MATCH")</f>
        <v>#DIV/0!</v>
      </c>
      <c r="AB92" s="1158"/>
      <c r="AC92" s="2794"/>
      <c r="AD92" s="2794"/>
      <c r="AE92" s="2794"/>
      <c r="AF92" s="2807"/>
      <c r="AH92" s="1960">
        <f t="shared" si="11"/>
        <v>33</v>
      </c>
      <c r="AI92" s="1166"/>
      <c r="AJ92" s="1961" t="s">
        <v>859</v>
      </c>
      <c r="AK92" s="3172" t="s">
        <v>862</v>
      </c>
      <c r="AL92" s="3172"/>
      <c r="AM92" s="2107" t="s">
        <v>863</v>
      </c>
      <c r="AN92" s="1950">
        <v>0</v>
      </c>
    </row>
    <row r="93" spans="1:61" s="441" customFormat="1" ht="19.95" customHeight="1" thickBot="1">
      <c r="B93" s="2928"/>
      <c r="C93" s="1164" t="s">
        <v>781</v>
      </c>
      <c r="D93" s="1263"/>
      <c r="E93" s="1264"/>
      <c r="F93" s="1264"/>
      <c r="G93" s="1264"/>
      <c r="H93" s="1264"/>
      <c r="I93" s="1264"/>
      <c r="J93" s="1264"/>
      <c r="K93" s="1264"/>
      <c r="L93" s="1264"/>
      <c r="M93" s="1264"/>
      <c r="N93" s="1264"/>
      <c r="O93" s="1264"/>
      <c r="P93" s="1264"/>
      <c r="Q93" s="1264"/>
      <c r="R93" s="1265"/>
      <c r="S93" s="1266"/>
      <c r="T93" s="2839"/>
      <c r="U93" s="2839"/>
      <c r="V93" s="2812"/>
      <c r="W93" s="2789"/>
      <c r="X93" s="2939"/>
      <c r="Y93" s="2793"/>
      <c r="Z93" s="2787"/>
      <c r="AA93" s="2791"/>
      <c r="AB93" s="1160"/>
      <c r="AC93" s="2795"/>
      <c r="AD93" s="2795"/>
      <c r="AE93" s="2795"/>
      <c r="AF93" s="2808"/>
      <c r="AH93" s="2863" t="s">
        <v>864</v>
      </c>
      <c r="AI93" s="2864"/>
      <c r="AJ93" s="2864"/>
      <c r="AK93" s="2864"/>
      <c r="AL93" s="2864"/>
      <c r="AM93" s="2865"/>
      <c r="AN93" s="1959">
        <f>IF(G55&lt;1,0,(AN60+AN61+AN62+AN63+AN64+AN65+AN66+AN67+AN68+AN69+AN70+AN71+AN72+AN73+AN74+AN75+AN76+AN77+AN78+AN79+AN80+AN81+AN82+AN83+AN84+AN85+AN86+AN87+AN88+AN89+AN90+AN91+AN92))</f>
        <v>2</v>
      </c>
    </row>
    <row r="94" spans="1:61" s="441" customFormat="1" ht="19.95" customHeight="1">
      <c r="B94" s="2944">
        <f>B42</f>
        <v>0</v>
      </c>
      <c r="C94" s="1162" t="s">
        <v>777</v>
      </c>
      <c r="D94" s="1257"/>
      <c r="E94" s="1258"/>
      <c r="F94" s="1258"/>
      <c r="G94" s="1259"/>
      <c r="H94" s="1259"/>
      <c r="I94" s="1259"/>
      <c r="J94" s="1259"/>
      <c r="K94" s="1259"/>
      <c r="L94" s="1259"/>
      <c r="M94" s="1260"/>
      <c r="N94" s="1260"/>
      <c r="O94" s="1259"/>
      <c r="P94" s="1259"/>
      <c r="Q94" s="1261"/>
      <c r="R94" s="1262"/>
      <c r="S94" s="1273"/>
      <c r="T94" s="2838">
        <v>18</v>
      </c>
      <c r="U94" s="2838">
        <f>SUM(COUNT(_xlfn._xlws.FILTER(D94:R94,T94)))</f>
        <v>0</v>
      </c>
      <c r="V94" s="2811" t="str">
        <f>_xlfn.CONCAT($U$94,$T$57,$U$57)</f>
        <v>0 IN :1 OUT</v>
      </c>
      <c r="W94" s="2788"/>
      <c r="X94" s="2947">
        <f>'Site Vist fomat  (Design)'!S31</f>
        <v>0</v>
      </c>
      <c r="Y94" s="2792"/>
      <c r="Z94" s="2790">
        <f>IF(B94&lt;&gt;0,X94*Y94,0)</f>
        <v>0</v>
      </c>
      <c r="AA94" s="2786" t="e">
        <f>IF('Cable Calcualtion'!B423&lt;&gt;"NO MATCH","3.5CX"&amp;'Cable Calcualtion'!B423&amp;"Sqmm","NO MATCH")</f>
        <v>#DIV/0!</v>
      </c>
      <c r="AB94" s="1158"/>
      <c r="AC94" s="2796"/>
      <c r="AD94" s="2796"/>
      <c r="AE94" s="2796"/>
      <c r="AF94" s="2809"/>
      <c r="AH94" s="173"/>
      <c r="AI94" s="173"/>
      <c r="AJ94" s="173"/>
      <c r="AK94" s="173"/>
    </row>
    <row r="95" spans="1:61" s="441" customFormat="1" ht="19.95" customHeight="1" thickBot="1">
      <c r="B95" s="2944"/>
      <c r="C95" s="1164" t="s">
        <v>781</v>
      </c>
      <c r="D95" s="1247"/>
      <c r="E95" s="1248"/>
      <c r="F95" s="1248"/>
      <c r="G95" s="1248"/>
      <c r="H95" s="1248"/>
      <c r="I95" s="1248"/>
      <c r="J95" s="1248"/>
      <c r="K95" s="1248"/>
      <c r="L95" s="1248"/>
      <c r="M95" s="1248"/>
      <c r="N95" s="1248"/>
      <c r="O95" s="1248"/>
      <c r="P95" s="1248"/>
      <c r="Q95" s="1248"/>
      <c r="R95" s="1256"/>
      <c r="S95" s="1249"/>
      <c r="T95" s="2839"/>
      <c r="U95" s="2839"/>
      <c r="V95" s="2812"/>
      <c r="W95" s="2789"/>
      <c r="X95" s="2939"/>
      <c r="Y95" s="2793"/>
      <c r="Z95" s="2787"/>
      <c r="AA95" s="2787"/>
      <c r="AB95" s="1160"/>
      <c r="AC95" s="2797"/>
      <c r="AD95" s="2797"/>
      <c r="AE95" s="2797"/>
      <c r="AF95" s="2810"/>
      <c r="AK95" s="1167"/>
      <c r="AL95" s="1167"/>
      <c r="AM95" s="1167"/>
      <c r="AN95" s="1167"/>
      <c r="AO95" s="1167"/>
    </row>
    <row r="96" spans="1:61" s="441" customFormat="1" ht="19.95" customHeight="1" thickBot="1">
      <c r="B96" s="2927">
        <f>B43</f>
        <v>0</v>
      </c>
      <c r="C96" s="1162" t="s">
        <v>777</v>
      </c>
      <c r="D96" s="1250"/>
      <c r="E96" s="1251"/>
      <c r="F96" s="1251"/>
      <c r="G96" s="1252"/>
      <c r="H96" s="1252"/>
      <c r="I96" s="1252"/>
      <c r="J96" s="1252"/>
      <c r="K96" s="1252"/>
      <c r="L96" s="1252"/>
      <c r="M96" s="1253"/>
      <c r="N96" s="1253"/>
      <c r="O96" s="1252"/>
      <c r="P96" s="1252"/>
      <c r="Q96" s="1254"/>
      <c r="R96" s="1255"/>
      <c r="S96" s="1272"/>
      <c r="T96" s="2838">
        <v>19</v>
      </c>
      <c r="U96" s="2838">
        <f>SUM(COUNT(_xlfn._xlws.FILTER(D96:R96,T96)))</f>
        <v>0</v>
      </c>
      <c r="V96" s="2811" t="str">
        <f>_xlfn.CONCAT($U$96,$T$57,$U$57)</f>
        <v>0 IN :1 OUT</v>
      </c>
      <c r="W96" s="2788"/>
      <c r="X96" s="2947">
        <f>'Site Vist fomat  (Design)'!T31</f>
        <v>0</v>
      </c>
      <c r="Y96" s="2792"/>
      <c r="Z96" s="2790">
        <f>IF(B96&lt;&gt;0,X96*Y96,0)</f>
        <v>0</v>
      </c>
      <c r="AA96" s="2790" t="e">
        <f>IF('Cable Calcualtion'!B447&lt;&gt;"NO MATCH","3.5CX"&amp;'Cable Calcualtion'!B447&amp;"Sqmm","NO MATCH")</f>
        <v>#DIV/0!</v>
      </c>
      <c r="AB96" s="1158"/>
      <c r="AC96" s="2794"/>
      <c r="AD96" s="2794"/>
      <c r="AE96" s="2794"/>
      <c r="AF96" s="2807"/>
      <c r="AH96" s="3169" t="s">
        <v>865</v>
      </c>
      <c r="AI96" s="3170"/>
      <c r="AJ96" s="3170"/>
      <c r="AK96" s="3170"/>
      <c r="AL96" s="3170"/>
      <c r="AM96" s="3171"/>
      <c r="AN96" s="1167"/>
      <c r="AO96" s="1167"/>
      <c r="AQ96" s="1167"/>
      <c r="AR96" s="1167"/>
      <c r="AS96" s="1167"/>
      <c r="AT96" s="1167"/>
      <c r="AU96" s="1167"/>
      <c r="AV96" s="1167"/>
      <c r="AW96" s="1167"/>
      <c r="AX96" s="1167"/>
    </row>
    <row r="97" spans="2:51" s="441" customFormat="1" ht="19.95" customHeight="1" thickBot="1">
      <c r="B97" s="2928"/>
      <c r="C97" s="1164" t="s">
        <v>781</v>
      </c>
      <c r="D97" s="1263"/>
      <c r="E97" s="1264"/>
      <c r="F97" s="1264"/>
      <c r="G97" s="1264"/>
      <c r="H97" s="1264"/>
      <c r="I97" s="1264"/>
      <c r="J97" s="1264"/>
      <c r="K97" s="1264"/>
      <c r="L97" s="1264"/>
      <c r="M97" s="1264"/>
      <c r="N97" s="1264"/>
      <c r="O97" s="1264"/>
      <c r="P97" s="1264"/>
      <c r="Q97" s="1264"/>
      <c r="R97" s="1265"/>
      <c r="S97" s="1266"/>
      <c r="T97" s="2839"/>
      <c r="U97" s="2839"/>
      <c r="V97" s="2812"/>
      <c r="W97" s="2789"/>
      <c r="X97" s="2939"/>
      <c r="Y97" s="2793"/>
      <c r="Z97" s="2787"/>
      <c r="AA97" s="2791"/>
      <c r="AB97" s="1160"/>
      <c r="AC97" s="2795"/>
      <c r="AD97" s="2795"/>
      <c r="AE97" s="2795"/>
      <c r="AF97" s="2808"/>
      <c r="AH97" s="3167" t="s">
        <v>866</v>
      </c>
      <c r="AI97" s="3168"/>
      <c r="AJ97" s="3166" t="s">
        <v>867</v>
      </c>
      <c r="AK97" s="3166"/>
      <c r="AL97" s="3166"/>
      <c r="AM97" s="1169" t="s">
        <v>868</v>
      </c>
      <c r="AN97" s="1167"/>
      <c r="AO97" s="1167"/>
      <c r="AQ97" s="1167"/>
      <c r="AR97" s="1167"/>
      <c r="AS97" s="1167"/>
      <c r="AT97" s="1167"/>
      <c r="AU97" s="1167"/>
      <c r="AV97" s="1167"/>
      <c r="AW97" s="1167"/>
      <c r="AX97" s="1167"/>
    </row>
    <row r="98" spans="2:51" s="441" customFormat="1" ht="19.95" customHeight="1">
      <c r="B98" s="2944">
        <f>B44</f>
        <v>0</v>
      </c>
      <c r="C98" s="1162" t="s">
        <v>777</v>
      </c>
      <c r="D98" s="1257"/>
      <c r="E98" s="1258"/>
      <c r="F98" s="1258"/>
      <c r="G98" s="1259"/>
      <c r="H98" s="1259"/>
      <c r="I98" s="1259"/>
      <c r="J98" s="1259"/>
      <c r="K98" s="1259"/>
      <c r="L98" s="1259"/>
      <c r="M98" s="1260"/>
      <c r="N98" s="1260"/>
      <c r="O98" s="1259"/>
      <c r="P98" s="1259"/>
      <c r="Q98" s="1261"/>
      <c r="R98" s="1262"/>
      <c r="S98" s="1273"/>
      <c r="T98" s="2838">
        <v>20</v>
      </c>
      <c r="U98" s="2838">
        <f>SUM(COUNT(_xlfn._xlws.FILTER(D98:R98,T98)))</f>
        <v>0</v>
      </c>
      <c r="V98" s="2811" t="str">
        <f>_xlfn.CONCAT($U$98,$T$57,$U$57)</f>
        <v>0 IN :1 OUT</v>
      </c>
      <c r="W98" s="2788"/>
      <c r="X98" s="2947">
        <f>'Site Vist fomat  (Design)'!U31</f>
        <v>0</v>
      </c>
      <c r="Y98" s="2792"/>
      <c r="Z98" s="2790">
        <f>IF(B98&lt;&gt;0,X98*Y98,0)</f>
        <v>0</v>
      </c>
      <c r="AA98" s="2786" t="e">
        <f>IF('Cable Calcualtion'!B471&lt;&gt;"NO MATCH","3.5CX"&amp;'Cable Calcualtion'!B471&amp;"Sqmm","NO MATCH")</f>
        <v>#DIV/0!</v>
      </c>
      <c r="AB98" s="1163"/>
      <c r="AC98" s="2796"/>
      <c r="AD98" s="2796"/>
      <c r="AE98" s="2796"/>
      <c r="AF98" s="2809"/>
      <c r="AH98" s="3205">
        <v>150</v>
      </c>
      <c r="AI98" s="3163"/>
      <c r="AJ98" s="3163">
        <v>25</v>
      </c>
      <c r="AK98" s="3163"/>
      <c r="AL98" s="3163"/>
      <c r="AM98" s="2104">
        <v>1</v>
      </c>
      <c r="AN98" s="1167"/>
      <c r="AO98" s="1167"/>
      <c r="AQ98" s="439"/>
      <c r="AR98" s="439"/>
      <c r="AS98" s="439"/>
      <c r="AT98" s="439"/>
      <c r="AU98" s="439"/>
      <c r="AV98" s="439"/>
      <c r="AW98" s="439"/>
      <c r="AX98" s="439"/>
      <c r="AY98" s="1167"/>
    </row>
    <row r="99" spans="2:51" s="441" customFormat="1" ht="19.95" customHeight="1" thickBot="1">
      <c r="B99" s="2944"/>
      <c r="C99" s="1164" t="s">
        <v>781</v>
      </c>
      <c r="D99" s="1247"/>
      <c r="E99" s="1248"/>
      <c r="F99" s="1248"/>
      <c r="G99" s="1248"/>
      <c r="H99" s="1248"/>
      <c r="I99" s="1248"/>
      <c r="J99" s="1248"/>
      <c r="K99" s="1248"/>
      <c r="L99" s="1248"/>
      <c r="M99" s="1248"/>
      <c r="N99" s="1248"/>
      <c r="O99" s="1248"/>
      <c r="P99" s="1248"/>
      <c r="Q99" s="1248"/>
      <c r="R99" s="1256"/>
      <c r="S99" s="1249"/>
      <c r="T99" s="2839"/>
      <c r="U99" s="2839"/>
      <c r="V99" s="2812"/>
      <c r="W99" s="2789"/>
      <c r="X99" s="2939"/>
      <c r="Y99" s="2793"/>
      <c r="Z99" s="2787"/>
      <c r="AA99" s="2787"/>
      <c r="AB99" s="1160"/>
      <c r="AC99" s="2797"/>
      <c r="AD99" s="2797"/>
      <c r="AE99" s="2797"/>
      <c r="AF99" s="2810"/>
      <c r="AH99" s="3164" t="s">
        <v>869</v>
      </c>
      <c r="AI99" s="3165"/>
      <c r="AJ99" s="3173" t="str">
        <f>IF('Cable Calcualtion'!B759&lt;&gt;"NO MATCH"," "&amp;AM98&amp;" Runs of "&amp;'Cable Calcualtion'!B759&amp;" Sq. mm","NO MATCH")</f>
        <v xml:space="preserve"> 1 Runs of 300 Sq. mm</v>
      </c>
      <c r="AK99" s="3173"/>
      <c r="AL99" s="3173"/>
      <c r="AM99" s="3174"/>
      <c r="AN99" s="1167"/>
      <c r="AO99" s="1170"/>
      <c r="AY99" s="1167"/>
    </row>
    <row r="100" spans="2:51" s="441" customFormat="1" ht="19.95" customHeight="1">
      <c r="B100" s="2927">
        <f>B45</f>
        <v>0</v>
      </c>
      <c r="C100" s="1162" t="s">
        <v>777</v>
      </c>
      <c r="D100" s="1250"/>
      <c r="E100" s="1251"/>
      <c r="F100" s="1251"/>
      <c r="G100" s="1252"/>
      <c r="H100" s="1252"/>
      <c r="I100" s="1252"/>
      <c r="J100" s="1252"/>
      <c r="K100" s="1252"/>
      <c r="L100" s="1252"/>
      <c r="M100" s="1253"/>
      <c r="N100" s="1253"/>
      <c r="O100" s="1252"/>
      <c r="P100" s="1252"/>
      <c r="Q100" s="1254"/>
      <c r="R100" s="1255"/>
      <c r="S100" s="1272"/>
      <c r="T100" s="2838">
        <v>21</v>
      </c>
      <c r="U100" s="2838">
        <f>SUM(COUNT(_xlfn._xlws.FILTER(D100:R100,T100)))</f>
        <v>0</v>
      </c>
      <c r="V100" s="2811" t="str">
        <f>_xlfn.CONCAT($U$100,$T$57,$U$57)</f>
        <v>0 IN :1 OUT</v>
      </c>
      <c r="W100" s="2788"/>
      <c r="X100" s="2947">
        <f>'Site Vist fomat  (Design)'!V31</f>
        <v>0</v>
      </c>
      <c r="Y100" s="2792"/>
      <c r="Z100" s="2790">
        <f>IF(B100&lt;&gt;0,X100*Y100,0)</f>
        <v>0</v>
      </c>
      <c r="AA100" s="2790" t="e">
        <f>IF('Cable Calcualtion'!B495&lt;&gt;"NO MATCH","3.5CX"&amp;'Cable Calcualtion'!B495&amp;"Sqmm","NO MATCH")</f>
        <v>#DIV/0!</v>
      </c>
      <c r="AB100" s="1158"/>
      <c r="AC100" s="2794"/>
      <c r="AD100" s="2794"/>
      <c r="AE100" s="2794"/>
      <c r="AF100" s="2807"/>
      <c r="AN100" s="1167"/>
      <c r="AO100" s="1170"/>
      <c r="AY100" s="439"/>
    </row>
    <row r="101" spans="2:51" s="441" customFormat="1" ht="19.95" customHeight="1" thickBot="1">
      <c r="B101" s="2928"/>
      <c r="C101" s="1164" t="s">
        <v>781</v>
      </c>
      <c r="D101" s="1263"/>
      <c r="E101" s="1264"/>
      <c r="F101" s="1264"/>
      <c r="G101" s="1264"/>
      <c r="H101" s="1264"/>
      <c r="I101" s="1264"/>
      <c r="J101" s="1264"/>
      <c r="K101" s="1264"/>
      <c r="L101" s="1264"/>
      <c r="M101" s="1264"/>
      <c r="N101" s="1264"/>
      <c r="O101" s="1264"/>
      <c r="P101" s="1264"/>
      <c r="Q101" s="1264"/>
      <c r="R101" s="1265"/>
      <c r="S101" s="1266"/>
      <c r="T101" s="2839"/>
      <c r="U101" s="2839"/>
      <c r="V101" s="2812"/>
      <c r="W101" s="2789"/>
      <c r="X101" s="2939"/>
      <c r="Y101" s="2793"/>
      <c r="Z101" s="2787"/>
      <c r="AA101" s="2791"/>
      <c r="AB101" s="1160"/>
      <c r="AC101" s="2795"/>
      <c r="AD101" s="2795"/>
      <c r="AE101" s="2795"/>
      <c r="AF101" s="2808"/>
      <c r="AH101" s="1170"/>
      <c r="AI101" s="1170"/>
      <c r="AJ101" s="1170"/>
      <c r="AK101" s="1170"/>
      <c r="AL101" s="1170"/>
      <c r="AM101" s="1170"/>
      <c r="AN101" s="1170"/>
      <c r="AO101" s="1170"/>
    </row>
    <row r="102" spans="2:51" s="441" customFormat="1" ht="19.95" customHeight="1" thickBot="1">
      <c r="B102" s="2944">
        <f>B46</f>
        <v>0</v>
      </c>
      <c r="C102" s="1162" t="s">
        <v>777</v>
      </c>
      <c r="D102" s="1257"/>
      <c r="E102" s="1258"/>
      <c r="F102" s="1258"/>
      <c r="G102" s="1259"/>
      <c r="H102" s="1259"/>
      <c r="I102" s="1259"/>
      <c r="J102" s="1259"/>
      <c r="K102" s="1259"/>
      <c r="L102" s="1259"/>
      <c r="M102" s="1260"/>
      <c r="N102" s="1260"/>
      <c r="O102" s="1259"/>
      <c r="P102" s="1259"/>
      <c r="Q102" s="1261"/>
      <c r="R102" s="1262"/>
      <c r="S102" s="1273"/>
      <c r="T102" s="2838">
        <v>22</v>
      </c>
      <c r="U102" s="2838">
        <f>SUM(COUNT(_xlfn._xlws.FILTER(D102:R102,T102)))</f>
        <v>0</v>
      </c>
      <c r="V102" s="2811" t="str">
        <f>_xlfn.CONCAT($U$102,$T$57,$U$57)</f>
        <v>0 IN :1 OUT</v>
      </c>
      <c r="W102" s="2788"/>
      <c r="X102" s="2947">
        <f>'Site Vist fomat  (Design)'!W31</f>
        <v>0</v>
      </c>
      <c r="Y102" s="2792"/>
      <c r="Z102" s="2790">
        <f>IF(B102&lt;&gt;0,X102*Y102,0)</f>
        <v>0</v>
      </c>
      <c r="AA102" s="2786" t="e">
        <f>IF('Cable Calcualtion'!B519&lt;&gt;"NO MATCH","3.5CX"&amp;'Cable Calcualtion'!B519&amp;"Sqmm","NO MATCH")</f>
        <v>#DIV/0!</v>
      </c>
      <c r="AB102" s="1157"/>
      <c r="AC102" s="2796"/>
      <c r="AD102" s="2796"/>
      <c r="AE102" s="2796"/>
      <c r="AF102" s="2809"/>
      <c r="AH102" s="3112" t="s">
        <v>870</v>
      </c>
      <c r="AI102" s="3113"/>
      <c r="AJ102" s="3113"/>
      <c r="AK102" s="3113"/>
      <c r="AL102" s="3113"/>
      <c r="AM102" s="3114"/>
      <c r="AN102" s="1170"/>
      <c r="AO102" s="1170"/>
    </row>
    <row r="103" spans="2:51" s="441" customFormat="1" ht="19.95" customHeight="1" thickBot="1">
      <c r="B103" s="2944"/>
      <c r="C103" s="1164" t="s">
        <v>781</v>
      </c>
      <c r="D103" s="1247"/>
      <c r="E103" s="1248"/>
      <c r="F103" s="1248"/>
      <c r="G103" s="1248"/>
      <c r="H103" s="1248"/>
      <c r="I103" s="1248"/>
      <c r="J103" s="1248"/>
      <c r="K103" s="1248"/>
      <c r="L103" s="1248"/>
      <c r="M103" s="1248"/>
      <c r="N103" s="1248"/>
      <c r="O103" s="1248"/>
      <c r="P103" s="1248"/>
      <c r="Q103" s="1248"/>
      <c r="R103" s="1256"/>
      <c r="S103" s="1249"/>
      <c r="T103" s="2839"/>
      <c r="U103" s="2839"/>
      <c r="V103" s="2812"/>
      <c r="W103" s="2789"/>
      <c r="X103" s="2939"/>
      <c r="Y103" s="2793"/>
      <c r="Z103" s="2787"/>
      <c r="AA103" s="2787"/>
      <c r="AB103" s="1160"/>
      <c r="AC103" s="2797"/>
      <c r="AD103" s="2797"/>
      <c r="AE103" s="2797"/>
      <c r="AF103" s="2810"/>
      <c r="AH103" s="3154" t="s">
        <v>2066</v>
      </c>
      <c r="AI103" s="3155"/>
      <c r="AJ103" s="3155"/>
      <c r="AK103" s="3155"/>
      <c r="AL103" s="3155"/>
      <c r="AM103" s="3156"/>
      <c r="AN103" s="1170"/>
      <c r="AO103" s="1170"/>
    </row>
    <row r="104" spans="2:51" s="441" customFormat="1" ht="19.95" customHeight="1">
      <c r="B104" s="2927">
        <f>B47</f>
        <v>0</v>
      </c>
      <c r="C104" s="1162" t="s">
        <v>777</v>
      </c>
      <c r="D104" s="1250"/>
      <c r="E104" s="1251"/>
      <c r="F104" s="1251"/>
      <c r="G104" s="1252"/>
      <c r="H104" s="1252"/>
      <c r="I104" s="1252"/>
      <c r="J104" s="1252"/>
      <c r="K104" s="1252"/>
      <c r="L104" s="1252"/>
      <c r="M104" s="1253"/>
      <c r="N104" s="1253"/>
      <c r="O104" s="1252"/>
      <c r="P104" s="1252"/>
      <c r="Q104" s="1254"/>
      <c r="R104" s="1255"/>
      <c r="S104" s="1272"/>
      <c r="T104" s="2838">
        <v>23</v>
      </c>
      <c r="U104" s="2838">
        <f>SUM(COUNT(_xlfn._xlws.FILTER(D104:R104,T104)))</f>
        <v>0</v>
      </c>
      <c r="V104" s="2811" t="str">
        <f>_xlfn.CONCAT($U$104,$T$57,$U$57)</f>
        <v>0 IN :1 OUT</v>
      </c>
      <c r="W104" s="2788"/>
      <c r="X104" s="2947">
        <f>'Site Vist fomat  (Design)'!X31</f>
        <v>0</v>
      </c>
      <c r="Y104" s="2792"/>
      <c r="Z104" s="2790">
        <f>IF(B104&lt;&gt;0,X104*Y104,0)</f>
        <v>0</v>
      </c>
      <c r="AA104" s="2790" t="e">
        <f>IF('Cable Calcualtion'!B543&lt;&gt;"NO MATCH","3.5CX"&amp;'Cable Calcualtion'!B543&amp;"Sqmm","NO MATCH")</f>
        <v>#DIV/0!</v>
      </c>
      <c r="AB104" s="1158"/>
      <c r="AC104" s="2794"/>
      <c r="AD104" s="2794"/>
      <c r="AE104" s="2794"/>
      <c r="AF104" s="2807"/>
      <c r="AH104" s="3157"/>
      <c r="AI104" s="3158"/>
      <c r="AJ104" s="3158"/>
      <c r="AK104" s="3158"/>
      <c r="AL104" s="3158"/>
      <c r="AM104" s="3159"/>
      <c r="AN104" s="1170"/>
      <c r="AO104" s="1170"/>
    </row>
    <row r="105" spans="2:51" s="441" customFormat="1" ht="19.95" customHeight="1" thickBot="1">
      <c r="B105" s="2928"/>
      <c r="C105" s="1164" t="s">
        <v>781</v>
      </c>
      <c r="D105" s="1263"/>
      <c r="E105" s="1264"/>
      <c r="F105" s="1264"/>
      <c r="G105" s="1264"/>
      <c r="H105" s="1264"/>
      <c r="I105" s="1264"/>
      <c r="J105" s="1264"/>
      <c r="K105" s="1264"/>
      <c r="L105" s="1264"/>
      <c r="M105" s="1264"/>
      <c r="N105" s="1264"/>
      <c r="O105" s="1264"/>
      <c r="P105" s="1264"/>
      <c r="Q105" s="1264"/>
      <c r="R105" s="1265"/>
      <c r="S105" s="1266"/>
      <c r="T105" s="2839"/>
      <c r="U105" s="2839"/>
      <c r="V105" s="2812"/>
      <c r="W105" s="2789"/>
      <c r="X105" s="2939"/>
      <c r="Y105" s="2793"/>
      <c r="Z105" s="2787"/>
      <c r="AA105" s="2791"/>
      <c r="AB105" s="1160"/>
      <c r="AC105" s="2795"/>
      <c r="AD105" s="2795"/>
      <c r="AE105" s="2795"/>
      <c r="AF105" s="2808"/>
      <c r="AH105" s="3157"/>
      <c r="AI105" s="3158"/>
      <c r="AJ105" s="3158"/>
      <c r="AK105" s="3158"/>
      <c r="AL105" s="3158"/>
      <c r="AM105" s="3159"/>
      <c r="AN105" s="1170"/>
      <c r="AO105" s="1170"/>
    </row>
    <row r="106" spans="2:51" s="441" customFormat="1" ht="19.95" customHeight="1">
      <c r="B106" s="2944">
        <f>B48</f>
        <v>0</v>
      </c>
      <c r="C106" s="1162" t="s">
        <v>777</v>
      </c>
      <c r="D106" s="1257"/>
      <c r="E106" s="1258"/>
      <c r="F106" s="1258"/>
      <c r="G106" s="1259"/>
      <c r="H106" s="1259"/>
      <c r="I106" s="1259"/>
      <c r="J106" s="1259"/>
      <c r="K106" s="1259"/>
      <c r="L106" s="1259"/>
      <c r="M106" s="1260"/>
      <c r="N106" s="1260"/>
      <c r="O106" s="1259"/>
      <c r="P106" s="1259"/>
      <c r="Q106" s="1261"/>
      <c r="R106" s="1262"/>
      <c r="S106" s="1273"/>
      <c r="T106" s="2838">
        <v>24</v>
      </c>
      <c r="U106" s="2838">
        <f>SUM(COUNT(_xlfn._xlws.FILTER(D106:R106,T106)))</f>
        <v>0</v>
      </c>
      <c r="V106" s="2811" t="str">
        <f>_xlfn.CONCAT($U$106,$T$57,$U$57)</f>
        <v>0 IN :1 OUT</v>
      </c>
      <c r="W106" s="2788"/>
      <c r="X106" s="2947">
        <f>'Site Vist fomat  (Design)'!Y31</f>
        <v>0</v>
      </c>
      <c r="Y106" s="2792"/>
      <c r="Z106" s="2790">
        <f>IF(B106&lt;&gt;0,X106*Y106,0)</f>
        <v>0</v>
      </c>
      <c r="AA106" s="2786" t="e">
        <f>IF('Cable Calcualtion'!B567&lt;&gt;"NO MATCH","3.5CX"&amp;'Cable Calcualtion'!B567&amp;"Sqmm","NO MATCH")</f>
        <v>#DIV/0!</v>
      </c>
      <c r="AB106" s="1158"/>
      <c r="AC106" s="2796"/>
      <c r="AD106" s="2796"/>
      <c r="AE106" s="2796"/>
      <c r="AF106" s="2809"/>
      <c r="AH106" s="3157"/>
      <c r="AI106" s="3158"/>
      <c r="AJ106" s="3158"/>
      <c r="AK106" s="3158"/>
      <c r="AL106" s="3158"/>
      <c r="AM106" s="3159"/>
      <c r="AN106" s="1170"/>
      <c r="AO106" s="1170"/>
    </row>
    <row r="107" spans="2:51" s="441" customFormat="1" ht="19.95" customHeight="1" thickBot="1">
      <c r="B107" s="2944"/>
      <c r="C107" s="1164" t="s">
        <v>781</v>
      </c>
      <c r="D107" s="1247"/>
      <c r="E107" s="1248"/>
      <c r="F107" s="1248"/>
      <c r="G107" s="1248"/>
      <c r="H107" s="1248"/>
      <c r="I107" s="1248"/>
      <c r="J107" s="1248"/>
      <c r="K107" s="1248"/>
      <c r="L107" s="1248"/>
      <c r="M107" s="1248"/>
      <c r="N107" s="1248"/>
      <c r="O107" s="1248"/>
      <c r="P107" s="1248"/>
      <c r="Q107" s="1248"/>
      <c r="R107" s="1256"/>
      <c r="S107" s="1249"/>
      <c r="T107" s="2839"/>
      <c r="U107" s="2839"/>
      <c r="V107" s="2812"/>
      <c r="W107" s="2789"/>
      <c r="X107" s="2939"/>
      <c r="Y107" s="2793"/>
      <c r="Z107" s="2787"/>
      <c r="AA107" s="2787"/>
      <c r="AB107" s="1160"/>
      <c r="AC107" s="2797"/>
      <c r="AD107" s="2797"/>
      <c r="AE107" s="2797"/>
      <c r="AF107" s="2810"/>
      <c r="AH107" s="3157"/>
      <c r="AI107" s="3158"/>
      <c r="AJ107" s="3158"/>
      <c r="AK107" s="3158"/>
      <c r="AL107" s="3158"/>
      <c r="AM107" s="3159"/>
      <c r="AN107" s="1170"/>
      <c r="AO107" s="1170"/>
    </row>
    <row r="108" spans="2:51" s="441" customFormat="1" ht="19.95" customHeight="1">
      <c r="B108" s="2927">
        <f>B49</f>
        <v>0</v>
      </c>
      <c r="C108" s="1162" t="s">
        <v>777</v>
      </c>
      <c r="D108" s="1250"/>
      <c r="E108" s="1251"/>
      <c r="F108" s="1251"/>
      <c r="G108" s="1252"/>
      <c r="H108" s="1252"/>
      <c r="I108" s="1252"/>
      <c r="J108" s="1252"/>
      <c r="K108" s="1252"/>
      <c r="L108" s="1252"/>
      <c r="M108" s="1253"/>
      <c r="N108" s="1253"/>
      <c r="O108" s="1252"/>
      <c r="P108" s="1252"/>
      <c r="Q108" s="1254"/>
      <c r="R108" s="1255"/>
      <c r="S108" s="1272"/>
      <c r="T108" s="2838">
        <v>25</v>
      </c>
      <c r="U108" s="2838">
        <f>SUM(COUNT(_xlfn._xlws.FILTER(D108:R108,T108)))</f>
        <v>0</v>
      </c>
      <c r="V108" s="2811" t="str">
        <f>_xlfn.CONCAT($U$108,$T$57,$U$57)</f>
        <v>0 IN :1 OUT</v>
      </c>
      <c r="W108" s="2788"/>
      <c r="X108" s="2947">
        <f>'Site Vist fomat  (Design)'!Z31</f>
        <v>0</v>
      </c>
      <c r="Y108" s="2792"/>
      <c r="Z108" s="2790">
        <f>IF(B108&lt;&gt;0,X108*Y108,0)</f>
        <v>0</v>
      </c>
      <c r="AA108" s="2790" t="e">
        <f>IF('Cable Calcualtion'!B591&lt;&gt;"NO MATCH","3.5CX"&amp;'Cable Calcualtion'!B591&amp;"Sqmm","NO MATCH")</f>
        <v>#DIV/0!</v>
      </c>
      <c r="AB108" s="1158"/>
      <c r="AC108" s="2794"/>
      <c r="AD108" s="2794"/>
      <c r="AE108" s="2794"/>
      <c r="AF108" s="2807"/>
      <c r="AH108" s="3157"/>
      <c r="AI108" s="3158"/>
      <c r="AJ108" s="3158"/>
      <c r="AK108" s="3158"/>
      <c r="AL108" s="3158"/>
      <c r="AM108" s="3159"/>
      <c r="AN108" s="1170"/>
      <c r="AO108" s="1170"/>
    </row>
    <row r="109" spans="2:51" s="441" customFormat="1" ht="19.95" customHeight="1" thickBot="1">
      <c r="B109" s="2928"/>
      <c r="C109" s="1164" t="s">
        <v>781</v>
      </c>
      <c r="D109" s="1263"/>
      <c r="E109" s="1264"/>
      <c r="F109" s="1264"/>
      <c r="G109" s="1264"/>
      <c r="H109" s="1264"/>
      <c r="I109" s="1264"/>
      <c r="J109" s="1264"/>
      <c r="K109" s="1264"/>
      <c r="L109" s="1264"/>
      <c r="M109" s="1264"/>
      <c r="N109" s="1264"/>
      <c r="O109" s="1264"/>
      <c r="P109" s="1264"/>
      <c r="Q109" s="1264"/>
      <c r="R109" s="1265"/>
      <c r="S109" s="1266"/>
      <c r="T109" s="2839"/>
      <c r="U109" s="2839"/>
      <c r="V109" s="2812"/>
      <c r="W109" s="2789"/>
      <c r="X109" s="2939"/>
      <c r="Y109" s="2793"/>
      <c r="Z109" s="2787"/>
      <c r="AA109" s="2791"/>
      <c r="AB109" s="1160"/>
      <c r="AC109" s="2795"/>
      <c r="AD109" s="2795"/>
      <c r="AE109" s="2795"/>
      <c r="AF109" s="2808"/>
      <c r="AH109" s="3157"/>
      <c r="AI109" s="3158"/>
      <c r="AJ109" s="3158"/>
      <c r="AK109" s="3158"/>
      <c r="AL109" s="3158"/>
      <c r="AM109" s="3159"/>
      <c r="AN109" s="1170"/>
      <c r="AO109" s="1170"/>
    </row>
    <row r="110" spans="2:51" s="441" customFormat="1" ht="19.95" customHeight="1">
      <c r="B110" s="2944">
        <f>B50</f>
        <v>0</v>
      </c>
      <c r="C110" s="1162" t="s">
        <v>777</v>
      </c>
      <c r="D110" s="1257"/>
      <c r="E110" s="1258"/>
      <c r="F110" s="1258"/>
      <c r="G110" s="1259"/>
      <c r="H110" s="1259"/>
      <c r="I110" s="1259"/>
      <c r="J110" s="1259"/>
      <c r="K110" s="1259"/>
      <c r="L110" s="1259"/>
      <c r="M110" s="1260"/>
      <c r="N110" s="1260"/>
      <c r="O110" s="1259"/>
      <c r="P110" s="1259"/>
      <c r="Q110" s="1261"/>
      <c r="R110" s="1262"/>
      <c r="S110" s="1273"/>
      <c r="T110" s="2838">
        <v>26</v>
      </c>
      <c r="U110" s="2838">
        <f>SUM(COUNT(_xlfn._xlws.FILTER(D110:R110,T110)))</f>
        <v>0</v>
      </c>
      <c r="V110" s="2811" t="str">
        <f>_xlfn.CONCAT($U$110,$T$57,$U$57)</f>
        <v>0 IN :1 OUT</v>
      </c>
      <c r="W110" s="2788"/>
      <c r="X110" s="2947">
        <f>'Site Vist fomat  (Design)'!AA31</f>
        <v>0</v>
      </c>
      <c r="Y110" s="2792"/>
      <c r="Z110" s="2790">
        <f>IF(B110&lt;&gt;0,X110*Y110,0)</f>
        <v>0</v>
      </c>
      <c r="AA110" s="2786" t="e">
        <f>IF('Cable Calcualtion'!B615&lt;&gt;"NO MATCH","3.5CX"&amp;'Cable Calcualtion'!B615&amp;"Sqmm","NO MATCH")</f>
        <v>#DIV/0!</v>
      </c>
      <c r="AB110" s="1158"/>
      <c r="AC110" s="2796"/>
      <c r="AD110" s="2796"/>
      <c r="AE110" s="2796"/>
      <c r="AF110" s="2809"/>
      <c r="AH110" s="3157"/>
      <c r="AI110" s="3158"/>
      <c r="AJ110" s="3158"/>
      <c r="AK110" s="3158"/>
      <c r="AL110" s="3158"/>
      <c r="AM110" s="3159"/>
      <c r="AN110" s="1170"/>
      <c r="AO110" s="1170"/>
    </row>
    <row r="111" spans="2:51" s="441" customFormat="1" ht="19.95" customHeight="1" thickBot="1">
      <c r="B111" s="2944"/>
      <c r="C111" s="1164" t="s">
        <v>781</v>
      </c>
      <c r="D111" s="1247"/>
      <c r="E111" s="1248"/>
      <c r="F111" s="1248"/>
      <c r="G111" s="1248"/>
      <c r="H111" s="1248"/>
      <c r="I111" s="1248"/>
      <c r="J111" s="1248"/>
      <c r="K111" s="1248"/>
      <c r="L111" s="1248"/>
      <c r="M111" s="1248"/>
      <c r="N111" s="1248"/>
      <c r="O111" s="1248"/>
      <c r="P111" s="1248"/>
      <c r="Q111" s="1248"/>
      <c r="R111" s="1256"/>
      <c r="S111" s="1249"/>
      <c r="T111" s="2839"/>
      <c r="U111" s="2839"/>
      <c r="V111" s="2812"/>
      <c r="W111" s="2789"/>
      <c r="X111" s="2939"/>
      <c r="Y111" s="2793"/>
      <c r="Z111" s="2787"/>
      <c r="AA111" s="2787"/>
      <c r="AB111" s="1160"/>
      <c r="AC111" s="2797"/>
      <c r="AD111" s="2797"/>
      <c r="AE111" s="2797"/>
      <c r="AF111" s="2810"/>
      <c r="AH111" s="3157"/>
      <c r="AI111" s="3158"/>
      <c r="AJ111" s="3158"/>
      <c r="AK111" s="3158"/>
      <c r="AL111" s="3158"/>
      <c r="AM111" s="3159"/>
      <c r="AN111" s="1170"/>
      <c r="AO111" s="1170"/>
    </row>
    <row r="112" spans="2:51" s="441" customFormat="1" ht="19.95" customHeight="1">
      <c r="B112" s="2927">
        <f>B51</f>
        <v>0</v>
      </c>
      <c r="C112" s="1162" t="s">
        <v>777</v>
      </c>
      <c r="D112" s="1250"/>
      <c r="E112" s="1251"/>
      <c r="F112" s="1251"/>
      <c r="G112" s="1252"/>
      <c r="H112" s="1252"/>
      <c r="I112" s="1252"/>
      <c r="J112" s="1252"/>
      <c r="K112" s="1252"/>
      <c r="L112" s="1252"/>
      <c r="M112" s="1253"/>
      <c r="N112" s="1253"/>
      <c r="O112" s="1252"/>
      <c r="P112" s="1252"/>
      <c r="Q112" s="1254"/>
      <c r="R112" s="1255"/>
      <c r="S112" s="1272"/>
      <c r="T112" s="2838">
        <v>27</v>
      </c>
      <c r="U112" s="2838">
        <f>SUM(COUNT(_xlfn._xlws.FILTER(D112:R112,T112)))</f>
        <v>0</v>
      </c>
      <c r="V112" s="2811" t="str">
        <f>_xlfn.CONCAT($U$112,$T$57,$U$57)</f>
        <v>0 IN :1 OUT</v>
      </c>
      <c r="W112" s="2788"/>
      <c r="X112" s="2947">
        <f>'Site Vist fomat  (Design)'!AB31</f>
        <v>0</v>
      </c>
      <c r="Y112" s="2792"/>
      <c r="Z112" s="2790">
        <f>IF(B112&lt;&gt;0,X112*Y112,0)</f>
        <v>0</v>
      </c>
      <c r="AA112" s="2790" t="e">
        <f>IF('Cable Calcualtion'!B639&lt;&gt;"NO MATCH","3.5CX"&amp;'Cable Calcualtion'!B639&amp;"Sqmm","NO MATCH")</f>
        <v>#DIV/0!</v>
      </c>
      <c r="AB112" s="1163"/>
      <c r="AC112" s="2794"/>
      <c r="AD112" s="2794"/>
      <c r="AE112" s="2794"/>
      <c r="AF112" s="2807"/>
      <c r="AH112" s="3157"/>
      <c r="AI112" s="3158"/>
      <c r="AJ112" s="3158"/>
      <c r="AK112" s="3158"/>
      <c r="AL112" s="3158"/>
      <c r="AM112" s="3159"/>
      <c r="AN112" s="1170"/>
      <c r="AO112" s="1170"/>
    </row>
    <row r="113" spans="1:41" s="441" customFormat="1" ht="19.95" customHeight="1" thickBot="1">
      <c r="B113" s="2928"/>
      <c r="C113" s="1164" t="s">
        <v>781</v>
      </c>
      <c r="D113" s="1263"/>
      <c r="E113" s="1264"/>
      <c r="F113" s="1264"/>
      <c r="G113" s="1264"/>
      <c r="H113" s="1264"/>
      <c r="I113" s="1264"/>
      <c r="J113" s="1264"/>
      <c r="K113" s="1264"/>
      <c r="L113" s="1264"/>
      <c r="M113" s="1264"/>
      <c r="N113" s="1264"/>
      <c r="O113" s="1264"/>
      <c r="P113" s="1264"/>
      <c r="Q113" s="1264"/>
      <c r="R113" s="1265"/>
      <c r="S113" s="1266"/>
      <c r="T113" s="2839"/>
      <c r="U113" s="2839"/>
      <c r="V113" s="2812"/>
      <c r="W113" s="2789"/>
      <c r="X113" s="2939"/>
      <c r="Y113" s="2793"/>
      <c r="Z113" s="2787"/>
      <c r="AA113" s="2791"/>
      <c r="AB113" s="1160"/>
      <c r="AC113" s="2795"/>
      <c r="AD113" s="2795"/>
      <c r="AE113" s="2795"/>
      <c r="AF113" s="2808"/>
      <c r="AH113" s="3157"/>
      <c r="AI113" s="3158"/>
      <c r="AJ113" s="3158"/>
      <c r="AK113" s="3158"/>
      <c r="AL113" s="3158"/>
      <c r="AM113" s="3159"/>
      <c r="AN113" s="1170"/>
      <c r="AO113" s="1170"/>
    </row>
    <row r="114" spans="1:41" s="441" customFormat="1" ht="19.95" customHeight="1">
      <c r="B114" s="2944">
        <f>B52</f>
        <v>0</v>
      </c>
      <c r="C114" s="1162" t="s">
        <v>777</v>
      </c>
      <c r="D114" s="1257"/>
      <c r="E114" s="1258"/>
      <c r="F114" s="1258"/>
      <c r="G114" s="1259"/>
      <c r="H114" s="1259"/>
      <c r="I114" s="1259"/>
      <c r="J114" s="1259"/>
      <c r="K114" s="1259"/>
      <c r="L114" s="1259"/>
      <c r="M114" s="1260"/>
      <c r="N114" s="1260"/>
      <c r="O114" s="1259"/>
      <c r="P114" s="1259"/>
      <c r="Q114" s="1261"/>
      <c r="R114" s="1262"/>
      <c r="S114" s="1270"/>
      <c r="T114" s="2838">
        <v>28</v>
      </c>
      <c r="U114" s="2838">
        <f>SUM(COUNT(_xlfn._xlws.FILTER(D114:R114,T114)))</f>
        <v>0</v>
      </c>
      <c r="V114" s="2811" t="str">
        <f>_xlfn.CONCAT($U$114,$T$57,$U$57)</f>
        <v>0 IN :1 OUT</v>
      </c>
      <c r="W114" s="2788"/>
      <c r="X114" s="2947">
        <f>'Site Vist fomat  (Design)'!AC31</f>
        <v>0</v>
      </c>
      <c r="Y114" s="2792"/>
      <c r="Z114" s="2790">
        <f>IF(B114&lt;&gt;0,X114*Y114,0)</f>
        <v>0</v>
      </c>
      <c r="AA114" s="2786" t="e">
        <f>IF('Cable Calcualtion'!B663&lt;&gt;"NO MATCH","3.5CX"&amp;'Cable Calcualtion'!B663&amp;"Sqmm","NO MATCH")</f>
        <v>#DIV/0!</v>
      </c>
      <c r="AB114" s="1158"/>
      <c r="AC114" s="2796"/>
      <c r="AD114" s="2796"/>
      <c r="AE114" s="2796"/>
      <c r="AF114" s="2809"/>
      <c r="AH114" s="3157"/>
      <c r="AI114" s="3158"/>
      <c r="AJ114" s="3158"/>
      <c r="AK114" s="3158"/>
      <c r="AL114" s="3158"/>
      <c r="AM114" s="3159"/>
      <c r="AN114" s="1170"/>
      <c r="AO114" s="1170"/>
    </row>
    <row r="115" spans="1:41" s="441" customFormat="1" ht="19.95" customHeight="1" thickBot="1">
      <c r="B115" s="2944"/>
      <c r="C115" s="1164" t="s">
        <v>781</v>
      </c>
      <c r="D115" s="1247"/>
      <c r="E115" s="1248"/>
      <c r="F115" s="1248"/>
      <c r="G115" s="1248"/>
      <c r="H115" s="1248"/>
      <c r="I115" s="1248"/>
      <c r="J115" s="1248"/>
      <c r="K115" s="1248"/>
      <c r="L115" s="1248"/>
      <c r="M115" s="1248"/>
      <c r="N115" s="1248"/>
      <c r="O115" s="1248"/>
      <c r="P115" s="1248"/>
      <c r="Q115" s="1248"/>
      <c r="R115" s="1256"/>
      <c r="S115" s="1249"/>
      <c r="T115" s="2839"/>
      <c r="U115" s="2839"/>
      <c r="V115" s="2812"/>
      <c r="W115" s="2789"/>
      <c r="X115" s="2939"/>
      <c r="Y115" s="2793"/>
      <c r="Z115" s="2787"/>
      <c r="AA115" s="2787"/>
      <c r="AB115" s="1160"/>
      <c r="AC115" s="2797"/>
      <c r="AD115" s="2797"/>
      <c r="AE115" s="2797"/>
      <c r="AF115" s="2810"/>
      <c r="AH115" s="3157"/>
      <c r="AI115" s="3158"/>
      <c r="AJ115" s="3158"/>
      <c r="AK115" s="3158"/>
      <c r="AL115" s="3158"/>
      <c r="AM115" s="3159"/>
      <c r="AN115" s="1170"/>
      <c r="AO115" s="1170"/>
    </row>
    <row r="116" spans="1:41" s="441" customFormat="1" ht="19.95" customHeight="1">
      <c r="B116" s="2927">
        <f>B53</f>
        <v>0</v>
      </c>
      <c r="C116" s="1162" t="s">
        <v>777</v>
      </c>
      <c r="D116" s="1250"/>
      <c r="E116" s="1251"/>
      <c r="F116" s="1251"/>
      <c r="G116" s="1252"/>
      <c r="H116" s="1252"/>
      <c r="I116" s="1252"/>
      <c r="J116" s="1252"/>
      <c r="K116" s="1252"/>
      <c r="L116" s="1252"/>
      <c r="M116" s="1253"/>
      <c r="N116" s="1253"/>
      <c r="O116" s="1252"/>
      <c r="P116" s="1252"/>
      <c r="Q116" s="1254"/>
      <c r="R116" s="1255"/>
      <c r="S116" s="1269"/>
      <c r="T116" s="2838">
        <v>29</v>
      </c>
      <c r="U116" s="2838">
        <f>SUM(COUNT(_xlfn._xlws.FILTER(D116:R116,T116)))</f>
        <v>0</v>
      </c>
      <c r="V116" s="2811" t="str">
        <f>_xlfn.CONCAT($U$116,$T$57,$U$57)</f>
        <v>0 IN :1 OUT</v>
      </c>
      <c r="W116" s="2788"/>
      <c r="X116" s="2947">
        <f>'Site Vist fomat  (Design)'!AD31</f>
        <v>0</v>
      </c>
      <c r="Y116" s="2792"/>
      <c r="Z116" s="2790">
        <f>IF(B116&lt;&gt;0,X116*Y116,0)</f>
        <v>0</v>
      </c>
      <c r="AA116" s="2790" t="e">
        <f>IF('Cable Calcualtion'!B687&lt;&gt;"NO MATCH","3.5CX"&amp;'Cable Calcualtion'!B687&amp;"Sqmm","NO MATCH")</f>
        <v>#DIV/0!</v>
      </c>
      <c r="AB116" s="1168"/>
      <c r="AC116" s="2794"/>
      <c r="AD116" s="2794"/>
      <c r="AE116" s="2794"/>
      <c r="AF116" s="2807"/>
      <c r="AH116" s="3157"/>
      <c r="AI116" s="3158"/>
      <c r="AJ116" s="3158"/>
      <c r="AK116" s="3158"/>
      <c r="AL116" s="3158"/>
      <c r="AM116" s="3159"/>
      <c r="AN116" s="1170"/>
      <c r="AO116" s="1170"/>
    </row>
    <row r="117" spans="1:41" s="441" customFormat="1" ht="19.95" customHeight="1" thickBot="1">
      <c r="B117" s="2928"/>
      <c r="C117" s="1164" t="s">
        <v>781</v>
      </c>
      <c r="D117" s="1263"/>
      <c r="E117" s="1264"/>
      <c r="F117" s="1264"/>
      <c r="G117" s="1264"/>
      <c r="H117" s="1264"/>
      <c r="I117" s="1264"/>
      <c r="J117" s="1264"/>
      <c r="K117" s="1264"/>
      <c r="L117" s="1264"/>
      <c r="M117" s="1264"/>
      <c r="N117" s="1264"/>
      <c r="O117" s="1264"/>
      <c r="P117" s="1264"/>
      <c r="Q117" s="1264"/>
      <c r="R117" s="1265"/>
      <c r="S117" s="1266"/>
      <c r="T117" s="2839"/>
      <c r="U117" s="2839"/>
      <c r="V117" s="2812"/>
      <c r="W117" s="2789"/>
      <c r="X117" s="2939"/>
      <c r="Y117" s="2793"/>
      <c r="Z117" s="2787"/>
      <c r="AA117" s="2791"/>
      <c r="AB117" s="1160"/>
      <c r="AC117" s="2795"/>
      <c r="AD117" s="2795"/>
      <c r="AE117" s="2795"/>
      <c r="AF117" s="2808"/>
      <c r="AH117" s="3157"/>
      <c r="AI117" s="3158"/>
      <c r="AJ117" s="3158"/>
      <c r="AK117" s="3158"/>
      <c r="AL117" s="3158"/>
      <c r="AM117" s="3159"/>
      <c r="AN117" s="1170"/>
      <c r="AO117" s="1170"/>
    </row>
    <row r="118" spans="1:41" s="441" customFormat="1" ht="19.95" customHeight="1">
      <c r="B118" s="2944">
        <f>B54</f>
        <v>0</v>
      </c>
      <c r="C118" s="1162" t="s">
        <v>777</v>
      </c>
      <c r="D118" s="1257"/>
      <c r="E118" s="1258"/>
      <c r="F118" s="1258"/>
      <c r="G118" s="1259"/>
      <c r="H118" s="1259"/>
      <c r="I118" s="1259"/>
      <c r="J118" s="1259"/>
      <c r="K118" s="1259"/>
      <c r="L118" s="1259"/>
      <c r="M118" s="1260"/>
      <c r="N118" s="1260"/>
      <c r="O118" s="1259"/>
      <c r="P118" s="1259"/>
      <c r="Q118" s="1261"/>
      <c r="R118" s="1262"/>
      <c r="S118" s="1261"/>
      <c r="T118" s="2838">
        <v>30</v>
      </c>
      <c r="U118" s="2838">
        <f>SUM(COUNT(_xlfn._xlws.FILTER(D118:R118,T118)))</f>
        <v>0</v>
      </c>
      <c r="V118" s="2811" t="str">
        <f>_xlfn.CONCAT($U$118,$T$57,$U$57)</f>
        <v>0 IN :1 OUT</v>
      </c>
      <c r="W118" s="2788"/>
      <c r="X118" s="2947">
        <f>'Site Vist fomat  (Design)'!AE31</f>
        <v>0</v>
      </c>
      <c r="Y118" s="2792"/>
      <c r="Z118" s="2790">
        <f>IF(B118&lt;&gt;0,X118*Y118,0)</f>
        <v>0</v>
      </c>
      <c r="AA118" s="2786" t="e">
        <f>IF('Cable Calcualtion'!B711&lt;&gt;"NO MATCH","3.5CX"&amp;'Cable Calcualtion'!B711&amp;"Sqmm","NO MATCH")</f>
        <v>#DIV/0!</v>
      </c>
      <c r="AB118" s="1158"/>
      <c r="AC118" s="2796"/>
      <c r="AD118" s="2796"/>
      <c r="AE118" s="2796"/>
      <c r="AF118" s="2809"/>
      <c r="AH118" s="3157"/>
      <c r="AI118" s="3158"/>
      <c r="AJ118" s="3158"/>
      <c r="AK118" s="3158"/>
      <c r="AL118" s="3158"/>
      <c r="AM118" s="3159"/>
      <c r="AN118" s="1170"/>
      <c r="AO118" s="1170"/>
    </row>
    <row r="119" spans="1:41" s="441" customFormat="1" ht="19.95" customHeight="1" thickBot="1">
      <c r="B119" s="2928"/>
      <c r="C119" s="1164" t="s">
        <v>781</v>
      </c>
      <c r="D119" s="1247"/>
      <c r="E119" s="1248"/>
      <c r="F119" s="1248"/>
      <c r="G119" s="1248"/>
      <c r="H119" s="1248"/>
      <c r="I119" s="1248"/>
      <c r="J119" s="1248"/>
      <c r="K119" s="1248"/>
      <c r="L119" s="1248"/>
      <c r="M119" s="1248"/>
      <c r="N119" s="1248"/>
      <c r="O119" s="1248"/>
      <c r="P119" s="1248"/>
      <c r="Q119" s="1248"/>
      <c r="R119" s="1256"/>
      <c r="S119" s="1249"/>
      <c r="T119" s="2839"/>
      <c r="U119" s="2839"/>
      <c r="V119" s="2812"/>
      <c r="W119" s="2789"/>
      <c r="X119" s="2939"/>
      <c r="Y119" s="2793"/>
      <c r="Z119" s="2787"/>
      <c r="AA119" s="2787"/>
      <c r="AB119" s="1160"/>
      <c r="AC119" s="2797"/>
      <c r="AD119" s="2797"/>
      <c r="AE119" s="2797"/>
      <c r="AF119" s="2810"/>
      <c r="AH119" s="3157"/>
      <c r="AI119" s="3158"/>
      <c r="AJ119" s="3158"/>
      <c r="AK119" s="3158"/>
      <c r="AL119" s="3158"/>
      <c r="AM119" s="3159"/>
      <c r="AN119" s="1170"/>
      <c r="AO119" s="1170"/>
    </row>
    <row r="120" spans="1:41" s="441" customFormat="1" ht="19.2" customHeight="1" thickBot="1">
      <c r="B120" s="288"/>
      <c r="C120" s="288"/>
      <c r="D120" s="288"/>
      <c r="E120" s="288"/>
      <c r="F120" s="288"/>
      <c r="G120" s="288"/>
      <c r="H120" s="288"/>
      <c r="I120" s="288"/>
      <c r="J120" s="288"/>
      <c r="K120" s="288"/>
      <c r="L120" s="288"/>
      <c r="M120" s="288"/>
      <c r="N120" s="288"/>
      <c r="O120" s="288"/>
      <c r="P120" s="288"/>
      <c r="Q120" s="288"/>
      <c r="R120" s="288"/>
      <c r="S120" s="438"/>
      <c r="T120" s="438"/>
      <c r="U120" s="438"/>
      <c r="V120" s="438"/>
      <c r="AC120" s="750">
        <f>SUM(AC60:AC119)</f>
        <v>0</v>
      </c>
      <c r="AD120" s="751">
        <f>SUM(AD60:AD119)</f>
        <v>0</v>
      </c>
      <c r="AE120" s="751">
        <f>SUM(AE60:AE119)</f>
        <v>0</v>
      </c>
      <c r="AF120" s="752">
        <f>SUM(AF60:AF119)</f>
        <v>0</v>
      </c>
      <c r="AH120" s="3160"/>
      <c r="AI120" s="3161"/>
      <c r="AJ120" s="3161"/>
      <c r="AK120" s="3161"/>
      <c r="AL120" s="3161"/>
      <c r="AM120" s="3162"/>
      <c r="AN120" s="1170"/>
      <c r="AO120" s="1170"/>
    </row>
    <row r="121" spans="1:41" s="218" customFormat="1" ht="18.600000000000001" hidden="1" thickBot="1">
      <c r="A121" s="441"/>
      <c r="B121" s="175"/>
      <c r="C121" s="175"/>
      <c r="D121" s="175"/>
      <c r="E121" s="175"/>
      <c r="F121" s="175"/>
      <c r="G121" s="175"/>
      <c r="H121" s="175"/>
      <c r="I121" s="175"/>
      <c r="J121" s="175"/>
      <c r="K121" s="175"/>
      <c r="L121" s="175"/>
      <c r="M121" s="175"/>
      <c r="N121" s="175"/>
      <c r="O121" s="175"/>
      <c r="P121" s="175"/>
      <c r="Q121" s="175"/>
      <c r="R121" s="175"/>
      <c r="S121" s="823"/>
      <c r="T121" s="823"/>
      <c r="U121" s="823"/>
      <c r="V121" s="823"/>
    </row>
    <row r="122" spans="1:41" s="218" customFormat="1" ht="18.600000000000001" hidden="1" thickBot="1">
      <c r="A122" s="441"/>
      <c r="B122" s="175"/>
      <c r="C122" s="2949" t="str">
        <f>B60</f>
        <v>Main RCC  B Block at LG South side</v>
      </c>
      <c r="D122" s="2950"/>
      <c r="E122" s="2952" t="str">
        <f>B62</f>
        <v>LT Panel - 2</v>
      </c>
      <c r="F122" s="2952"/>
      <c r="G122" s="2951">
        <f>B64</f>
        <v>0</v>
      </c>
      <c r="H122" s="2951"/>
      <c r="I122" s="2951">
        <f>B66</f>
        <v>0</v>
      </c>
      <c r="J122" s="2951"/>
      <c r="K122" s="2951">
        <f>B68</f>
        <v>0</v>
      </c>
      <c r="L122" s="2981"/>
      <c r="M122" s="932"/>
      <c r="N122" s="932"/>
      <c r="O122" s="2979" t="s">
        <v>871</v>
      </c>
      <c r="P122" s="2979" t="s">
        <v>872</v>
      </c>
      <c r="Q122" s="932"/>
      <c r="R122" s="932"/>
      <c r="S122" s="1280"/>
      <c r="T122" s="1280"/>
      <c r="U122" s="1280"/>
      <c r="V122" s="932"/>
      <c r="W122" s="3153"/>
      <c r="X122" s="3153"/>
      <c r="Y122" s="932"/>
      <c r="Z122" s="1194"/>
      <c r="AA122" s="1194"/>
      <c r="AB122" s="1194"/>
      <c r="AC122" s="1194"/>
      <c r="AD122" s="1194"/>
      <c r="AE122" s="1194"/>
      <c r="AF122" s="1194"/>
      <c r="AG122" s="1194"/>
      <c r="AH122" s="1194"/>
      <c r="AI122" s="1194"/>
      <c r="AJ122" s="1194"/>
      <c r="AK122" s="1194"/>
      <c r="AL122" s="1194"/>
    </row>
    <row r="123" spans="1:41" s="218" customFormat="1" ht="18.600000000000001" hidden="1" thickBot="1">
      <c r="A123" s="441"/>
      <c r="B123" s="175"/>
      <c r="C123" s="1281">
        <v>16</v>
      </c>
      <c r="D123" s="1282">
        <f t="shared" ref="D123:D133" si="12">SUMIF($D$61:$R$61,P170,$D$60:$R$60)</f>
        <v>0</v>
      </c>
      <c r="E123" s="1283">
        <v>16</v>
      </c>
      <c r="F123" s="1284">
        <f t="shared" ref="F123:F133" si="13">SUMIF($D$63:$R$63,P170,$D$62:$R$62)</f>
        <v>0</v>
      </c>
      <c r="G123" s="1285">
        <v>16</v>
      </c>
      <c r="H123" s="1286">
        <f t="shared" ref="H123:H133" si="14">SUMIF($D$65:$R$65,P170,$D$64:$R$64)</f>
        <v>0</v>
      </c>
      <c r="I123" s="1287">
        <v>16</v>
      </c>
      <c r="J123" s="1288">
        <f t="shared" ref="J123:J133" si="15">SUMIF($D$67:$R$67,P170,$D$66:$R$66)</f>
        <v>0</v>
      </c>
      <c r="K123" s="1289">
        <v>16</v>
      </c>
      <c r="L123" s="1290">
        <f t="shared" ref="L123:L133" si="16">SUMIF($D$69:$R$69,P170,$D$68:$R$68)</f>
        <v>0</v>
      </c>
      <c r="M123" s="932"/>
      <c r="N123" s="932"/>
      <c r="O123" s="2980"/>
      <c r="P123" s="2980"/>
      <c r="Q123" s="932"/>
      <c r="R123" s="932"/>
      <c r="S123" s="1280"/>
      <c r="T123" s="1280"/>
      <c r="U123" s="1280"/>
      <c r="V123" s="932"/>
      <c r="W123" s="2968" t="s">
        <v>873</v>
      </c>
      <c r="X123" s="2969"/>
      <c r="Y123" s="932"/>
      <c r="Z123" s="1194"/>
      <c r="AA123" s="1194"/>
      <c r="AB123" s="1194"/>
      <c r="AC123" s="1194"/>
      <c r="AD123" s="3177" t="s">
        <v>874</v>
      </c>
      <c r="AE123" s="3177"/>
      <c r="AF123" s="1194"/>
      <c r="AG123" s="1194"/>
      <c r="AH123" s="1194"/>
      <c r="AI123" s="1194"/>
      <c r="AJ123" s="1194"/>
      <c r="AK123" s="1194"/>
      <c r="AL123" s="1194"/>
    </row>
    <row r="124" spans="1:41" s="218" customFormat="1" ht="19.95" hidden="1" customHeight="1">
      <c r="A124" s="441"/>
      <c r="B124" s="175"/>
      <c r="C124" s="1292">
        <v>25</v>
      </c>
      <c r="D124" s="1293">
        <f t="shared" si="12"/>
        <v>0</v>
      </c>
      <c r="E124" s="1294">
        <v>25</v>
      </c>
      <c r="F124" s="1295">
        <f t="shared" si="13"/>
        <v>0</v>
      </c>
      <c r="G124" s="1296">
        <v>25</v>
      </c>
      <c r="H124" s="1297">
        <f t="shared" si="14"/>
        <v>0</v>
      </c>
      <c r="I124" s="1298">
        <v>25</v>
      </c>
      <c r="J124" s="1299">
        <f t="shared" si="15"/>
        <v>0</v>
      </c>
      <c r="K124" s="1300">
        <v>25</v>
      </c>
      <c r="L124" s="1301">
        <f t="shared" si="16"/>
        <v>0</v>
      </c>
      <c r="M124" s="932"/>
      <c r="N124" s="932"/>
      <c r="O124" s="2001" t="s">
        <v>384</v>
      </c>
      <c r="P124" s="2004" t="s">
        <v>875</v>
      </c>
      <c r="Q124" s="932"/>
      <c r="R124" s="932"/>
      <c r="S124" s="1280"/>
      <c r="T124" s="1280"/>
      <c r="U124" s="1280"/>
      <c r="V124" s="932"/>
      <c r="W124" s="1302" t="s">
        <v>729</v>
      </c>
      <c r="X124" s="1303">
        <f>SUMIF($Z$25:$Z$54,$W$124,$Y$25:$Y$54)</f>
        <v>640</v>
      </c>
      <c r="Y124" s="932"/>
      <c r="Z124" s="1194"/>
      <c r="AA124" s="1194"/>
      <c r="AB124" s="1194"/>
      <c r="AC124" s="1194"/>
      <c r="AD124" s="3176" t="s">
        <v>876</v>
      </c>
      <c r="AE124" s="3175" t="s">
        <v>877</v>
      </c>
      <c r="AF124" s="1194"/>
      <c r="AG124" s="1194"/>
      <c r="AH124" s="1194"/>
      <c r="AI124" s="1194"/>
      <c r="AJ124" s="1194"/>
      <c r="AK124" s="1194"/>
      <c r="AL124" s="1194"/>
    </row>
    <row r="125" spans="1:41" s="218" customFormat="1" ht="19.8" hidden="1">
      <c r="A125" s="441"/>
      <c r="B125" s="175"/>
      <c r="C125" s="1292">
        <v>35</v>
      </c>
      <c r="D125" s="1293">
        <f t="shared" si="12"/>
        <v>0</v>
      </c>
      <c r="E125" s="1294">
        <v>35</v>
      </c>
      <c r="F125" s="1295">
        <f t="shared" si="13"/>
        <v>0</v>
      </c>
      <c r="G125" s="1296">
        <v>35</v>
      </c>
      <c r="H125" s="1297">
        <f t="shared" si="14"/>
        <v>0</v>
      </c>
      <c r="I125" s="1298">
        <v>35</v>
      </c>
      <c r="J125" s="1299">
        <f t="shared" si="15"/>
        <v>0</v>
      </c>
      <c r="K125" s="1300">
        <v>35</v>
      </c>
      <c r="L125" s="1301">
        <f t="shared" si="16"/>
        <v>0</v>
      </c>
      <c r="M125" s="932"/>
      <c r="N125" s="932"/>
      <c r="O125" s="2002" t="s">
        <v>633</v>
      </c>
      <c r="P125" s="2005" t="s">
        <v>875</v>
      </c>
      <c r="Q125" s="932"/>
      <c r="R125" s="932"/>
      <c r="S125" s="1280"/>
      <c r="T125" s="1280"/>
      <c r="U125" s="1280"/>
      <c r="V125" s="932"/>
      <c r="W125" s="1304" t="s">
        <v>730</v>
      </c>
      <c r="X125" s="1305">
        <f>SUMIF($Z$25:$Z$54,$W$125,$Y$25:$Y$54)</f>
        <v>0</v>
      </c>
      <c r="Y125" s="932"/>
      <c r="Z125" s="1194"/>
      <c r="AA125" s="1194"/>
      <c r="AB125" s="1194"/>
      <c r="AC125" s="1194"/>
      <c r="AD125" s="3176"/>
      <c r="AE125" s="3175"/>
      <c r="AF125" s="1194"/>
      <c r="AG125" s="1194"/>
      <c r="AH125" s="1194"/>
      <c r="AI125" s="1194"/>
      <c r="AJ125" s="1194"/>
      <c r="AK125" s="1194"/>
      <c r="AL125" s="1194"/>
    </row>
    <row r="126" spans="1:41" s="218" customFormat="1" ht="19.8" hidden="1">
      <c r="A126" s="441"/>
      <c r="B126" s="175"/>
      <c r="C126" s="1292">
        <v>50</v>
      </c>
      <c r="D126" s="1293">
        <f t="shared" si="12"/>
        <v>0</v>
      </c>
      <c r="E126" s="1294">
        <v>50</v>
      </c>
      <c r="F126" s="1295">
        <f t="shared" si="13"/>
        <v>0</v>
      </c>
      <c r="G126" s="1296">
        <v>50</v>
      </c>
      <c r="H126" s="1297">
        <f t="shared" si="14"/>
        <v>0</v>
      </c>
      <c r="I126" s="1298">
        <v>50</v>
      </c>
      <c r="J126" s="1299">
        <f t="shared" si="15"/>
        <v>0</v>
      </c>
      <c r="K126" s="1300">
        <v>50</v>
      </c>
      <c r="L126" s="1301">
        <f t="shared" si="16"/>
        <v>0</v>
      </c>
      <c r="M126" s="932"/>
      <c r="N126" s="932"/>
      <c r="O126" s="2002" t="s">
        <v>411</v>
      </c>
      <c r="P126" s="2005" t="s">
        <v>878</v>
      </c>
      <c r="Q126" s="932"/>
      <c r="R126" s="932"/>
      <c r="S126" s="1280"/>
      <c r="T126" s="1280"/>
      <c r="U126" s="1280"/>
      <c r="V126" s="932"/>
      <c r="W126" s="1304" t="s">
        <v>879</v>
      </c>
      <c r="X126" s="1305">
        <f>SUMIF($Z$25:$Z$54,$W$126,$Y$25:$Y$54)</f>
        <v>0</v>
      </c>
      <c r="Y126" s="932"/>
      <c r="Z126" s="1194"/>
      <c r="AA126" s="1194"/>
      <c r="AB126" s="1194"/>
      <c r="AC126" s="1194"/>
      <c r="AD126" s="2159">
        <v>97834</v>
      </c>
      <c r="AE126" s="1306">
        <f t="shared" ref="AE126:AE158" si="17">AD126*AN60</f>
        <v>0</v>
      </c>
      <c r="AF126" s="1194"/>
      <c r="AG126" s="1194"/>
      <c r="AH126" s="1194"/>
      <c r="AI126" s="1194"/>
      <c r="AJ126" s="1194"/>
      <c r="AK126" s="1194"/>
      <c r="AL126" s="1194"/>
    </row>
    <row r="127" spans="1:41" s="218" customFormat="1" ht="20.399999999999999" hidden="1" thickBot="1">
      <c r="A127" s="441"/>
      <c r="B127" s="175"/>
      <c r="C127" s="1292">
        <v>70</v>
      </c>
      <c r="D127" s="1293">
        <f t="shared" si="12"/>
        <v>0</v>
      </c>
      <c r="E127" s="1294">
        <v>70</v>
      </c>
      <c r="F127" s="1295">
        <f t="shared" si="13"/>
        <v>0</v>
      </c>
      <c r="G127" s="1296">
        <v>70</v>
      </c>
      <c r="H127" s="1297">
        <f t="shared" si="14"/>
        <v>0</v>
      </c>
      <c r="I127" s="1298">
        <v>70</v>
      </c>
      <c r="J127" s="1299">
        <f t="shared" si="15"/>
        <v>0</v>
      </c>
      <c r="K127" s="1300">
        <v>70</v>
      </c>
      <c r="L127" s="1301">
        <f t="shared" si="16"/>
        <v>0</v>
      </c>
      <c r="M127" s="932"/>
      <c r="N127" s="932"/>
      <c r="O127" s="2002" t="s">
        <v>640</v>
      </c>
      <c r="P127" s="2005" t="s">
        <v>880</v>
      </c>
      <c r="Q127" s="932"/>
      <c r="R127" s="932"/>
      <c r="S127" s="1280"/>
      <c r="T127" s="1280"/>
      <c r="U127" s="1280"/>
      <c r="V127" s="932"/>
      <c r="W127" s="1307" t="s">
        <v>881</v>
      </c>
      <c r="X127" s="1308">
        <f>SUMIF($Z$25:$Z$54,$W$127,$Y$25:$Y$54)</f>
        <v>0</v>
      </c>
      <c r="Y127" s="932"/>
      <c r="Z127" s="1194"/>
      <c r="AA127" s="1194"/>
      <c r="AB127" s="1194"/>
      <c r="AC127" s="1194"/>
      <c r="AD127" s="2158">
        <v>146867</v>
      </c>
      <c r="AE127" s="1306">
        <f t="shared" si="17"/>
        <v>0</v>
      </c>
      <c r="AF127" s="1194"/>
      <c r="AG127" s="1194"/>
      <c r="AH127" s="1194"/>
      <c r="AI127" s="1194"/>
      <c r="AJ127" s="1194"/>
      <c r="AK127" s="1194"/>
      <c r="AL127" s="1194"/>
    </row>
    <row r="128" spans="1:41" s="218" customFormat="1" ht="20.399999999999999" hidden="1" thickBot="1">
      <c r="A128" s="441"/>
      <c r="B128" s="175"/>
      <c r="C128" s="1292">
        <v>95</v>
      </c>
      <c r="D128" s="1293">
        <f t="shared" si="12"/>
        <v>0</v>
      </c>
      <c r="E128" s="1294">
        <v>95</v>
      </c>
      <c r="F128" s="1295">
        <f t="shared" si="13"/>
        <v>0</v>
      </c>
      <c r="G128" s="1296">
        <v>95</v>
      </c>
      <c r="H128" s="1297">
        <f t="shared" si="14"/>
        <v>0</v>
      </c>
      <c r="I128" s="1298">
        <v>95</v>
      </c>
      <c r="J128" s="1299">
        <f t="shared" si="15"/>
        <v>0</v>
      </c>
      <c r="K128" s="1300">
        <v>95</v>
      </c>
      <c r="L128" s="1301">
        <f t="shared" si="16"/>
        <v>0</v>
      </c>
      <c r="M128" s="932"/>
      <c r="N128" s="932"/>
      <c r="O128" s="2002" t="s">
        <v>642</v>
      </c>
      <c r="P128" s="2005" t="s">
        <v>880</v>
      </c>
      <c r="Q128" s="932"/>
      <c r="R128" s="932"/>
      <c r="S128" s="1280"/>
      <c r="T128" s="1280"/>
      <c r="U128" s="1280"/>
      <c r="V128" s="932"/>
      <c r="W128" s="932"/>
      <c r="X128" s="932"/>
      <c r="Y128" s="932"/>
      <c r="Z128" s="1194"/>
      <c r="AA128" s="1194"/>
      <c r="AB128" s="1194"/>
      <c r="AC128" s="1194"/>
      <c r="AD128" s="2158">
        <v>165000</v>
      </c>
      <c r="AE128" s="1306">
        <f t="shared" si="17"/>
        <v>0</v>
      </c>
      <c r="AF128" s="1194"/>
      <c r="AG128" s="1194"/>
      <c r="AH128" s="1194"/>
      <c r="AI128" s="1194"/>
      <c r="AJ128" s="1194"/>
      <c r="AK128" s="1194"/>
      <c r="AL128" s="1194"/>
    </row>
    <row r="129" spans="1:38" s="218" customFormat="1" ht="20.399999999999999" hidden="1" thickBot="1">
      <c r="A129" s="441"/>
      <c r="B129" s="175"/>
      <c r="C129" s="1292">
        <v>120</v>
      </c>
      <c r="D129" s="1293">
        <f t="shared" si="12"/>
        <v>0</v>
      </c>
      <c r="E129" s="1294">
        <v>120</v>
      </c>
      <c r="F129" s="1295">
        <f t="shared" si="13"/>
        <v>0</v>
      </c>
      <c r="G129" s="1296">
        <v>120</v>
      </c>
      <c r="H129" s="1297">
        <f t="shared" si="14"/>
        <v>0</v>
      </c>
      <c r="I129" s="1298">
        <v>120</v>
      </c>
      <c r="J129" s="1299">
        <f t="shared" si="15"/>
        <v>0</v>
      </c>
      <c r="K129" s="1300">
        <v>120</v>
      </c>
      <c r="L129" s="1301">
        <f t="shared" si="16"/>
        <v>0</v>
      </c>
      <c r="M129" s="932"/>
      <c r="N129" s="932"/>
      <c r="O129" s="2002" t="s">
        <v>643</v>
      </c>
      <c r="P129" s="2005" t="s">
        <v>878</v>
      </c>
      <c r="Q129" s="932"/>
      <c r="R129" s="932"/>
      <c r="S129" s="1280"/>
      <c r="T129" s="1280"/>
      <c r="U129" s="1280"/>
      <c r="V129" s="932"/>
      <c r="W129" s="2968" t="s">
        <v>882</v>
      </c>
      <c r="X129" s="2969"/>
      <c r="Y129" s="932"/>
      <c r="Z129" s="1194"/>
      <c r="AA129" s="1194"/>
      <c r="AB129" s="1194"/>
      <c r="AC129" s="1194"/>
      <c r="AD129" s="2158">
        <v>172168</v>
      </c>
      <c r="AE129" s="1306">
        <f t="shared" si="17"/>
        <v>344336</v>
      </c>
      <c r="AF129" s="1194"/>
      <c r="AG129" s="1194"/>
      <c r="AH129" s="1194"/>
      <c r="AI129" s="1194"/>
      <c r="AJ129" s="1194"/>
      <c r="AK129" s="1194"/>
      <c r="AL129" s="1194"/>
    </row>
    <row r="130" spans="1:38" s="218" customFormat="1" ht="19.8" hidden="1">
      <c r="A130" s="441"/>
      <c r="B130" s="175"/>
      <c r="C130" s="1292">
        <v>150</v>
      </c>
      <c r="D130" s="1293">
        <f t="shared" si="12"/>
        <v>0</v>
      </c>
      <c r="E130" s="1294">
        <v>150</v>
      </c>
      <c r="F130" s="1295">
        <f t="shared" si="13"/>
        <v>0</v>
      </c>
      <c r="G130" s="1296">
        <v>150</v>
      </c>
      <c r="H130" s="1297">
        <f t="shared" si="14"/>
        <v>0</v>
      </c>
      <c r="I130" s="1298">
        <v>150</v>
      </c>
      <c r="J130" s="1299">
        <f t="shared" si="15"/>
        <v>0</v>
      </c>
      <c r="K130" s="1300">
        <v>150</v>
      </c>
      <c r="L130" s="1301">
        <f t="shared" si="16"/>
        <v>0</v>
      </c>
      <c r="M130" s="932"/>
      <c r="N130" s="932"/>
      <c r="O130" s="2002" t="s">
        <v>653</v>
      </c>
      <c r="P130" s="2005" t="s">
        <v>880</v>
      </c>
      <c r="Q130" s="932"/>
      <c r="R130" s="932"/>
      <c r="S130" s="1280"/>
      <c r="T130" s="1280"/>
      <c r="U130" s="1280"/>
      <c r="V130" s="932"/>
      <c r="W130" s="1302" t="s">
        <v>729</v>
      </c>
      <c r="X130" s="1303">
        <f>SUMIF($AB$25:$AB$54,$W$130,$AA$25:$AA$54)</f>
        <v>262</v>
      </c>
      <c r="Y130" s="932"/>
      <c r="Z130" s="1194"/>
      <c r="AA130" s="1194"/>
      <c r="AB130" s="1194"/>
      <c r="AC130" s="1194"/>
      <c r="AD130" s="2158">
        <v>210058</v>
      </c>
      <c r="AE130" s="1306">
        <f t="shared" si="17"/>
        <v>0</v>
      </c>
      <c r="AF130" s="1194"/>
      <c r="AG130" s="1194"/>
      <c r="AH130" s="1194"/>
      <c r="AI130" s="1194"/>
      <c r="AJ130" s="1194"/>
      <c r="AK130" s="1194"/>
      <c r="AL130" s="1194"/>
    </row>
    <row r="131" spans="1:38" s="218" customFormat="1" ht="19.95" hidden="1" customHeight="1">
      <c r="A131" s="441"/>
      <c r="B131" s="175"/>
      <c r="C131" s="1292">
        <v>185</v>
      </c>
      <c r="D131" s="1293">
        <f t="shared" si="12"/>
        <v>0</v>
      </c>
      <c r="E131" s="1294">
        <v>185</v>
      </c>
      <c r="F131" s="1295">
        <f t="shared" si="13"/>
        <v>0</v>
      </c>
      <c r="G131" s="1296">
        <v>185</v>
      </c>
      <c r="H131" s="1297">
        <f t="shared" si="14"/>
        <v>0</v>
      </c>
      <c r="I131" s="1298">
        <v>185</v>
      </c>
      <c r="J131" s="1299">
        <f t="shared" si="15"/>
        <v>0</v>
      </c>
      <c r="K131" s="1300">
        <v>185</v>
      </c>
      <c r="L131" s="1301">
        <f t="shared" si="16"/>
        <v>0</v>
      </c>
      <c r="M131" s="932"/>
      <c r="N131" s="932"/>
      <c r="O131" s="2002" t="s">
        <v>655</v>
      </c>
      <c r="P131" s="2005" t="s">
        <v>883</v>
      </c>
      <c r="Q131" s="932"/>
      <c r="R131" s="932"/>
      <c r="S131" s="1280"/>
      <c r="T131" s="1280"/>
      <c r="U131" s="1280"/>
      <c r="V131" s="932"/>
      <c r="W131" s="1304" t="s">
        <v>730</v>
      </c>
      <c r="X131" s="1309">
        <f>SUMIF($AB$25:$AB$54,$W$131,$AA$25:$AA$54)</f>
        <v>0</v>
      </c>
      <c r="Y131" s="932"/>
      <c r="Z131" s="1194"/>
      <c r="AA131" s="1194"/>
      <c r="AB131" s="1194"/>
      <c r="AC131" s="1194"/>
      <c r="AD131" s="2158">
        <v>225421</v>
      </c>
      <c r="AE131" s="1306">
        <f t="shared" si="17"/>
        <v>0</v>
      </c>
      <c r="AF131" s="1194"/>
      <c r="AG131" s="1194"/>
      <c r="AH131" s="1194"/>
      <c r="AI131" s="1194"/>
      <c r="AJ131" s="1194"/>
      <c r="AK131" s="1194"/>
      <c r="AL131" s="1194"/>
    </row>
    <row r="132" spans="1:38" s="218" customFormat="1" ht="20.399999999999999" hidden="1" thickBot="1">
      <c r="A132" s="441"/>
      <c r="B132" s="175"/>
      <c r="C132" s="1292">
        <v>240</v>
      </c>
      <c r="D132" s="1293">
        <f t="shared" si="12"/>
        <v>0</v>
      </c>
      <c r="E132" s="1294">
        <v>240</v>
      </c>
      <c r="F132" s="1295">
        <f t="shared" si="13"/>
        <v>0</v>
      </c>
      <c r="G132" s="1296">
        <v>240</v>
      </c>
      <c r="H132" s="1297">
        <f t="shared" si="14"/>
        <v>0</v>
      </c>
      <c r="I132" s="1298">
        <v>240</v>
      </c>
      <c r="J132" s="1299">
        <f t="shared" si="15"/>
        <v>0</v>
      </c>
      <c r="K132" s="1300">
        <v>240</v>
      </c>
      <c r="L132" s="1301">
        <f t="shared" si="16"/>
        <v>0</v>
      </c>
      <c r="M132" s="932"/>
      <c r="N132" s="932"/>
      <c r="O132" s="2003" t="s">
        <v>387</v>
      </c>
      <c r="P132" s="2006" t="s">
        <v>884</v>
      </c>
      <c r="Q132" s="932"/>
      <c r="R132" s="932"/>
      <c r="S132" s="1280"/>
      <c r="T132" s="1280"/>
      <c r="U132" s="1280"/>
      <c r="V132" s="932"/>
      <c r="W132" s="1304" t="s">
        <v>879</v>
      </c>
      <c r="X132" s="1309">
        <f>SUMIF($AB$25:$AB$54,$W$132,$AA$25:$AA$54)</f>
        <v>0</v>
      </c>
      <c r="Y132" s="932"/>
      <c r="Z132" s="1194"/>
      <c r="AA132" s="1194"/>
      <c r="AB132" s="1194"/>
      <c r="AC132" s="1194"/>
      <c r="AD132" s="2158">
        <v>250802</v>
      </c>
      <c r="AE132" s="1306">
        <f t="shared" si="17"/>
        <v>0</v>
      </c>
      <c r="AF132" s="1194"/>
      <c r="AG132" s="1194"/>
      <c r="AH132" s="1194"/>
      <c r="AI132" s="1194"/>
      <c r="AJ132" s="1194"/>
      <c r="AK132" s="1194"/>
      <c r="AL132" s="1194"/>
    </row>
    <row r="133" spans="1:38" s="218" customFormat="1" ht="18.600000000000001" hidden="1" thickBot="1">
      <c r="A133" s="441"/>
      <c r="B133" s="175"/>
      <c r="C133" s="1310">
        <v>300</v>
      </c>
      <c r="D133" s="1311">
        <f t="shared" si="12"/>
        <v>10</v>
      </c>
      <c r="E133" s="1312">
        <v>300</v>
      </c>
      <c r="F133" s="1313">
        <f t="shared" si="13"/>
        <v>10</v>
      </c>
      <c r="G133" s="1314">
        <v>300</v>
      </c>
      <c r="H133" s="1315">
        <f t="shared" si="14"/>
        <v>0</v>
      </c>
      <c r="I133" s="1316">
        <v>300</v>
      </c>
      <c r="J133" s="1317">
        <f t="shared" si="15"/>
        <v>0</v>
      </c>
      <c r="K133" s="1318">
        <v>300</v>
      </c>
      <c r="L133" s="1319">
        <f t="shared" si="16"/>
        <v>0</v>
      </c>
      <c r="M133" s="932"/>
      <c r="N133" s="932"/>
      <c r="O133" s="932"/>
      <c r="P133" s="932"/>
      <c r="Q133" s="932"/>
      <c r="R133" s="932"/>
      <c r="S133" s="1280"/>
      <c r="T133" s="1280"/>
      <c r="U133" s="1280"/>
      <c r="V133" s="932"/>
      <c r="W133" s="1307" t="s">
        <v>881</v>
      </c>
      <c r="X133" s="1320">
        <f>SUMIF($AB$25:$AB$54,$W$133,$AA$25:$AA$54)</f>
        <v>0</v>
      </c>
      <c r="Y133" s="932"/>
      <c r="Z133" s="1194"/>
      <c r="AA133" s="1194"/>
      <c r="AB133" s="1194"/>
      <c r="AC133" s="1194"/>
      <c r="AD133" s="2158">
        <v>339020</v>
      </c>
      <c r="AE133" s="1306">
        <f t="shared" si="17"/>
        <v>0</v>
      </c>
      <c r="AF133" s="1194"/>
      <c r="AG133" s="1194"/>
      <c r="AH133" s="1194"/>
      <c r="AI133" s="1194"/>
      <c r="AJ133" s="1194"/>
      <c r="AK133" s="1194"/>
      <c r="AL133" s="1194"/>
    </row>
    <row r="134" spans="1:38" s="218" customFormat="1" ht="20.7" hidden="1" customHeight="1" thickBot="1">
      <c r="A134" s="441"/>
      <c r="B134" s="175"/>
      <c r="C134" s="2949">
        <f>B70</f>
        <v>0</v>
      </c>
      <c r="D134" s="2950"/>
      <c r="E134" s="2952">
        <f>B72</f>
        <v>0</v>
      </c>
      <c r="F134" s="2952"/>
      <c r="G134" s="2951">
        <f>B74</f>
        <v>0</v>
      </c>
      <c r="H134" s="2951"/>
      <c r="I134" s="2951">
        <f>B76</f>
        <v>0</v>
      </c>
      <c r="J134" s="2951"/>
      <c r="K134" s="2951">
        <f>B78</f>
        <v>0</v>
      </c>
      <c r="L134" s="2981"/>
      <c r="M134" s="932"/>
      <c r="N134" s="932"/>
      <c r="O134" s="932"/>
      <c r="P134" s="932"/>
      <c r="Q134" s="932"/>
      <c r="R134" s="932"/>
      <c r="S134" s="1280"/>
      <c r="T134" s="1280"/>
      <c r="U134" s="1280"/>
      <c r="V134" s="932"/>
      <c r="W134" s="932"/>
      <c r="X134" s="932"/>
      <c r="Y134" s="932"/>
      <c r="Z134" s="1194"/>
      <c r="AA134" s="1194"/>
      <c r="AB134" s="1194"/>
      <c r="AC134" s="1194"/>
      <c r="AD134" s="2158">
        <v>400670</v>
      </c>
      <c r="AE134" s="1306">
        <f t="shared" si="17"/>
        <v>0</v>
      </c>
      <c r="AF134" s="1194"/>
      <c r="AG134" s="1194"/>
      <c r="AH134" s="1194"/>
      <c r="AI134" s="1194"/>
      <c r="AJ134" s="1194"/>
      <c r="AK134" s="1194"/>
      <c r="AL134" s="1194"/>
    </row>
    <row r="135" spans="1:38" s="218" customFormat="1" ht="18.600000000000001" hidden="1" thickBot="1">
      <c r="A135" s="441"/>
      <c r="B135" s="175"/>
      <c r="C135" s="1281">
        <v>16</v>
      </c>
      <c r="D135" s="1321">
        <f t="shared" ref="D135:D145" si="18">SUMIF($D$71:$R$71,P170,$D$70:$R$70)</f>
        <v>0</v>
      </c>
      <c r="E135" s="1283">
        <v>16</v>
      </c>
      <c r="F135" s="1284">
        <f t="shared" ref="F135:F145" si="19">SUMIF($D$73:$R$73,P170,$D$72:$R$72)</f>
        <v>0</v>
      </c>
      <c r="G135" s="1285">
        <v>16</v>
      </c>
      <c r="H135" s="1286">
        <f t="shared" ref="H135:H145" si="20">SUMIF($D$75:$R$75,P170,$D$74:$R$74)</f>
        <v>0</v>
      </c>
      <c r="I135" s="1287">
        <v>16</v>
      </c>
      <c r="J135" s="1288">
        <f t="shared" ref="J135:J145" si="21">SUMIF($D$77:$R$77,P170,$D$76:$R$76)</f>
        <v>0</v>
      </c>
      <c r="K135" s="1289">
        <v>16</v>
      </c>
      <c r="L135" s="1290">
        <f t="shared" ref="L135:L145" si="22">SUMIF($D$79:$R$79,P170,$D$78:$R$78)</f>
        <v>0</v>
      </c>
      <c r="M135" s="932"/>
      <c r="N135" s="932"/>
      <c r="O135" s="932"/>
      <c r="P135" s="932"/>
      <c r="Q135" s="932"/>
      <c r="R135" s="932"/>
      <c r="S135" s="932"/>
      <c r="T135" s="932"/>
      <c r="U135" s="932"/>
      <c r="V135" s="1322"/>
      <c r="W135" s="2957" t="s">
        <v>885</v>
      </c>
      <c r="X135" s="2958"/>
      <c r="Y135" s="1322"/>
      <c r="Z135" s="1194"/>
      <c r="AA135" s="1194"/>
      <c r="AB135" s="1194"/>
      <c r="AC135" s="1194"/>
      <c r="AD135" s="2158">
        <v>462121</v>
      </c>
      <c r="AE135" s="1306">
        <f t="shared" si="17"/>
        <v>0</v>
      </c>
      <c r="AF135" s="1194"/>
      <c r="AG135" s="1194"/>
      <c r="AH135" s="1194"/>
      <c r="AI135" s="1194"/>
      <c r="AJ135" s="1194"/>
      <c r="AK135" s="1194"/>
      <c r="AL135" s="1194"/>
    </row>
    <row r="136" spans="1:38" s="218" customFormat="1" ht="18.600000000000001" hidden="1" thickBot="1">
      <c r="A136" s="441"/>
      <c r="B136" s="175"/>
      <c r="C136" s="1292">
        <v>25</v>
      </c>
      <c r="D136" s="1323">
        <f t="shared" si="18"/>
        <v>0</v>
      </c>
      <c r="E136" s="1294">
        <v>25</v>
      </c>
      <c r="F136" s="1295">
        <f t="shared" si="19"/>
        <v>0</v>
      </c>
      <c r="G136" s="1296">
        <v>25</v>
      </c>
      <c r="H136" s="1297">
        <f t="shared" si="20"/>
        <v>0</v>
      </c>
      <c r="I136" s="1298">
        <v>25</v>
      </c>
      <c r="J136" s="1299">
        <f t="shared" si="21"/>
        <v>0</v>
      </c>
      <c r="K136" s="1300">
        <v>25</v>
      </c>
      <c r="L136" s="1301">
        <f t="shared" si="22"/>
        <v>0</v>
      </c>
      <c r="M136" s="932"/>
      <c r="N136" s="932"/>
      <c r="O136" s="932"/>
      <c r="Q136" s="2341" t="s">
        <v>886</v>
      </c>
      <c r="R136" s="2978"/>
      <c r="S136" s="932"/>
      <c r="T136" s="932"/>
      <c r="U136" s="932"/>
      <c r="V136" s="932"/>
      <c r="W136" s="1302" t="s">
        <v>729</v>
      </c>
      <c r="X136" s="1303">
        <f>SUMIF($AD$25:$AD$54,$W$136,$AC$25:$AC$54)</f>
        <v>122</v>
      </c>
      <c r="Y136" s="932"/>
      <c r="Z136" s="1194"/>
      <c r="AA136" s="1194"/>
      <c r="AB136" s="1194"/>
      <c r="AC136" s="1194"/>
      <c r="AD136" s="2158">
        <v>482550</v>
      </c>
      <c r="AE136" s="1306">
        <f t="shared" si="17"/>
        <v>0</v>
      </c>
      <c r="AF136" s="1194"/>
      <c r="AG136" s="1194"/>
      <c r="AH136" s="1194"/>
      <c r="AI136" s="1194"/>
      <c r="AJ136" s="1194"/>
      <c r="AK136" s="1194"/>
      <c r="AL136" s="1194"/>
    </row>
    <row r="137" spans="1:38" s="218" customFormat="1" ht="18" hidden="1">
      <c r="A137" s="441"/>
      <c r="B137" s="175"/>
      <c r="C137" s="1292">
        <v>35</v>
      </c>
      <c r="D137" s="1323">
        <f t="shared" si="18"/>
        <v>0</v>
      </c>
      <c r="E137" s="1294">
        <v>35</v>
      </c>
      <c r="F137" s="1295">
        <f t="shared" si="19"/>
        <v>0</v>
      </c>
      <c r="G137" s="1296">
        <v>35</v>
      </c>
      <c r="H137" s="1297">
        <f t="shared" si="20"/>
        <v>0</v>
      </c>
      <c r="I137" s="1298">
        <v>35</v>
      </c>
      <c r="J137" s="1299">
        <f t="shared" si="21"/>
        <v>0</v>
      </c>
      <c r="K137" s="1300">
        <v>35</v>
      </c>
      <c r="L137" s="1301">
        <f t="shared" si="22"/>
        <v>0</v>
      </c>
      <c r="M137" s="932"/>
      <c r="P137" s="932"/>
      <c r="Q137" s="1815" t="s">
        <v>887</v>
      </c>
      <c r="R137" s="1812" cm="1">
        <f t="array" ref="R137">SUMPRODUCT((C$25:C$54=R$7)*(AU$25:AU$54=Q$137)*(AV$25:AV$54))</f>
        <v>0</v>
      </c>
      <c r="S137" s="932"/>
      <c r="T137" s="932"/>
      <c r="U137" s="932"/>
      <c r="V137" s="932"/>
      <c r="W137" s="1304" t="s">
        <v>730</v>
      </c>
      <c r="X137" s="1309">
        <f>SUMIF($AD$25:$AD$54,$W$137,$AC$25:$AC$54)</f>
        <v>0</v>
      </c>
      <c r="Y137" s="932"/>
      <c r="Z137" s="1194"/>
      <c r="AA137" s="1194"/>
      <c r="AB137" s="1194"/>
      <c r="AC137" s="1194"/>
      <c r="AD137" s="2158">
        <v>562085</v>
      </c>
      <c r="AE137" s="1306">
        <f t="shared" si="17"/>
        <v>0</v>
      </c>
      <c r="AF137" s="1194"/>
      <c r="AG137" s="1194"/>
      <c r="AH137" s="1194"/>
      <c r="AI137" s="1194"/>
      <c r="AJ137" s="1194"/>
      <c r="AK137" s="1194"/>
      <c r="AL137" s="1194"/>
    </row>
    <row r="138" spans="1:38" s="218" customFormat="1" ht="18" hidden="1">
      <c r="A138" s="441"/>
      <c r="B138" s="175"/>
      <c r="C138" s="1292">
        <v>50</v>
      </c>
      <c r="D138" s="1323">
        <f t="shared" si="18"/>
        <v>0</v>
      </c>
      <c r="E138" s="1294">
        <v>50</v>
      </c>
      <c r="F138" s="1295">
        <f t="shared" si="19"/>
        <v>0</v>
      </c>
      <c r="G138" s="1296">
        <v>50</v>
      </c>
      <c r="H138" s="1297">
        <f t="shared" si="20"/>
        <v>0</v>
      </c>
      <c r="I138" s="1298">
        <v>50</v>
      </c>
      <c r="J138" s="1299">
        <f t="shared" si="21"/>
        <v>0</v>
      </c>
      <c r="K138" s="1300">
        <v>50</v>
      </c>
      <c r="L138" s="1301">
        <f t="shared" si="22"/>
        <v>0</v>
      </c>
      <c r="M138" s="932"/>
      <c r="P138" s="932"/>
      <c r="Q138" s="1798" t="s">
        <v>732</v>
      </c>
      <c r="R138" s="1813">
        <f>SUMIFS(AV$25:AV$54,C$25:C$54,R$7,AU$25:AU$54,Q$138)</f>
        <v>0</v>
      </c>
      <c r="T138" s="932"/>
      <c r="U138" s="932"/>
      <c r="V138" s="932"/>
      <c r="W138" s="1304" t="s">
        <v>879</v>
      </c>
      <c r="X138" s="1309">
        <f>SUMIF($AD$25:$AD$54,$W$138,$AC$25:$AC$54)</f>
        <v>0</v>
      </c>
      <c r="Y138" s="932"/>
      <c r="Z138" s="1194"/>
      <c r="AA138" s="1194"/>
      <c r="AB138" s="1194"/>
      <c r="AC138" s="1194"/>
      <c r="AD138" s="2158">
        <v>618398</v>
      </c>
      <c r="AE138" s="1306">
        <f t="shared" si="17"/>
        <v>0</v>
      </c>
      <c r="AF138" s="1194"/>
      <c r="AG138" s="1194"/>
      <c r="AH138" s="1194"/>
      <c r="AI138" s="1194"/>
      <c r="AJ138" s="1194"/>
      <c r="AK138" s="1194"/>
      <c r="AL138" s="1194"/>
    </row>
    <row r="139" spans="1:38" s="218" customFormat="1" ht="20.25" hidden="1" customHeight="1" thickBot="1">
      <c r="A139" s="441"/>
      <c r="B139" s="175"/>
      <c r="C139" s="1292">
        <v>70</v>
      </c>
      <c r="D139" s="1323">
        <f t="shared" si="18"/>
        <v>0</v>
      </c>
      <c r="E139" s="1294">
        <v>70</v>
      </c>
      <c r="F139" s="1295">
        <f t="shared" si="19"/>
        <v>0</v>
      </c>
      <c r="G139" s="1296">
        <v>70</v>
      </c>
      <c r="H139" s="1297">
        <f t="shared" si="20"/>
        <v>0</v>
      </c>
      <c r="I139" s="1298">
        <v>70</v>
      </c>
      <c r="J139" s="1299">
        <f t="shared" si="21"/>
        <v>0</v>
      </c>
      <c r="K139" s="1300">
        <v>70</v>
      </c>
      <c r="L139" s="1301">
        <f t="shared" si="22"/>
        <v>0</v>
      </c>
      <c r="M139" s="932"/>
      <c r="P139" s="932"/>
      <c r="Q139" s="1798" t="s">
        <v>888</v>
      </c>
      <c r="R139" s="1813">
        <f>SUMIFS(AV$25:AV$54,C$25:C$54,R$7,AU$25:AU$54,Q$139)</f>
        <v>0</v>
      </c>
      <c r="T139" s="932"/>
      <c r="U139" s="932"/>
      <c r="V139" s="932"/>
      <c r="W139" s="1307" t="s">
        <v>881</v>
      </c>
      <c r="X139" s="1320">
        <f>SUMIF($AD$25:$AD$54,$W$139,$AC$25:$AC$54)</f>
        <v>0</v>
      </c>
      <c r="Y139" s="932"/>
      <c r="Z139" s="1194"/>
      <c r="AA139" s="1194"/>
      <c r="AB139" s="1194"/>
      <c r="AC139" s="1194"/>
      <c r="AD139" s="2158">
        <v>674490</v>
      </c>
      <c r="AE139" s="1306">
        <f t="shared" si="17"/>
        <v>0</v>
      </c>
      <c r="AF139" s="1194"/>
      <c r="AG139" s="1194"/>
      <c r="AH139" s="1194"/>
      <c r="AI139" s="1194"/>
      <c r="AJ139" s="1194"/>
      <c r="AK139" s="1194"/>
      <c r="AL139" s="1194"/>
    </row>
    <row r="140" spans="1:38" s="218" customFormat="1" ht="18.600000000000001" hidden="1" thickBot="1">
      <c r="A140" s="441"/>
      <c r="B140" s="175"/>
      <c r="C140" s="1292">
        <v>95</v>
      </c>
      <c r="D140" s="1323">
        <f t="shared" si="18"/>
        <v>0</v>
      </c>
      <c r="E140" s="1294">
        <v>95</v>
      </c>
      <c r="F140" s="1295">
        <f t="shared" si="19"/>
        <v>0</v>
      </c>
      <c r="G140" s="1296">
        <v>95</v>
      </c>
      <c r="H140" s="1297">
        <f t="shared" si="20"/>
        <v>0</v>
      </c>
      <c r="I140" s="1298">
        <v>95</v>
      </c>
      <c r="J140" s="1299">
        <f t="shared" si="21"/>
        <v>0</v>
      </c>
      <c r="K140" s="1300">
        <v>95</v>
      </c>
      <c r="L140" s="1301">
        <f t="shared" si="22"/>
        <v>0</v>
      </c>
      <c r="M140" s="932"/>
      <c r="P140" s="932"/>
      <c r="Q140" s="1816" t="s">
        <v>889</v>
      </c>
      <c r="R140" s="1814">
        <f>SUMIFS(AV$25:AV$54,C$25:C$54,R$7,AU$25:AU$54,Q$140)</f>
        <v>0</v>
      </c>
      <c r="T140" s="932"/>
      <c r="U140" s="932"/>
      <c r="V140" s="932"/>
      <c r="W140" s="932"/>
      <c r="X140" s="932"/>
      <c r="Y140" s="932"/>
      <c r="Z140" s="1194"/>
      <c r="AA140" s="1194"/>
      <c r="AB140" s="1194"/>
      <c r="AC140" s="1194"/>
      <c r="AD140" s="2158">
        <v>730616</v>
      </c>
      <c r="AE140" s="1306">
        <f t="shared" si="17"/>
        <v>0</v>
      </c>
      <c r="AF140" s="1194"/>
      <c r="AG140" s="1194"/>
      <c r="AH140" s="1194"/>
      <c r="AI140" s="1194"/>
      <c r="AJ140" s="1194"/>
      <c r="AK140" s="1194"/>
      <c r="AL140" s="1194"/>
    </row>
    <row r="141" spans="1:38" s="218" customFormat="1" ht="18.600000000000001" hidden="1" thickBot="1">
      <c r="A141" s="441"/>
      <c r="B141" s="175"/>
      <c r="C141" s="1292">
        <v>120</v>
      </c>
      <c r="D141" s="1323">
        <f t="shared" si="18"/>
        <v>0</v>
      </c>
      <c r="E141" s="1294">
        <v>120</v>
      </c>
      <c r="F141" s="1295">
        <f t="shared" si="19"/>
        <v>0</v>
      </c>
      <c r="G141" s="1296">
        <v>120</v>
      </c>
      <c r="H141" s="1297">
        <f t="shared" si="20"/>
        <v>0</v>
      </c>
      <c r="I141" s="1298">
        <v>120</v>
      </c>
      <c r="J141" s="1299">
        <f t="shared" si="21"/>
        <v>0</v>
      </c>
      <c r="K141" s="1300">
        <v>120</v>
      </c>
      <c r="L141" s="1301">
        <f t="shared" si="22"/>
        <v>0</v>
      </c>
      <c r="M141" s="932"/>
      <c r="N141" s="932"/>
      <c r="O141" s="932"/>
      <c r="P141" s="932"/>
      <c r="Q141" s="932"/>
      <c r="R141" s="932"/>
      <c r="S141" s="1280"/>
      <c r="T141" s="1280"/>
      <c r="U141" s="1280"/>
      <c r="V141" s="1280"/>
      <c r="W141" s="2957" t="s">
        <v>890</v>
      </c>
      <c r="X141" s="2958"/>
      <c r="Y141" s="1194"/>
      <c r="Z141" s="1194"/>
      <c r="AA141" s="1194"/>
      <c r="AB141" s="1194"/>
      <c r="AC141" s="1194"/>
      <c r="AD141" s="2158">
        <v>787507</v>
      </c>
      <c r="AE141" s="1306">
        <f t="shared" si="17"/>
        <v>0</v>
      </c>
      <c r="AF141" s="1194"/>
      <c r="AG141" s="1194"/>
      <c r="AH141" s="1194"/>
      <c r="AI141" s="1194"/>
      <c r="AJ141" s="1194"/>
      <c r="AK141" s="1194"/>
      <c r="AL141" s="1194"/>
    </row>
    <row r="142" spans="1:38" s="218" customFormat="1" ht="18" hidden="1">
      <c r="A142" s="441"/>
      <c r="B142" s="175"/>
      <c r="C142" s="1292">
        <v>150</v>
      </c>
      <c r="D142" s="1323">
        <f t="shared" si="18"/>
        <v>0</v>
      </c>
      <c r="E142" s="1294">
        <v>150</v>
      </c>
      <c r="F142" s="1295">
        <f t="shared" si="19"/>
        <v>0</v>
      </c>
      <c r="G142" s="1296">
        <v>150</v>
      </c>
      <c r="H142" s="1297">
        <f t="shared" si="20"/>
        <v>0</v>
      </c>
      <c r="I142" s="1298">
        <v>150</v>
      </c>
      <c r="J142" s="1299">
        <f t="shared" si="21"/>
        <v>0</v>
      </c>
      <c r="K142" s="1300">
        <v>150</v>
      </c>
      <c r="L142" s="1301">
        <f t="shared" si="22"/>
        <v>0</v>
      </c>
      <c r="M142" s="932"/>
      <c r="N142" s="932"/>
      <c r="O142" s="932"/>
      <c r="P142" s="932"/>
      <c r="Q142" s="932"/>
      <c r="R142" s="932"/>
      <c r="S142" s="1280"/>
      <c r="T142" s="1280"/>
      <c r="U142" s="1280"/>
      <c r="V142" s="1280"/>
      <c r="W142" s="1302" t="s">
        <v>729</v>
      </c>
      <c r="X142" s="1303">
        <f>SUMIF($AF$25:$AF$54,$W$142,$AE$25:$AE$54)</f>
        <v>0</v>
      </c>
      <c r="Y142" s="1194"/>
      <c r="Z142" s="1194"/>
      <c r="AA142" s="1194"/>
      <c r="AB142" s="1194"/>
      <c r="AC142" s="1194"/>
      <c r="AD142" s="2158">
        <v>843332</v>
      </c>
      <c r="AE142" s="1306">
        <f t="shared" si="17"/>
        <v>0</v>
      </c>
      <c r="AF142" s="1194"/>
      <c r="AG142" s="1194"/>
      <c r="AH142" s="1194"/>
      <c r="AI142" s="1194"/>
      <c r="AJ142" s="1194"/>
      <c r="AK142" s="1194"/>
      <c r="AL142" s="1194"/>
    </row>
    <row r="143" spans="1:38" s="218" customFormat="1" ht="18.600000000000001" hidden="1" thickBot="1">
      <c r="A143" s="441"/>
      <c r="B143" s="175"/>
      <c r="C143" s="1292">
        <v>185</v>
      </c>
      <c r="D143" s="1323">
        <f t="shared" si="18"/>
        <v>0</v>
      </c>
      <c r="E143" s="1294">
        <v>185</v>
      </c>
      <c r="F143" s="1295">
        <f t="shared" si="19"/>
        <v>0</v>
      </c>
      <c r="G143" s="1296">
        <v>185</v>
      </c>
      <c r="H143" s="1297">
        <f t="shared" si="20"/>
        <v>0</v>
      </c>
      <c r="I143" s="1298">
        <v>185</v>
      </c>
      <c r="J143" s="1299">
        <f t="shared" si="21"/>
        <v>0</v>
      </c>
      <c r="K143" s="1300">
        <v>185</v>
      </c>
      <c r="L143" s="1301">
        <f t="shared" si="22"/>
        <v>0</v>
      </c>
      <c r="M143" s="932"/>
      <c r="N143" s="932"/>
      <c r="O143" s="932"/>
      <c r="P143" s="932"/>
      <c r="Q143" s="932"/>
      <c r="R143" s="932"/>
      <c r="S143" s="1280"/>
      <c r="T143" s="1280"/>
      <c r="U143" s="1280"/>
      <c r="V143" s="1280"/>
      <c r="W143" s="1304" t="s">
        <v>730</v>
      </c>
      <c r="X143" s="1309">
        <f>SUMIF($AF$25:$AF$54,$W$143,$AE$25:$AE$54)</f>
        <v>120</v>
      </c>
      <c r="Y143" s="1194"/>
      <c r="Z143" s="1194"/>
      <c r="AA143" s="1194"/>
      <c r="AB143" s="1194"/>
      <c r="AC143" s="1194"/>
      <c r="AD143" s="2158">
        <v>899400</v>
      </c>
      <c r="AE143" s="1306">
        <f t="shared" si="17"/>
        <v>0</v>
      </c>
      <c r="AF143" s="1194"/>
      <c r="AG143" s="1194"/>
      <c r="AH143" s="1194"/>
      <c r="AI143" s="1194"/>
      <c r="AJ143" s="1194"/>
      <c r="AK143" s="1194"/>
      <c r="AL143" s="1194"/>
    </row>
    <row r="144" spans="1:38" s="218" customFormat="1" ht="18.600000000000001" hidden="1" thickBot="1">
      <c r="A144" s="441"/>
      <c r="B144" s="175"/>
      <c r="C144" s="1292">
        <v>240</v>
      </c>
      <c r="D144" s="1323">
        <f t="shared" si="18"/>
        <v>0</v>
      </c>
      <c r="E144" s="1294">
        <v>240</v>
      </c>
      <c r="F144" s="1295">
        <f t="shared" si="19"/>
        <v>0</v>
      </c>
      <c r="G144" s="1296">
        <v>240</v>
      </c>
      <c r="H144" s="1297">
        <f t="shared" si="20"/>
        <v>0</v>
      </c>
      <c r="I144" s="1298">
        <v>240</v>
      </c>
      <c r="J144" s="1299">
        <f t="shared" si="21"/>
        <v>0</v>
      </c>
      <c r="K144" s="1300">
        <v>240</v>
      </c>
      <c r="L144" s="1301">
        <f t="shared" si="22"/>
        <v>0</v>
      </c>
      <c r="M144" s="932"/>
      <c r="N144" s="932"/>
      <c r="O144" s="932"/>
      <c r="P144" s="2968" t="s">
        <v>891</v>
      </c>
      <c r="Q144" s="2977"/>
      <c r="R144" s="2969"/>
      <c r="S144" s="1194"/>
      <c r="T144" s="1194"/>
      <c r="U144" s="1194"/>
      <c r="V144" s="1194"/>
      <c r="W144" s="1304" t="s">
        <v>879</v>
      </c>
      <c r="X144" s="1309">
        <f>SUMIF($AF$25:$AF$54,$W$144,$AE$25:$AE$54)</f>
        <v>0</v>
      </c>
      <c r="Y144" s="1194"/>
      <c r="Z144" s="1194"/>
      <c r="AA144" s="1194"/>
      <c r="AB144" s="1194"/>
      <c r="AC144" s="1194"/>
      <c r="AD144" s="2158">
        <v>938113</v>
      </c>
      <c r="AE144" s="1306">
        <f t="shared" si="17"/>
        <v>0</v>
      </c>
      <c r="AF144" s="1194"/>
      <c r="AG144" s="1194"/>
      <c r="AH144" s="1194"/>
      <c r="AI144" s="1194"/>
      <c r="AJ144" s="1194"/>
      <c r="AK144" s="1194"/>
      <c r="AL144" s="1194"/>
    </row>
    <row r="145" spans="1:38" s="218" customFormat="1" ht="18.600000000000001" hidden="1" thickBot="1">
      <c r="A145" s="441"/>
      <c r="B145" s="175"/>
      <c r="C145" s="1310">
        <v>300</v>
      </c>
      <c r="D145" s="1324">
        <f t="shared" si="18"/>
        <v>0</v>
      </c>
      <c r="E145" s="1312">
        <v>300</v>
      </c>
      <c r="F145" s="1313">
        <f t="shared" si="19"/>
        <v>0</v>
      </c>
      <c r="G145" s="1314">
        <v>300</v>
      </c>
      <c r="H145" s="1315">
        <f t="shared" si="20"/>
        <v>0</v>
      </c>
      <c r="I145" s="1316">
        <v>300</v>
      </c>
      <c r="J145" s="1317">
        <f t="shared" si="21"/>
        <v>0</v>
      </c>
      <c r="K145" s="1318">
        <v>300</v>
      </c>
      <c r="L145" s="1319">
        <f t="shared" si="22"/>
        <v>0</v>
      </c>
      <c r="M145" s="932"/>
      <c r="N145" s="932"/>
      <c r="O145" s="932"/>
      <c r="P145" s="2970" t="s">
        <v>892</v>
      </c>
      <c r="Q145" s="2971"/>
      <c r="R145" s="1303">
        <f t="shared" ref="R145:R152" si="23">IF($S$61=P145,$S$60,0)+IF($S$63=P145,$S$62,0)+IF($S$65=P145,$S$64,0)+IF($S$67=P145,$S$66,0)+IF($S$69=P145,$S$68,0)+IF($S$71=P145,$S$70,0)+IF($S$73=P145,$S$72,0)+IF($S$75=P145,$S$74,0)+IF($S$77=P145,$S$76,0)+IF($S$79=P145,$S$78,0)+IF($S$81=P145,$S$80,0)+IF($S$83=P145,$S$82,0)+IF($S$85=P145,$S$84,0)+IF($S$87=P145,$S$86,0)+IF($S$89=P145,$S$88,0)+IF($S$91=P145,$S$90,0)+IF($S$93=P145,$S$92,0)+IF($S$95=P145,$S$94,0)+IF($S$97=P145,$S$96,0)+IF($S$99=P145,$S$98,0)+IF($S$101=P145,$S$100,0)+IF($S$103=P145,$S$102,0)+IF($S$105=P145,$S$104,0)+IF($S$107=P145,$S$106,0)+IF($S$109=P145,$S$108,0)+IF($S$111=P145,$S$110,0)+IF($S$113=P145,$S$112,0)+IF($S$115=P145,$S$114,0)+IF($S$117=P145,$S$116,0)+IF($S$119=P145,$S$118,0)</f>
        <v>20</v>
      </c>
      <c r="S145" s="1194"/>
      <c r="T145" s="1194"/>
      <c r="U145" s="1194"/>
      <c r="V145" s="1194"/>
      <c r="W145" s="1307" t="s">
        <v>881</v>
      </c>
      <c r="X145" s="1320">
        <f>SUMIF($AF$25:$AF$54,#REF!,$AE$25:$AE$54)</f>
        <v>0</v>
      </c>
      <c r="Y145" s="1194"/>
      <c r="Z145" s="1194"/>
      <c r="AA145" s="1194"/>
      <c r="AB145" s="1194"/>
      <c r="AC145" s="1194"/>
      <c r="AD145" s="2158">
        <v>993611</v>
      </c>
      <c r="AE145" s="1306">
        <f t="shared" si="17"/>
        <v>0</v>
      </c>
      <c r="AF145" s="1194"/>
      <c r="AG145" s="1194"/>
      <c r="AH145" s="1194"/>
      <c r="AI145" s="1194"/>
      <c r="AJ145" s="1194"/>
      <c r="AK145" s="1194"/>
      <c r="AL145" s="1194"/>
    </row>
    <row r="146" spans="1:38" s="218" customFormat="1" ht="18.600000000000001" hidden="1" thickBot="1">
      <c r="A146" s="441"/>
      <c r="B146" s="175"/>
      <c r="C146" s="2949">
        <f>B80</f>
        <v>0</v>
      </c>
      <c r="D146" s="2950"/>
      <c r="E146" s="2952">
        <f>B82</f>
        <v>0</v>
      </c>
      <c r="F146" s="2952"/>
      <c r="G146" s="2951">
        <f>B84</f>
        <v>0</v>
      </c>
      <c r="H146" s="2951"/>
      <c r="I146" s="2951">
        <f>B86</f>
        <v>0</v>
      </c>
      <c r="J146" s="2951"/>
      <c r="K146" s="2951">
        <f>B88</f>
        <v>0</v>
      </c>
      <c r="L146" s="2981"/>
      <c r="M146" s="932"/>
      <c r="N146" s="932"/>
      <c r="O146" s="932"/>
      <c r="P146" s="2975" t="s">
        <v>893</v>
      </c>
      <c r="Q146" s="2976"/>
      <c r="R146" s="1305">
        <f t="shared" si="23"/>
        <v>0</v>
      </c>
      <c r="S146" s="1194"/>
      <c r="T146" s="1194"/>
      <c r="U146" s="1194"/>
      <c r="V146" s="1194"/>
      <c r="W146" s="1194"/>
      <c r="X146" s="1194"/>
      <c r="Y146" s="1194"/>
      <c r="Z146" s="1194"/>
      <c r="AA146" s="1194"/>
      <c r="AB146" s="1194"/>
      <c r="AC146" s="1194"/>
      <c r="AD146" s="2158">
        <v>1048969</v>
      </c>
      <c r="AE146" s="1306">
        <f t="shared" si="17"/>
        <v>0</v>
      </c>
      <c r="AF146" s="1194"/>
      <c r="AG146" s="1194"/>
      <c r="AH146" s="1194"/>
      <c r="AI146" s="1194"/>
      <c r="AJ146" s="1194"/>
      <c r="AK146" s="1194"/>
      <c r="AL146" s="1194"/>
    </row>
    <row r="147" spans="1:38" s="218" customFormat="1" ht="18" hidden="1">
      <c r="A147" s="441"/>
      <c r="B147" s="175"/>
      <c r="C147" s="1281">
        <v>16</v>
      </c>
      <c r="D147" s="1321">
        <f t="shared" ref="D147:D157" si="24">SUMIF($D$81:$R$81,P170,$D$80:$R$80)</f>
        <v>0</v>
      </c>
      <c r="E147" s="1283">
        <v>16</v>
      </c>
      <c r="F147" s="1284">
        <f t="shared" ref="F147:F157" si="25">SUMIF($D$83:$R$83,P170,$D$82:$R$82)</f>
        <v>0</v>
      </c>
      <c r="G147" s="1285">
        <v>16</v>
      </c>
      <c r="H147" s="1286">
        <f t="shared" ref="H147:H157" si="26">SUMIF($D$85:$R$85,P170,$D$84:$R$84)</f>
        <v>0</v>
      </c>
      <c r="I147" s="1287">
        <v>16</v>
      </c>
      <c r="J147" s="1288">
        <f t="shared" ref="J147:J157" si="27">SUMIF($D$87:$R$87,P170,$D$86:$R$86)</f>
        <v>0</v>
      </c>
      <c r="K147" s="1289">
        <v>16</v>
      </c>
      <c r="L147" s="1290">
        <f t="shared" ref="L147:L157" si="28">SUMIF($D$89:$R$89,P170,$D$88:$R$88)</f>
        <v>0</v>
      </c>
      <c r="M147" s="932"/>
      <c r="N147" s="932"/>
      <c r="O147" s="932"/>
      <c r="P147" s="2975" t="s">
        <v>894</v>
      </c>
      <c r="Q147" s="2976"/>
      <c r="R147" s="1305">
        <f t="shared" si="23"/>
        <v>0</v>
      </c>
      <c r="S147" s="1194"/>
      <c r="T147" s="1194"/>
      <c r="U147" s="1194"/>
      <c r="V147" s="1194"/>
      <c r="W147" s="1194"/>
      <c r="X147" s="1194"/>
      <c r="Y147" s="1194"/>
      <c r="Z147" s="1194"/>
      <c r="AA147" s="1194"/>
      <c r="AB147" s="1194"/>
      <c r="AC147" s="1194"/>
      <c r="AD147" s="2158">
        <v>1073832</v>
      </c>
      <c r="AE147" s="1306">
        <f t="shared" si="17"/>
        <v>0</v>
      </c>
      <c r="AF147" s="1194"/>
      <c r="AG147" s="1194"/>
      <c r="AH147" s="1194"/>
      <c r="AI147" s="1194"/>
      <c r="AJ147" s="1194"/>
      <c r="AK147" s="1194"/>
      <c r="AL147" s="1194"/>
    </row>
    <row r="148" spans="1:38" s="218" customFormat="1" ht="18" hidden="1">
      <c r="A148" s="441"/>
      <c r="B148" s="175"/>
      <c r="C148" s="1292">
        <v>25</v>
      </c>
      <c r="D148" s="1323">
        <f t="shared" si="24"/>
        <v>0</v>
      </c>
      <c r="E148" s="1294">
        <v>25</v>
      </c>
      <c r="F148" s="1295">
        <f t="shared" si="25"/>
        <v>0</v>
      </c>
      <c r="G148" s="1296">
        <v>25</v>
      </c>
      <c r="H148" s="1297">
        <f t="shared" si="26"/>
        <v>0</v>
      </c>
      <c r="I148" s="1298">
        <v>25</v>
      </c>
      <c r="J148" s="1299">
        <f t="shared" si="27"/>
        <v>0</v>
      </c>
      <c r="K148" s="1300">
        <v>25</v>
      </c>
      <c r="L148" s="1301">
        <f t="shared" si="28"/>
        <v>0</v>
      </c>
      <c r="M148" s="932"/>
      <c r="N148" s="932"/>
      <c r="O148" s="932"/>
      <c r="P148" s="2975" t="s">
        <v>895</v>
      </c>
      <c r="Q148" s="2976"/>
      <c r="R148" s="1305">
        <f t="shared" si="23"/>
        <v>0</v>
      </c>
      <c r="S148" s="1194"/>
      <c r="T148" s="1194"/>
      <c r="U148" s="1194"/>
      <c r="V148" s="1194"/>
      <c r="Y148" s="1194"/>
      <c r="Z148" s="1194"/>
      <c r="AA148" s="1194"/>
      <c r="AB148" s="1194"/>
      <c r="AC148" s="1194"/>
      <c r="AD148" s="2158">
        <v>1128068</v>
      </c>
      <c r="AE148" s="1306">
        <f t="shared" si="17"/>
        <v>0</v>
      </c>
      <c r="AF148" s="1194"/>
      <c r="AG148" s="1194"/>
      <c r="AH148" s="1194"/>
      <c r="AI148" s="1194"/>
      <c r="AJ148" s="1194"/>
      <c r="AK148" s="1194"/>
      <c r="AL148" s="1194"/>
    </row>
    <row r="149" spans="1:38" s="218" customFormat="1" ht="18" hidden="1">
      <c r="A149" s="441"/>
      <c r="B149" s="175"/>
      <c r="C149" s="1292">
        <v>35</v>
      </c>
      <c r="D149" s="1323">
        <f t="shared" si="24"/>
        <v>0</v>
      </c>
      <c r="E149" s="1294">
        <v>35</v>
      </c>
      <c r="F149" s="1295">
        <f t="shared" si="25"/>
        <v>0</v>
      </c>
      <c r="G149" s="1296">
        <v>35</v>
      </c>
      <c r="H149" s="1297">
        <f t="shared" si="26"/>
        <v>0</v>
      </c>
      <c r="I149" s="1298">
        <v>35</v>
      </c>
      <c r="J149" s="1299">
        <f t="shared" si="27"/>
        <v>0</v>
      </c>
      <c r="K149" s="1300">
        <v>35</v>
      </c>
      <c r="L149" s="1301">
        <f t="shared" si="28"/>
        <v>0</v>
      </c>
      <c r="M149" s="932"/>
      <c r="N149" s="932"/>
      <c r="O149" s="932"/>
      <c r="P149" s="2953" t="s">
        <v>896</v>
      </c>
      <c r="Q149" s="2954"/>
      <c r="R149" s="1305">
        <f t="shared" si="23"/>
        <v>0</v>
      </c>
      <c r="S149" s="1194"/>
      <c r="T149" s="1194"/>
      <c r="U149" s="1194"/>
      <c r="V149" s="1194"/>
      <c r="Y149" s="1194"/>
      <c r="Z149" s="1194"/>
      <c r="AA149" s="1194"/>
      <c r="AB149" s="1194"/>
      <c r="AC149" s="1194"/>
      <c r="AD149" s="2158">
        <v>1181833</v>
      </c>
      <c r="AE149" s="1306">
        <f t="shared" si="17"/>
        <v>0</v>
      </c>
      <c r="AF149" s="1194"/>
      <c r="AG149" s="1194"/>
      <c r="AH149" s="1194"/>
      <c r="AI149" s="1194"/>
      <c r="AJ149" s="1194"/>
      <c r="AK149" s="1194"/>
      <c r="AL149" s="1194"/>
    </row>
    <row r="150" spans="1:38" s="218" customFormat="1" ht="18" hidden="1">
      <c r="A150" s="441"/>
      <c r="B150" s="175"/>
      <c r="C150" s="1292">
        <v>50</v>
      </c>
      <c r="D150" s="1323">
        <f t="shared" si="24"/>
        <v>0</v>
      </c>
      <c r="E150" s="1294">
        <v>50</v>
      </c>
      <c r="F150" s="1295">
        <f t="shared" si="25"/>
        <v>0</v>
      </c>
      <c r="G150" s="1296">
        <v>50</v>
      </c>
      <c r="H150" s="1297">
        <f t="shared" si="26"/>
        <v>0</v>
      </c>
      <c r="I150" s="1298">
        <v>50</v>
      </c>
      <c r="J150" s="1299">
        <f t="shared" si="27"/>
        <v>0</v>
      </c>
      <c r="K150" s="1300">
        <v>50</v>
      </c>
      <c r="L150" s="1301">
        <f t="shared" si="28"/>
        <v>0</v>
      </c>
      <c r="M150" s="932"/>
      <c r="N150" s="932"/>
      <c r="O150" s="932"/>
      <c r="P150" s="2953" t="s">
        <v>786</v>
      </c>
      <c r="Q150" s="2954"/>
      <c r="R150" s="1305">
        <f t="shared" si="23"/>
        <v>0</v>
      </c>
      <c r="S150" s="1194"/>
      <c r="T150" s="1194"/>
      <c r="U150" s="1194"/>
      <c r="V150" s="1194"/>
      <c r="Y150" s="1194"/>
      <c r="Z150" s="1194"/>
      <c r="AA150" s="1194"/>
      <c r="AB150" s="1194"/>
      <c r="AC150" s="1194"/>
      <c r="AD150" s="2158">
        <v>1200844</v>
      </c>
      <c r="AE150" s="1306">
        <f t="shared" si="17"/>
        <v>0</v>
      </c>
      <c r="AF150" s="1194"/>
      <c r="AG150" s="1194"/>
      <c r="AH150" s="1194"/>
      <c r="AI150" s="1194"/>
      <c r="AJ150" s="1194"/>
      <c r="AK150" s="1194"/>
      <c r="AL150" s="1194"/>
    </row>
    <row r="151" spans="1:38" s="218" customFormat="1" ht="18" hidden="1">
      <c r="A151" s="441"/>
      <c r="B151" s="175"/>
      <c r="C151" s="1292">
        <v>70</v>
      </c>
      <c r="D151" s="1323">
        <f t="shared" si="24"/>
        <v>0</v>
      </c>
      <c r="E151" s="1294">
        <v>70</v>
      </c>
      <c r="F151" s="1295">
        <f t="shared" si="25"/>
        <v>0</v>
      </c>
      <c r="G151" s="1296">
        <v>70</v>
      </c>
      <c r="H151" s="1297">
        <f t="shared" si="26"/>
        <v>0</v>
      </c>
      <c r="I151" s="1298">
        <v>70</v>
      </c>
      <c r="J151" s="1299">
        <f t="shared" si="27"/>
        <v>0</v>
      </c>
      <c r="K151" s="1300">
        <v>70</v>
      </c>
      <c r="L151" s="1301">
        <f t="shared" si="28"/>
        <v>0</v>
      </c>
      <c r="M151" s="932"/>
      <c r="N151" s="932"/>
      <c r="O151" s="932"/>
      <c r="P151" s="2953" t="s">
        <v>787</v>
      </c>
      <c r="Q151" s="2954"/>
      <c r="R151" s="1305">
        <f t="shared" si="23"/>
        <v>0</v>
      </c>
      <c r="S151" s="1194"/>
      <c r="T151" s="1194"/>
      <c r="U151" s="1194"/>
      <c r="V151" s="1194"/>
      <c r="Y151" s="1194"/>
      <c r="Z151" s="1194"/>
      <c r="AA151" s="1194"/>
      <c r="AB151" s="1194"/>
      <c r="AC151" s="1194"/>
      <c r="AD151" s="2158">
        <v>1242041</v>
      </c>
      <c r="AE151" s="1306">
        <f t="shared" si="17"/>
        <v>0</v>
      </c>
      <c r="AF151" s="1194"/>
      <c r="AG151" s="1194"/>
      <c r="AH151" s="1194"/>
      <c r="AI151" s="1194"/>
      <c r="AJ151" s="1194"/>
      <c r="AK151" s="1194"/>
      <c r="AL151" s="1194"/>
    </row>
    <row r="152" spans="1:38" s="218" customFormat="1" ht="18.600000000000001" hidden="1" thickBot="1">
      <c r="A152" s="441"/>
      <c r="B152" s="175"/>
      <c r="C152" s="1292">
        <v>95</v>
      </c>
      <c r="D152" s="1323">
        <f t="shared" si="24"/>
        <v>0</v>
      </c>
      <c r="E152" s="1294">
        <v>95</v>
      </c>
      <c r="F152" s="1295">
        <f t="shared" si="25"/>
        <v>0</v>
      </c>
      <c r="G152" s="1296">
        <v>95</v>
      </c>
      <c r="H152" s="1297">
        <f t="shared" si="26"/>
        <v>0</v>
      </c>
      <c r="I152" s="1298">
        <v>95</v>
      </c>
      <c r="J152" s="1299">
        <f t="shared" si="27"/>
        <v>0</v>
      </c>
      <c r="K152" s="1300">
        <v>95</v>
      </c>
      <c r="L152" s="1301">
        <f t="shared" si="28"/>
        <v>0</v>
      </c>
      <c r="M152" s="932"/>
      <c r="N152" s="932"/>
      <c r="O152" s="932"/>
      <c r="P152" s="2966" t="s">
        <v>793</v>
      </c>
      <c r="Q152" s="2967"/>
      <c r="R152" s="1308">
        <f t="shared" si="23"/>
        <v>0</v>
      </c>
      <c r="S152" s="1194"/>
      <c r="T152" s="1194"/>
      <c r="U152" s="1194"/>
      <c r="V152" s="1194"/>
      <c r="Y152" s="1194"/>
      <c r="Z152" s="1194"/>
      <c r="AA152" s="1194"/>
      <c r="AB152" s="1194"/>
      <c r="AC152" s="1194"/>
      <c r="AD152" s="2158">
        <v>1304160</v>
      </c>
      <c r="AE152" s="1306">
        <f t="shared" si="17"/>
        <v>0</v>
      </c>
      <c r="AF152" s="1194"/>
      <c r="AG152" s="1194"/>
      <c r="AH152" s="1194"/>
      <c r="AI152" s="1194"/>
      <c r="AJ152" s="1194"/>
      <c r="AK152" s="1194"/>
      <c r="AL152" s="1194"/>
    </row>
    <row r="153" spans="1:38" s="218" customFormat="1" ht="18.600000000000001" hidden="1" thickBot="1">
      <c r="A153" s="441"/>
      <c r="B153" s="175"/>
      <c r="C153" s="1292">
        <v>120</v>
      </c>
      <c r="D153" s="1323">
        <f t="shared" si="24"/>
        <v>0</v>
      </c>
      <c r="E153" s="1294">
        <v>120</v>
      </c>
      <c r="F153" s="1295">
        <f t="shared" si="25"/>
        <v>0</v>
      </c>
      <c r="G153" s="1296">
        <v>120</v>
      </c>
      <c r="H153" s="1297">
        <f t="shared" si="26"/>
        <v>0</v>
      </c>
      <c r="I153" s="1298">
        <v>120</v>
      </c>
      <c r="J153" s="1299">
        <f t="shared" si="27"/>
        <v>0</v>
      </c>
      <c r="K153" s="1300">
        <v>120</v>
      </c>
      <c r="L153" s="1301">
        <f t="shared" si="28"/>
        <v>0</v>
      </c>
      <c r="M153" s="932"/>
      <c r="N153" s="932"/>
      <c r="O153" s="932"/>
      <c r="P153" s="932"/>
      <c r="Q153" s="932"/>
      <c r="R153" s="932"/>
      <c r="S153" s="1280"/>
      <c r="T153" s="1280"/>
      <c r="U153" s="1280"/>
      <c r="V153" s="1280"/>
      <c r="W153" s="1194"/>
      <c r="X153" s="1194"/>
      <c r="Y153" s="1194"/>
      <c r="Z153" s="1194"/>
      <c r="AA153" s="1194"/>
      <c r="AB153" s="1194"/>
      <c r="AC153" s="1194"/>
      <c r="AD153" s="2158">
        <v>1346116</v>
      </c>
      <c r="AE153" s="1306">
        <f t="shared" si="17"/>
        <v>0</v>
      </c>
      <c r="AF153" s="1194"/>
      <c r="AG153" s="1194"/>
      <c r="AH153" s="1194"/>
      <c r="AI153" s="1194"/>
      <c r="AJ153" s="1194"/>
      <c r="AK153" s="1194"/>
      <c r="AL153" s="1194"/>
    </row>
    <row r="154" spans="1:38" s="218" customFormat="1" ht="18.600000000000001" hidden="1" thickBot="1">
      <c r="A154" s="441"/>
      <c r="B154" s="175"/>
      <c r="C154" s="1292">
        <v>150</v>
      </c>
      <c r="D154" s="1323">
        <f t="shared" si="24"/>
        <v>0</v>
      </c>
      <c r="E154" s="1294">
        <v>150</v>
      </c>
      <c r="F154" s="1295">
        <f t="shared" si="25"/>
        <v>0</v>
      </c>
      <c r="G154" s="1296">
        <v>150</v>
      </c>
      <c r="H154" s="1297">
        <f t="shared" si="26"/>
        <v>0</v>
      </c>
      <c r="I154" s="1298">
        <v>150</v>
      </c>
      <c r="J154" s="1299">
        <f t="shared" si="27"/>
        <v>0</v>
      </c>
      <c r="K154" s="1300">
        <v>150</v>
      </c>
      <c r="L154" s="1301">
        <f t="shared" si="28"/>
        <v>0</v>
      </c>
      <c r="M154" s="932"/>
      <c r="N154" s="932"/>
      <c r="O154" s="932"/>
      <c r="P154" s="932"/>
      <c r="Q154" s="932"/>
      <c r="R154" s="932"/>
      <c r="S154" s="1280"/>
      <c r="T154" s="1280"/>
      <c r="U154" s="1280"/>
      <c r="V154" s="1280"/>
      <c r="W154" s="2963" t="s">
        <v>897</v>
      </c>
      <c r="X154" s="2964"/>
      <c r="Y154" s="2964"/>
      <c r="Z154" s="2964"/>
      <c r="AA154" s="2965"/>
      <c r="AB154" s="1194"/>
      <c r="AC154" s="1194"/>
      <c r="AD154" s="2158">
        <v>1397881</v>
      </c>
      <c r="AE154" s="1306">
        <f t="shared" si="17"/>
        <v>0</v>
      </c>
      <c r="AF154" s="1194"/>
      <c r="AG154" s="1194"/>
      <c r="AH154" s="1194"/>
      <c r="AI154" s="1194"/>
      <c r="AJ154" s="1194"/>
      <c r="AK154" s="1194"/>
      <c r="AL154" s="1194"/>
    </row>
    <row r="155" spans="1:38" s="218" customFormat="1" ht="18.600000000000001" hidden="1" thickBot="1">
      <c r="A155" s="441"/>
      <c r="B155" s="175"/>
      <c r="C155" s="1292">
        <v>185</v>
      </c>
      <c r="D155" s="1323">
        <f t="shared" si="24"/>
        <v>0</v>
      </c>
      <c r="E155" s="1294">
        <v>185</v>
      </c>
      <c r="F155" s="1295">
        <f t="shared" si="25"/>
        <v>0</v>
      </c>
      <c r="G155" s="1296">
        <v>185</v>
      </c>
      <c r="H155" s="1297">
        <f t="shared" si="26"/>
        <v>0</v>
      </c>
      <c r="I155" s="1298">
        <v>185</v>
      </c>
      <c r="J155" s="1299">
        <f t="shared" si="27"/>
        <v>0</v>
      </c>
      <c r="K155" s="1300">
        <v>185</v>
      </c>
      <c r="L155" s="1301">
        <f t="shared" si="28"/>
        <v>0</v>
      </c>
      <c r="M155" s="932"/>
      <c r="N155" s="932"/>
      <c r="O155" s="932"/>
      <c r="P155" s="932"/>
      <c r="Q155" s="932"/>
      <c r="R155" s="932"/>
      <c r="S155" s="1280"/>
      <c r="T155" s="1280"/>
      <c r="U155" s="1280"/>
      <c r="V155" s="1280"/>
      <c r="W155" s="2961" t="s">
        <v>892</v>
      </c>
      <c r="X155" s="2962"/>
      <c r="Y155" s="1325">
        <f>$R$145+$R$157</f>
        <v>190</v>
      </c>
      <c r="Z155" s="1325" t="s">
        <v>729</v>
      </c>
      <c r="AA155" s="1326">
        <f>$X$124+$X$130+$X$136+X142</f>
        <v>1024</v>
      </c>
      <c r="AB155" s="1194"/>
      <c r="AC155" s="1194"/>
      <c r="AD155" s="2158">
        <v>1450824</v>
      </c>
      <c r="AE155" s="1306">
        <f t="shared" si="17"/>
        <v>0</v>
      </c>
      <c r="AF155" s="1194"/>
      <c r="AG155" s="1194"/>
      <c r="AH155" s="1194"/>
      <c r="AI155" s="1194"/>
      <c r="AJ155" s="1194"/>
      <c r="AK155" s="1194"/>
      <c r="AL155" s="1194"/>
    </row>
    <row r="156" spans="1:38" s="218" customFormat="1" ht="18.600000000000001" hidden="1" thickBot="1">
      <c r="A156" s="441"/>
      <c r="B156" s="175"/>
      <c r="C156" s="1292">
        <v>240</v>
      </c>
      <c r="D156" s="1323">
        <f t="shared" si="24"/>
        <v>0</v>
      </c>
      <c r="E156" s="1294">
        <v>240</v>
      </c>
      <c r="F156" s="1295">
        <f t="shared" si="25"/>
        <v>0</v>
      </c>
      <c r="G156" s="1296">
        <v>240</v>
      </c>
      <c r="H156" s="1297">
        <f t="shared" si="26"/>
        <v>0</v>
      </c>
      <c r="I156" s="1298">
        <v>240</v>
      </c>
      <c r="J156" s="1299">
        <f t="shared" si="27"/>
        <v>0</v>
      </c>
      <c r="K156" s="1300">
        <v>240</v>
      </c>
      <c r="L156" s="1301">
        <f t="shared" si="28"/>
        <v>0</v>
      </c>
      <c r="M156" s="932"/>
      <c r="N156" s="932"/>
      <c r="O156" s="932"/>
      <c r="P156" s="2972" t="s">
        <v>898</v>
      </c>
      <c r="Q156" s="2973"/>
      <c r="R156" s="2974"/>
      <c r="S156" s="1280"/>
      <c r="T156" s="1280"/>
      <c r="U156" s="1280"/>
      <c r="V156" s="1280"/>
      <c r="W156" s="2955" t="s">
        <v>893</v>
      </c>
      <c r="X156" s="2956"/>
      <c r="Y156" s="1327">
        <f>$R$146+$R$158</f>
        <v>0</v>
      </c>
      <c r="Z156" s="1327" t="s">
        <v>730</v>
      </c>
      <c r="AA156" s="1328">
        <f>$X$125+$X$131+$X$137+X143</f>
        <v>120</v>
      </c>
      <c r="AB156" s="1194"/>
      <c r="AC156" s="1194"/>
      <c r="AD156" s="2158">
        <v>1491179</v>
      </c>
      <c r="AE156" s="1306">
        <f t="shared" si="17"/>
        <v>0</v>
      </c>
      <c r="AF156" s="1194"/>
      <c r="AG156" s="1194"/>
      <c r="AH156" s="1194"/>
      <c r="AI156" s="1194"/>
      <c r="AJ156" s="1194"/>
      <c r="AK156" s="1194"/>
      <c r="AL156" s="1194"/>
    </row>
    <row r="157" spans="1:38" s="218" customFormat="1" ht="18.600000000000001" hidden="1" thickBot="1">
      <c r="A157" s="441"/>
      <c r="B157" s="175"/>
      <c r="C157" s="1310">
        <v>300</v>
      </c>
      <c r="D157" s="1324">
        <f t="shared" si="24"/>
        <v>0</v>
      </c>
      <c r="E157" s="1312">
        <v>300</v>
      </c>
      <c r="F157" s="1313">
        <f t="shared" si="25"/>
        <v>0</v>
      </c>
      <c r="G157" s="1314">
        <v>300</v>
      </c>
      <c r="H157" s="1315">
        <f t="shared" si="26"/>
        <v>0</v>
      </c>
      <c r="I157" s="1316">
        <v>300</v>
      </c>
      <c r="J157" s="1317">
        <f t="shared" si="27"/>
        <v>0</v>
      </c>
      <c r="K157" s="1318">
        <v>300</v>
      </c>
      <c r="L157" s="1319">
        <f t="shared" si="28"/>
        <v>0</v>
      </c>
      <c r="M157" s="932"/>
      <c r="N157" s="932"/>
      <c r="O157" s="932"/>
      <c r="P157" s="2970" t="s">
        <v>892</v>
      </c>
      <c r="Q157" s="2971"/>
      <c r="R157" s="1305">
        <f t="shared" ref="R157:R163" si="29">IF($AB$61=P157,$AB$60,0)+IF($AB$63=P157,$AB$62,0)+IF($AB$65=P157,$AB$64,0)+IF($AB$67=P157,$AB$66,0)+IF($AB$69=P157,$AB$68,0)+IF($AB$71=P157,$AB$70,0)+IF($AB$73=P157,$AB$72,0)+IF($AB$75=P157,$AB$74,0)+IF($AB$77=P157,$AB$76,0)+IF($AB$79=P157,$AB$78,0)+IF($AB$81=P157,$AB$80,0)+IF($AB$83=P157,$AB$82,0)+IF($AB$85=P157,$AB$84,0)+IF($AB$87=P157,$AB$86,0)+IF($AB$89=P157,$AB$88,0)+IF($AB$91=P157,$AB$90,0)+IF($AB$93=P157,$AB$92,0)+IF($AB$95=P157,$AB$94,0)+IF($AB$97=P157,$AB$96,0)+IF($AB$99=P157,$AB$98,0)+IF($AB$101=P157,$AB$100,0)+IF($AB$103=P157,$AB$102,0)+IF($AB$105=P157,$AB$104,0)+IF($AB$107=P157,$AB$106,0)+IF($AB$109=P157,$AB$108,0)+IF($AB$111=P157,$AB$110,0)+IF($AB$113=P157,$AB$112,0)+IF($AB$115=P157,$AB$114,0)+IF($AB$117=P157,$AB$116,0)+IF($AB$119=P157,$AB$118,0)</f>
        <v>170</v>
      </c>
      <c r="S157" s="1280"/>
      <c r="T157" s="1280"/>
      <c r="U157" s="1280"/>
      <c r="V157" s="1280"/>
      <c r="W157" s="2955" t="s">
        <v>894</v>
      </c>
      <c r="X157" s="2956"/>
      <c r="Y157" s="1327">
        <f>$R$147+$R$159</f>
        <v>220</v>
      </c>
      <c r="Z157" s="1327" t="s">
        <v>879</v>
      </c>
      <c r="AA157" s="1328">
        <f>$X$126+$X$132+$X$138+X144</f>
        <v>0</v>
      </c>
      <c r="AB157" s="1194"/>
      <c r="AC157" s="1194"/>
      <c r="AD157" s="2158">
        <v>1544169</v>
      </c>
      <c r="AE157" s="1306">
        <f t="shared" si="17"/>
        <v>0</v>
      </c>
      <c r="AF157" s="1194"/>
      <c r="AG157" s="1194"/>
      <c r="AH157" s="1194"/>
      <c r="AI157" s="1194"/>
      <c r="AJ157" s="1194"/>
      <c r="AK157" s="1194"/>
      <c r="AL157" s="1194"/>
    </row>
    <row r="158" spans="1:38" s="218" customFormat="1" ht="18.600000000000001" hidden="1" thickBot="1">
      <c r="A158" s="441"/>
      <c r="B158" s="175"/>
      <c r="C158" s="2949">
        <f>B90</f>
        <v>0</v>
      </c>
      <c r="D158" s="2950"/>
      <c r="E158" s="2952">
        <f>B92</f>
        <v>0</v>
      </c>
      <c r="F158" s="2952"/>
      <c r="G158" s="2951">
        <f>B94</f>
        <v>0</v>
      </c>
      <c r="H158" s="2951"/>
      <c r="I158" s="2951">
        <f>B96</f>
        <v>0</v>
      </c>
      <c r="J158" s="2951"/>
      <c r="K158" s="2951">
        <f>B98</f>
        <v>0</v>
      </c>
      <c r="L158" s="2981"/>
      <c r="M158" s="932"/>
      <c r="N158" s="932"/>
      <c r="O158" s="932"/>
      <c r="P158" s="2953" t="s">
        <v>893</v>
      </c>
      <c r="Q158" s="2954"/>
      <c r="R158" s="1305">
        <f t="shared" si="29"/>
        <v>0</v>
      </c>
      <c r="S158" s="1280"/>
      <c r="T158" s="1280"/>
      <c r="U158" s="1280"/>
      <c r="V158" s="1280"/>
      <c r="W158" s="2955" t="s">
        <v>895</v>
      </c>
      <c r="X158" s="2956"/>
      <c r="Y158" s="1327">
        <f>$R$148+$R$160</f>
        <v>0</v>
      </c>
      <c r="Z158" s="1327" t="s">
        <v>881</v>
      </c>
      <c r="AA158" s="1328">
        <f>$X$127+$X$133+$X$139+X145</f>
        <v>0</v>
      </c>
      <c r="AB158" s="1194"/>
      <c r="AC158" s="1194"/>
      <c r="AD158" s="2158">
        <v>1624169</v>
      </c>
      <c r="AE158" s="1306">
        <f t="shared" si="17"/>
        <v>0</v>
      </c>
      <c r="AF158" s="1194"/>
      <c r="AG158" s="1194"/>
      <c r="AH158" s="1194"/>
      <c r="AI158" s="1194"/>
      <c r="AJ158" s="1194"/>
      <c r="AK158" s="1194"/>
      <c r="AL158" s="1194"/>
    </row>
    <row r="159" spans="1:38" s="218" customFormat="1" ht="18" hidden="1">
      <c r="A159" s="441"/>
      <c r="B159" s="175"/>
      <c r="C159" s="1281">
        <v>16</v>
      </c>
      <c r="D159" s="1321">
        <f t="shared" ref="D159:D169" si="30">SUMIF($D$91:$R$91,P170,$D$90:$R$90)</f>
        <v>0</v>
      </c>
      <c r="E159" s="1283">
        <v>16</v>
      </c>
      <c r="F159" s="1284">
        <f t="shared" ref="F159:F169" si="31">SUMIF($D$93:$R$93,P170,$D$92:$R$92)</f>
        <v>0</v>
      </c>
      <c r="G159" s="1285">
        <v>16</v>
      </c>
      <c r="H159" s="1286">
        <f t="shared" ref="H159:H169" si="32">SUMIF($D$95:$R$95,P170,$D$94:$R$94)</f>
        <v>0</v>
      </c>
      <c r="I159" s="1287">
        <v>16</v>
      </c>
      <c r="J159" s="1288">
        <f t="shared" ref="J159:J169" si="33">SUMIF($D$97:$R$97,P170,$D$96:$R$96)</f>
        <v>0</v>
      </c>
      <c r="K159" s="1289">
        <v>16</v>
      </c>
      <c r="L159" s="1290">
        <f t="shared" ref="L159:L169" si="34">SUMIF($D$99:$R$99,P170,$D$98:$R$98)</f>
        <v>0</v>
      </c>
      <c r="M159" s="932"/>
      <c r="N159" s="932"/>
      <c r="O159" s="932"/>
      <c r="P159" s="2953" t="s">
        <v>894</v>
      </c>
      <c r="Q159" s="2954"/>
      <c r="R159" s="1305">
        <f t="shared" si="29"/>
        <v>220</v>
      </c>
      <c r="S159" s="1280"/>
      <c r="T159" s="1280"/>
      <c r="U159" s="1280"/>
      <c r="V159" s="1280"/>
      <c r="W159" s="2955" t="s">
        <v>896</v>
      </c>
      <c r="X159" s="2956"/>
      <c r="Y159" s="1327">
        <f>$R$149+$R$161</f>
        <v>0</v>
      </c>
      <c r="Z159" s="1327" t="s">
        <v>899</v>
      </c>
      <c r="AA159" s="1328">
        <f>SUMIF($AO$25:$AO$54,$Z$159,$AN$25:$AN$54)</f>
        <v>0</v>
      </c>
      <c r="AB159" s="1194"/>
      <c r="AC159" s="1194"/>
      <c r="AD159" s="1291" t="s">
        <v>216</v>
      </c>
      <c r="AE159" s="1412">
        <f>IF(G55&lt;1,0,SUM(AE126:AE158))</f>
        <v>344336</v>
      </c>
      <c r="AF159" s="1194"/>
      <c r="AG159" s="1194"/>
      <c r="AH159" s="1194"/>
      <c r="AI159" s="1194"/>
      <c r="AJ159" s="1194"/>
      <c r="AK159" s="1194"/>
      <c r="AL159" s="1194"/>
    </row>
    <row r="160" spans="1:38" s="218" customFormat="1" ht="18" hidden="1">
      <c r="A160" s="441"/>
      <c r="B160" s="175"/>
      <c r="C160" s="1292">
        <v>25</v>
      </c>
      <c r="D160" s="1323">
        <f t="shared" si="30"/>
        <v>0</v>
      </c>
      <c r="E160" s="1294">
        <v>25</v>
      </c>
      <c r="F160" s="1295">
        <f t="shared" si="31"/>
        <v>0</v>
      </c>
      <c r="G160" s="1296">
        <v>25</v>
      </c>
      <c r="H160" s="1297">
        <f t="shared" si="32"/>
        <v>0</v>
      </c>
      <c r="I160" s="1298">
        <v>25</v>
      </c>
      <c r="J160" s="1299">
        <f t="shared" si="33"/>
        <v>0</v>
      </c>
      <c r="K160" s="1300">
        <v>25</v>
      </c>
      <c r="L160" s="1301">
        <f t="shared" si="34"/>
        <v>0</v>
      </c>
      <c r="M160" s="932"/>
      <c r="N160" s="932"/>
      <c r="O160" s="932"/>
      <c r="P160" s="2953" t="s">
        <v>895</v>
      </c>
      <c r="Q160" s="2954"/>
      <c r="R160" s="1305">
        <f t="shared" si="29"/>
        <v>0</v>
      </c>
      <c r="S160" s="1280"/>
      <c r="T160" s="1280"/>
      <c r="U160" s="1280"/>
      <c r="V160" s="1280"/>
      <c r="W160" s="2955" t="s">
        <v>786</v>
      </c>
      <c r="X160" s="2956"/>
      <c r="Y160" s="1327">
        <f>$R$150+$R$162</f>
        <v>0</v>
      </c>
      <c r="Z160" s="1327" t="s">
        <v>900</v>
      </c>
      <c r="AA160" s="1328">
        <f>SUMIF($AO$25:$AO$54,$Z$160,$AN$25:$AN$54)</f>
        <v>0</v>
      </c>
      <c r="AB160" s="1194"/>
      <c r="AC160" s="1194"/>
      <c r="AD160" s="1329" t="s">
        <v>901</v>
      </c>
      <c r="AE160" s="1330">
        <f>AO93/G55/1000</f>
        <v>0</v>
      </c>
      <c r="AF160" s="1194"/>
      <c r="AG160" s="1194"/>
      <c r="AH160" s="1194"/>
      <c r="AI160" s="1194"/>
      <c r="AJ160" s="1194"/>
      <c r="AK160" s="1194"/>
      <c r="AL160" s="1194"/>
    </row>
    <row r="161" spans="1:38" s="218" customFormat="1" ht="18.600000000000001" hidden="1" thickBot="1">
      <c r="A161" s="441"/>
      <c r="B161" s="175"/>
      <c r="C161" s="1292">
        <v>35</v>
      </c>
      <c r="D161" s="1323">
        <f t="shared" si="30"/>
        <v>0</v>
      </c>
      <c r="E161" s="1294">
        <v>35</v>
      </c>
      <c r="F161" s="1295">
        <f t="shared" si="31"/>
        <v>0</v>
      </c>
      <c r="G161" s="1296">
        <v>35</v>
      </c>
      <c r="H161" s="1297">
        <f t="shared" si="32"/>
        <v>0</v>
      </c>
      <c r="I161" s="1298">
        <v>35</v>
      </c>
      <c r="J161" s="1299">
        <f t="shared" si="33"/>
        <v>0</v>
      </c>
      <c r="K161" s="1300">
        <v>35</v>
      </c>
      <c r="L161" s="1301">
        <f t="shared" si="34"/>
        <v>0</v>
      </c>
      <c r="M161" s="932"/>
      <c r="N161" s="932"/>
      <c r="O161" s="932"/>
      <c r="P161" s="2953" t="s">
        <v>896</v>
      </c>
      <c r="Q161" s="2954"/>
      <c r="R161" s="1305">
        <f t="shared" si="29"/>
        <v>0</v>
      </c>
      <c r="S161" s="1280"/>
      <c r="T161" s="1280"/>
      <c r="U161" s="1280"/>
      <c r="V161" s="1280"/>
      <c r="W161" s="2955" t="s">
        <v>787</v>
      </c>
      <c r="X161" s="2956"/>
      <c r="Y161" s="1327">
        <f>$R$151+$R$163</f>
        <v>0</v>
      </c>
      <c r="Z161" s="1331" t="s">
        <v>902</v>
      </c>
      <c r="AA161" s="1332">
        <f>SUM($AP$25:$AP$54)</f>
        <v>350</v>
      </c>
      <c r="AB161" s="1194"/>
      <c r="AC161" s="1194"/>
      <c r="AD161" s="1194"/>
      <c r="AE161" s="1194"/>
      <c r="AF161" s="1194"/>
      <c r="AG161" s="1194"/>
      <c r="AH161" s="1194"/>
      <c r="AI161" s="1194"/>
      <c r="AJ161" s="1194"/>
      <c r="AK161" s="1194"/>
      <c r="AL161" s="1194"/>
    </row>
    <row r="162" spans="1:38" s="218" customFormat="1" ht="18" hidden="1">
      <c r="A162" s="441"/>
      <c r="B162" s="175"/>
      <c r="C162" s="1292">
        <v>50</v>
      </c>
      <c r="D162" s="1323">
        <f t="shared" si="30"/>
        <v>0</v>
      </c>
      <c r="E162" s="1294">
        <v>50</v>
      </c>
      <c r="F162" s="1295">
        <f t="shared" si="31"/>
        <v>0</v>
      </c>
      <c r="G162" s="1296">
        <v>50</v>
      </c>
      <c r="H162" s="1297">
        <f t="shared" si="32"/>
        <v>0</v>
      </c>
      <c r="I162" s="1298">
        <v>50</v>
      </c>
      <c r="J162" s="1299">
        <f t="shared" si="33"/>
        <v>0</v>
      </c>
      <c r="K162" s="1300">
        <v>50</v>
      </c>
      <c r="L162" s="1301">
        <f t="shared" si="34"/>
        <v>0</v>
      </c>
      <c r="M162" s="932"/>
      <c r="N162" s="932"/>
      <c r="O162" s="932"/>
      <c r="P162" s="2953" t="s">
        <v>786</v>
      </c>
      <c r="Q162" s="2954"/>
      <c r="R162" s="1305">
        <f t="shared" si="29"/>
        <v>0</v>
      </c>
      <c r="S162" s="1280"/>
      <c r="T162" s="1280"/>
      <c r="U162" s="1280"/>
      <c r="V162" s="1280"/>
      <c r="W162" s="3149" t="s">
        <v>903</v>
      </c>
      <c r="X162" s="3150"/>
      <c r="Y162" s="1328">
        <f>$R$152</f>
        <v>0</v>
      </c>
      <c r="Z162" s="1280"/>
      <c r="AA162" s="1333"/>
      <c r="AB162" s="1194"/>
      <c r="AC162" s="1194"/>
      <c r="AD162" s="1194"/>
      <c r="AE162" s="1194"/>
      <c r="AF162" s="1194"/>
      <c r="AG162" s="1194"/>
      <c r="AH162" s="1194"/>
      <c r="AI162" s="1194"/>
      <c r="AJ162" s="1194"/>
      <c r="AK162" s="1194"/>
      <c r="AL162" s="1194"/>
    </row>
    <row r="163" spans="1:38" s="218" customFormat="1" ht="18.600000000000001" hidden="1" thickBot="1">
      <c r="A163" s="441"/>
      <c r="B163" s="175"/>
      <c r="C163" s="1292">
        <v>70</v>
      </c>
      <c r="D163" s="1323">
        <f t="shared" si="30"/>
        <v>0</v>
      </c>
      <c r="E163" s="1294">
        <v>70</v>
      </c>
      <c r="F163" s="1295">
        <f t="shared" si="31"/>
        <v>0</v>
      </c>
      <c r="G163" s="1296">
        <v>70</v>
      </c>
      <c r="H163" s="1297">
        <f t="shared" si="32"/>
        <v>0</v>
      </c>
      <c r="I163" s="1298">
        <v>70</v>
      </c>
      <c r="J163" s="1299">
        <f t="shared" si="33"/>
        <v>0</v>
      </c>
      <c r="K163" s="1300">
        <v>70</v>
      </c>
      <c r="L163" s="1301">
        <f t="shared" si="34"/>
        <v>0</v>
      </c>
      <c r="M163" s="932"/>
      <c r="N163" s="932"/>
      <c r="O163" s="932"/>
      <c r="P163" s="2953" t="s">
        <v>787</v>
      </c>
      <c r="Q163" s="2954"/>
      <c r="R163" s="1305">
        <f t="shared" si="29"/>
        <v>0</v>
      </c>
      <c r="S163" s="1280"/>
      <c r="T163" s="1280"/>
      <c r="U163" s="1280"/>
      <c r="V163" s="1280"/>
      <c r="W163" s="2959" t="s">
        <v>904</v>
      </c>
      <c r="X163" s="2960"/>
      <c r="Y163" s="1332">
        <f>$R$164</f>
        <v>0</v>
      </c>
      <c r="Z163" s="1280"/>
      <c r="AA163" s="1333"/>
      <c r="AB163" s="1194"/>
      <c r="AC163" s="1194"/>
      <c r="AD163" s="1194"/>
      <c r="AE163" s="1194"/>
      <c r="AF163" s="1194"/>
      <c r="AG163" s="1194"/>
      <c r="AH163" s="1194"/>
      <c r="AI163" s="1194"/>
      <c r="AJ163" s="1194"/>
      <c r="AK163" s="1194"/>
      <c r="AL163" s="1194"/>
    </row>
    <row r="164" spans="1:38" s="218" customFormat="1" ht="18.600000000000001" hidden="1" thickBot="1">
      <c r="A164" s="441"/>
      <c r="B164" s="175"/>
      <c r="C164" s="1292">
        <v>95</v>
      </c>
      <c r="D164" s="1323">
        <f t="shared" si="30"/>
        <v>0</v>
      </c>
      <c r="E164" s="1294">
        <v>95</v>
      </c>
      <c r="F164" s="1295">
        <f t="shared" si="31"/>
        <v>0</v>
      </c>
      <c r="G164" s="1296">
        <v>95</v>
      </c>
      <c r="H164" s="1297">
        <f t="shared" si="32"/>
        <v>0</v>
      </c>
      <c r="I164" s="1298">
        <v>95</v>
      </c>
      <c r="J164" s="1299">
        <f t="shared" si="33"/>
        <v>0</v>
      </c>
      <c r="K164" s="1300">
        <v>95</v>
      </c>
      <c r="L164" s="1301">
        <f t="shared" si="34"/>
        <v>0</v>
      </c>
      <c r="M164" s="932"/>
      <c r="N164" s="932"/>
      <c r="O164" s="932"/>
      <c r="P164" s="2966" t="s">
        <v>793</v>
      </c>
      <c r="Q164" s="2967"/>
      <c r="R164" s="1320">
        <f>SUM(AC60:AC119)</f>
        <v>0</v>
      </c>
      <c r="S164" s="1280"/>
      <c r="T164" s="1280"/>
      <c r="U164" s="1280"/>
      <c r="V164" s="1280"/>
      <c r="W164" s="1194"/>
      <c r="X164" s="1194"/>
      <c r="Y164" s="1194"/>
      <c r="Z164" s="1194"/>
      <c r="AA164" s="1194"/>
      <c r="AB164" s="1194"/>
      <c r="AC164" s="1194"/>
      <c r="AD164" s="1194"/>
      <c r="AE164" s="1194"/>
      <c r="AF164" s="1194"/>
      <c r="AG164" s="1194"/>
      <c r="AH164" s="1194"/>
      <c r="AI164" s="1194"/>
      <c r="AJ164" s="1194"/>
      <c r="AK164" s="1194"/>
      <c r="AL164" s="1194"/>
    </row>
    <row r="165" spans="1:38" s="218" customFormat="1" ht="18" hidden="1">
      <c r="A165" s="441"/>
      <c r="B165" s="175"/>
      <c r="C165" s="1292">
        <v>120</v>
      </c>
      <c r="D165" s="1323">
        <f t="shared" si="30"/>
        <v>0</v>
      </c>
      <c r="E165" s="1294">
        <v>120</v>
      </c>
      <c r="F165" s="1295">
        <f t="shared" si="31"/>
        <v>0</v>
      </c>
      <c r="G165" s="1296">
        <v>120</v>
      </c>
      <c r="H165" s="1297">
        <f t="shared" si="32"/>
        <v>0</v>
      </c>
      <c r="I165" s="1298">
        <v>120</v>
      </c>
      <c r="J165" s="1299">
        <f t="shared" si="33"/>
        <v>0</v>
      </c>
      <c r="K165" s="1300">
        <v>120</v>
      </c>
      <c r="L165" s="1301">
        <f t="shared" si="34"/>
        <v>0</v>
      </c>
      <c r="M165" s="932"/>
      <c r="N165" s="932"/>
      <c r="O165" s="932"/>
      <c r="P165" s="932"/>
      <c r="Q165" s="932"/>
      <c r="R165" s="932"/>
      <c r="S165" s="1280"/>
      <c r="T165" s="1280"/>
      <c r="U165" s="1280"/>
      <c r="V165" s="1280"/>
      <c r="W165" s="1194"/>
      <c r="X165" s="1194"/>
      <c r="Y165" s="1194"/>
      <c r="Z165" s="1194"/>
      <c r="AA165" s="1194"/>
      <c r="AB165" s="1194"/>
      <c r="AC165" s="1194"/>
      <c r="AD165" s="1194"/>
      <c r="AE165" s="1194"/>
      <c r="AF165" s="1194"/>
      <c r="AG165" s="1194"/>
      <c r="AH165" s="1194"/>
      <c r="AI165" s="1194"/>
      <c r="AJ165" s="1194"/>
      <c r="AK165" s="1194"/>
      <c r="AL165" s="1194"/>
    </row>
    <row r="166" spans="1:38" s="218" customFormat="1" ht="18.600000000000001" hidden="1" thickBot="1">
      <c r="A166" s="441"/>
      <c r="B166" s="175"/>
      <c r="C166" s="1292">
        <v>150</v>
      </c>
      <c r="D166" s="1323">
        <f t="shared" si="30"/>
        <v>0</v>
      </c>
      <c r="E166" s="1294">
        <v>150</v>
      </c>
      <c r="F166" s="1295">
        <f t="shared" si="31"/>
        <v>0</v>
      </c>
      <c r="G166" s="1296">
        <v>150</v>
      </c>
      <c r="H166" s="1297">
        <f t="shared" si="32"/>
        <v>0</v>
      </c>
      <c r="I166" s="1298">
        <v>150</v>
      </c>
      <c r="J166" s="1299">
        <f t="shared" si="33"/>
        <v>0</v>
      </c>
      <c r="K166" s="1300">
        <v>150</v>
      </c>
      <c r="L166" s="1301">
        <f t="shared" si="34"/>
        <v>0</v>
      </c>
      <c r="M166" s="932"/>
      <c r="N166" s="932"/>
      <c r="O166" s="932"/>
      <c r="P166" s="932"/>
      <c r="Q166" s="932"/>
      <c r="R166" s="932"/>
      <c r="S166" s="1280"/>
      <c r="T166" s="1280"/>
      <c r="U166" s="1280"/>
      <c r="V166" s="1280"/>
      <c r="W166" s="1194"/>
      <c r="X166" s="1194"/>
      <c r="Y166" s="1194"/>
      <c r="Z166" s="1194"/>
      <c r="AA166" s="1194" t="str">
        <f>'Input''s from BD(Sales)'!B64</f>
        <v>Net Metering/Net Billing</v>
      </c>
      <c r="AB166" s="1194"/>
      <c r="AC166" s="1194"/>
      <c r="AD166" s="1194"/>
      <c r="AE166" s="1194"/>
      <c r="AF166" s="1194"/>
      <c r="AG166" s="1194"/>
      <c r="AH166" s="1194"/>
      <c r="AI166" s="1194"/>
      <c r="AJ166" s="1194"/>
      <c r="AK166" s="1194"/>
      <c r="AL166" s="1194"/>
    </row>
    <row r="167" spans="1:38" s="218" customFormat="1" ht="20.399999999999999" hidden="1" thickBot="1">
      <c r="A167" s="441"/>
      <c r="B167" s="175"/>
      <c r="C167" s="1292">
        <v>185</v>
      </c>
      <c r="D167" s="1323">
        <f t="shared" si="30"/>
        <v>0</v>
      </c>
      <c r="E167" s="1294">
        <v>185</v>
      </c>
      <c r="F167" s="1295">
        <f t="shared" si="31"/>
        <v>0</v>
      </c>
      <c r="G167" s="1296">
        <v>185</v>
      </c>
      <c r="H167" s="1297">
        <f t="shared" si="32"/>
        <v>0</v>
      </c>
      <c r="I167" s="1298">
        <v>185</v>
      </c>
      <c r="J167" s="1299">
        <f t="shared" si="33"/>
        <v>0</v>
      </c>
      <c r="K167" s="1300">
        <v>185</v>
      </c>
      <c r="L167" s="1301">
        <f t="shared" si="34"/>
        <v>0</v>
      </c>
      <c r="M167" s="932"/>
      <c r="N167" s="932"/>
      <c r="O167" s="932"/>
      <c r="P167" s="932"/>
      <c r="Q167" s="932"/>
      <c r="R167" s="932"/>
      <c r="S167" s="1280"/>
      <c r="T167" s="1280"/>
      <c r="U167" s="1280"/>
      <c r="V167" s="1280"/>
      <c r="W167" s="1194"/>
      <c r="X167" s="1194"/>
      <c r="Y167" s="2133" t="s">
        <v>905</v>
      </c>
      <c r="Z167" s="2134" t="s">
        <v>906</v>
      </c>
      <c r="AA167" s="1194"/>
      <c r="AB167" s="1194"/>
      <c r="AC167" s="1194"/>
      <c r="AD167" s="1194"/>
      <c r="AE167" s="1194"/>
      <c r="AF167" s="1194"/>
      <c r="AG167" s="1194"/>
      <c r="AH167" s="1194"/>
      <c r="AI167" s="1194"/>
      <c r="AJ167" s="1194"/>
      <c r="AK167" s="1194"/>
      <c r="AL167" s="1194"/>
    </row>
    <row r="168" spans="1:38" s="218" customFormat="1" ht="18.600000000000001" hidden="1" thickBot="1">
      <c r="A168" s="441"/>
      <c r="B168" s="175"/>
      <c r="C168" s="1292">
        <v>240</v>
      </c>
      <c r="D168" s="1323">
        <f t="shared" si="30"/>
        <v>0</v>
      </c>
      <c r="E168" s="1294">
        <v>240</v>
      </c>
      <c r="F168" s="1295">
        <f t="shared" si="31"/>
        <v>0</v>
      </c>
      <c r="G168" s="1296">
        <v>240</v>
      </c>
      <c r="H168" s="1297">
        <f t="shared" si="32"/>
        <v>0</v>
      </c>
      <c r="I168" s="1298">
        <v>240</v>
      </c>
      <c r="J168" s="1299">
        <f t="shared" si="33"/>
        <v>0</v>
      </c>
      <c r="K168" s="1300">
        <v>240</v>
      </c>
      <c r="L168" s="1301">
        <f t="shared" si="34"/>
        <v>0</v>
      </c>
      <c r="M168" s="932"/>
      <c r="N168" s="932"/>
      <c r="O168" s="3144" t="s">
        <v>907</v>
      </c>
      <c r="P168" s="3145"/>
      <c r="Q168" s="3146"/>
      <c r="R168" s="1194"/>
      <c r="S168" s="3144" t="s">
        <v>908</v>
      </c>
      <c r="T168" s="3145"/>
      <c r="U168" s="3145"/>
      <c r="V168" s="3145"/>
      <c r="W168" s="3146"/>
      <c r="X168" s="1194"/>
      <c r="Y168" s="2132" t="s">
        <v>909</v>
      </c>
      <c r="Z168" s="1305">
        <v>16</v>
      </c>
      <c r="AA168" s="1194"/>
      <c r="AB168" s="1194"/>
      <c r="AC168" s="1194"/>
      <c r="AD168" s="1194"/>
      <c r="AE168" s="1194"/>
      <c r="AF168" s="1194"/>
      <c r="AG168" s="1194"/>
      <c r="AH168" s="1194"/>
      <c r="AI168" s="1194"/>
      <c r="AJ168" s="1194"/>
      <c r="AK168" s="1194"/>
      <c r="AL168" s="1194"/>
    </row>
    <row r="169" spans="1:38" s="218" customFormat="1" ht="18.600000000000001" hidden="1" thickBot="1">
      <c r="A169" s="441"/>
      <c r="B169" s="175"/>
      <c r="C169" s="1310">
        <v>300</v>
      </c>
      <c r="D169" s="1324">
        <f t="shared" si="30"/>
        <v>0</v>
      </c>
      <c r="E169" s="1312">
        <v>300</v>
      </c>
      <c r="F169" s="1313">
        <f t="shared" si="31"/>
        <v>0</v>
      </c>
      <c r="G169" s="1314">
        <v>300</v>
      </c>
      <c r="H169" s="1315">
        <f t="shared" si="32"/>
        <v>0</v>
      </c>
      <c r="I169" s="1316">
        <v>300</v>
      </c>
      <c r="J169" s="1317">
        <f t="shared" si="33"/>
        <v>0</v>
      </c>
      <c r="K169" s="1318">
        <v>300</v>
      </c>
      <c r="L169" s="1319">
        <f t="shared" si="34"/>
        <v>0</v>
      </c>
      <c r="M169" s="932"/>
      <c r="N169" s="932"/>
      <c r="O169" s="1334" t="s">
        <v>910</v>
      </c>
      <c r="P169" s="1334" t="s">
        <v>911</v>
      </c>
      <c r="Q169" s="1335" t="s">
        <v>912</v>
      </c>
      <c r="R169" s="1194"/>
      <c r="S169" s="1334" t="s">
        <v>911</v>
      </c>
      <c r="T169" s="1336"/>
      <c r="U169" s="1336"/>
      <c r="V169" s="1335" t="s">
        <v>912</v>
      </c>
      <c r="W169" s="1337" t="s">
        <v>913</v>
      </c>
      <c r="X169" s="1194"/>
      <c r="Y169" s="1304" t="s">
        <v>914</v>
      </c>
      <c r="Z169" s="1309">
        <v>22</v>
      </c>
      <c r="AA169" s="1194"/>
      <c r="AB169" s="1194"/>
      <c r="AC169" s="1194"/>
      <c r="AD169" s="1194"/>
      <c r="AE169" s="1194"/>
      <c r="AF169" s="1194"/>
      <c r="AG169" s="1194"/>
      <c r="AH169" s="1194"/>
      <c r="AI169" s="1194"/>
      <c r="AJ169" s="1194"/>
      <c r="AK169" s="1194"/>
      <c r="AL169" s="1194"/>
    </row>
    <row r="170" spans="1:38" s="218" customFormat="1" ht="18.600000000000001" hidden="1" thickBot="1">
      <c r="A170" s="441"/>
      <c r="B170" s="175"/>
      <c r="C170" s="2949">
        <f>B100</f>
        <v>0</v>
      </c>
      <c r="D170" s="2950"/>
      <c r="E170" s="2952">
        <f>B102</f>
        <v>0</v>
      </c>
      <c r="F170" s="2952"/>
      <c r="G170" s="2951">
        <f>B104</f>
        <v>0</v>
      </c>
      <c r="H170" s="2951"/>
      <c r="I170" s="2951">
        <f>B106</f>
        <v>0</v>
      </c>
      <c r="J170" s="2951"/>
      <c r="K170" s="2951">
        <f>B108</f>
        <v>0</v>
      </c>
      <c r="L170" s="2981"/>
      <c r="M170" s="932"/>
      <c r="N170" s="932"/>
      <c r="O170" s="1338" cm="1">
        <f t="array" ref="O170">SUMPRODUCT((MOD(ROW(D$60:R$119),1)=0)*(D$60:R$119=P170))</f>
        <v>0</v>
      </c>
      <c r="P170" s="1339" t="s">
        <v>915</v>
      </c>
      <c r="Q170" s="1340">
        <f>$D$123+$F$123+$H$123+$J$123+$L$123+$D$135+$F$135+$H$135+$J$135+$L$135+$D$147+$F$147+$H$147+$J$147+$L$147+$D$159+$F$159+$H$159+$J$159+$L$159+$D$171+$F$171+$H$171+$J$171+$L$171+$D$183+$F$183+$H$183+$J$183+$L$183</f>
        <v>0</v>
      </c>
      <c r="R170" s="1194"/>
      <c r="S170" s="1338" t="s">
        <v>916</v>
      </c>
      <c r="T170" s="1339"/>
      <c r="U170" s="1339"/>
      <c r="V170" s="1341">
        <f>SUMIF(AA$60:AA$119,S170, Z$60:Z$119)</f>
        <v>0</v>
      </c>
      <c r="W170" s="1342">
        <f>SUMIF(AA$60:AA$119,S170, Y$60:Y$119)</f>
        <v>0</v>
      </c>
      <c r="X170" s="1194"/>
      <c r="Y170" s="1307" t="s">
        <v>10</v>
      </c>
      <c r="Z170" s="1320">
        <v>15</v>
      </c>
      <c r="AA170" s="1194"/>
      <c r="AB170" s="1194"/>
      <c r="AC170" s="1194"/>
      <c r="AD170" s="1194"/>
      <c r="AE170" s="1194"/>
      <c r="AF170" s="1194"/>
      <c r="AG170" s="1194"/>
      <c r="AH170" s="1194"/>
      <c r="AI170" s="1194"/>
      <c r="AJ170" s="1194"/>
      <c r="AK170" s="1194"/>
      <c r="AL170" s="1194"/>
    </row>
    <row r="171" spans="1:38" s="218" customFormat="1" ht="18" hidden="1">
      <c r="A171" s="441"/>
      <c r="B171" s="175"/>
      <c r="C171" s="1281">
        <v>16</v>
      </c>
      <c r="D171" s="1321">
        <f t="shared" ref="D171:D181" si="35">SUMIF($D$101:$R$101,P170,$D$100:$R$100)</f>
        <v>0</v>
      </c>
      <c r="E171" s="1283">
        <v>16</v>
      </c>
      <c r="F171" s="1284">
        <f t="shared" ref="F171:F181" si="36">SUMIF($D$103:$R$103,P170,$D$102:$R$102)</f>
        <v>0</v>
      </c>
      <c r="G171" s="1285">
        <v>16</v>
      </c>
      <c r="H171" s="1286">
        <f t="shared" ref="H171:H181" si="37">SUMIF($D$105:$R$105,P170,$D$104:$R$104)</f>
        <v>0</v>
      </c>
      <c r="I171" s="1287">
        <v>16</v>
      </c>
      <c r="J171" s="1288">
        <f t="shared" ref="J171:J181" si="38">SUMIF($D$107:$R$107,P170,$D$106:$R$106)</f>
        <v>0</v>
      </c>
      <c r="K171" s="1289">
        <v>16</v>
      </c>
      <c r="L171" s="1290">
        <f t="shared" ref="L171:L181" si="39">SUMIF($D$109:$R$109,P170,$D$108:$R$108)</f>
        <v>0</v>
      </c>
      <c r="M171" s="932"/>
      <c r="N171" s="932"/>
      <c r="O171" s="1343" cm="1">
        <f t="array" ref="O171">SUMPRODUCT((MOD(ROW(D$60:R$119),1)=0)*(D$60:R$119=P171))</f>
        <v>0</v>
      </c>
      <c r="P171" s="1344" t="s">
        <v>917</v>
      </c>
      <c r="Q171" s="1345">
        <f>$D$124+$F$124+$H$124+$J$124+$L$124+$D$136+$F$136+$H$136+$J$136+$L$136+$D$148+$F$148+$H$148+$J$148+$L$148+$D$160+$F$160+$H$160+$J$160+$L$160+$D$172+$F$172+$H$172+$J$172+$L$172+$D$184+$F$184+$H$184+$J$184+$L$184</f>
        <v>0</v>
      </c>
      <c r="R171" s="1194"/>
      <c r="S171" s="1343" t="s">
        <v>917</v>
      </c>
      <c r="T171" s="1344"/>
      <c r="U171" s="1344"/>
      <c r="V171" s="1346">
        <f t="shared" ref="V171:V180" si="40">SUMIF(AA$60:AA$119,S171, Z$60:Z$119)</f>
        <v>0</v>
      </c>
      <c r="W171" s="1347">
        <f>SUMIF(AA$60:AA$119,S171, Y$60:Y$119)</f>
        <v>0</v>
      </c>
      <c r="X171" s="1194"/>
      <c r="Y171" s="1194"/>
      <c r="Z171" s="1194"/>
      <c r="AA171" s="1194"/>
      <c r="AB171" s="1194"/>
      <c r="AC171" s="1194"/>
      <c r="AD171" s="1194"/>
      <c r="AE171" s="1194"/>
      <c r="AF171" s="1194"/>
      <c r="AG171" s="1194"/>
      <c r="AH171" s="1194"/>
      <c r="AI171" s="1194"/>
      <c r="AJ171" s="1194"/>
      <c r="AK171" s="1194"/>
      <c r="AL171" s="1194"/>
    </row>
    <row r="172" spans="1:38" s="218" customFormat="1" ht="18" hidden="1">
      <c r="A172" s="441"/>
      <c r="B172" s="175"/>
      <c r="C172" s="1292">
        <v>25</v>
      </c>
      <c r="D172" s="1323">
        <f t="shared" si="35"/>
        <v>0</v>
      </c>
      <c r="E172" s="1294">
        <v>25</v>
      </c>
      <c r="F172" s="1295">
        <f t="shared" si="36"/>
        <v>0</v>
      </c>
      <c r="G172" s="1296">
        <v>25</v>
      </c>
      <c r="H172" s="1297">
        <f t="shared" si="37"/>
        <v>0</v>
      </c>
      <c r="I172" s="1298">
        <v>25</v>
      </c>
      <c r="J172" s="1299">
        <f t="shared" si="38"/>
        <v>0</v>
      </c>
      <c r="K172" s="1300">
        <v>25</v>
      </c>
      <c r="L172" s="1301">
        <f t="shared" si="39"/>
        <v>0</v>
      </c>
      <c r="M172" s="932"/>
      <c r="N172" s="932"/>
      <c r="O172" s="1343" cm="1">
        <f t="array" ref="O172">SUMPRODUCT((MOD(ROW(D$60:R$119),1)=0)*(D$60:R$119=P172))</f>
        <v>0</v>
      </c>
      <c r="P172" s="1344" t="s">
        <v>918</v>
      </c>
      <c r="Q172" s="1345">
        <f>$D$125+$F$125+$H$125+$J$125+$L$125+$D$137+$F$137+$H$137+$J$137+$L$137+$D$149+$F$149+$H$149+$J$149+$L$149+$D$161+$F$161+$H$161+$J$161+$L$161+$D$173+$F$173+$H$173+$J$173+$L$173+$D$185+$F$185+$H$185+$J$185+$L$185</f>
        <v>0</v>
      </c>
      <c r="R172" s="1194"/>
      <c r="S172" s="1343" t="s">
        <v>918</v>
      </c>
      <c r="T172" s="1344"/>
      <c r="U172" s="1344"/>
      <c r="V172" s="1346">
        <f t="shared" si="40"/>
        <v>0</v>
      </c>
      <c r="W172" s="1347">
        <f t="shared" ref="W172:W180" si="41">SUMIF(AA$60:AA$119,S172, Y$60:Y$119)</f>
        <v>0</v>
      </c>
      <c r="X172" s="1194"/>
      <c r="Y172" s="1194"/>
      <c r="Z172" s="1194"/>
      <c r="AA172" s="1194"/>
      <c r="AB172" s="1194"/>
      <c r="AC172" s="1194"/>
      <c r="AD172" s="1194"/>
      <c r="AE172" s="1194"/>
      <c r="AF172" s="1194"/>
      <c r="AG172" s="1194"/>
      <c r="AH172" s="1194"/>
      <c r="AI172" s="1194"/>
      <c r="AJ172" s="1194"/>
      <c r="AK172" s="1194"/>
      <c r="AL172" s="1194"/>
    </row>
    <row r="173" spans="1:38" s="218" customFormat="1" ht="18" hidden="1">
      <c r="A173" s="441"/>
      <c r="B173" s="175"/>
      <c r="C173" s="1292">
        <v>35</v>
      </c>
      <c r="D173" s="1323">
        <f t="shared" si="35"/>
        <v>0</v>
      </c>
      <c r="E173" s="1294">
        <v>35</v>
      </c>
      <c r="F173" s="1295">
        <f t="shared" si="36"/>
        <v>0</v>
      </c>
      <c r="G173" s="1296">
        <v>35</v>
      </c>
      <c r="H173" s="1297">
        <f t="shared" si="37"/>
        <v>0</v>
      </c>
      <c r="I173" s="1298">
        <v>35</v>
      </c>
      <c r="J173" s="1299">
        <f t="shared" si="38"/>
        <v>0</v>
      </c>
      <c r="K173" s="1300">
        <v>35</v>
      </c>
      <c r="L173" s="1301">
        <f t="shared" si="39"/>
        <v>0</v>
      </c>
      <c r="M173" s="932"/>
      <c r="N173" s="932"/>
      <c r="O173" s="1343" cm="1">
        <f t="array" ref="O173">SUMPRODUCT((MOD(ROW(D$60:R$119),1)=0)*(D$60:R$119=P173))</f>
        <v>0</v>
      </c>
      <c r="P173" s="1344" t="s">
        <v>919</v>
      </c>
      <c r="Q173" s="1345">
        <f>$D$126+$F$126+$H$126+$J$126+$L$126+$D$138+$F$138+$H$138+$J$138+$L$138+$D$150+$F$150+$H$150+$J$150+$L$150+$D$162+$F$162+$H$162+$J$162+$L$162+$D$174+$F$174+$H$174+$J$174+$L$174+$D$186+$F$186+$H$186+$J$186+$L$186</f>
        <v>0</v>
      </c>
      <c r="R173" s="1194"/>
      <c r="S173" s="1343" t="s">
        <v>919</v>
      </c>
      <c r="T173" s="1344"/>
      <c r="U173" s="1344"/>
      <c r="V173" s="1346">
        <f t="shared" si="40"/>
        <v>0</v>
      </c>
      <c r="W173" s="1347">
        <f t="shared" si="41"/>
        <v>0</v>
      </c>
      <c r="X173" s="1194"/>
      <c r="Y173" s="1194"/>
      <c r="Z173" s="1194"/>
      <c r="AA173" s="1194"/>
      <c r="AB173" s="1194"/>
      <c r="AC173" s="1194"/>
      <c r="AD173" s="1194"/>
      <c r="AE173" s="1194"/>
      <c r="AF173" s="1194"/>
      <c r="AG173" s="1194"/>
      <c r="AH173" s="1194"/>
      <c r="AI173" s="1194"/>
      <c r="AJ173" s="1194"/>
      <c r="AK173" s="1194"/>
      <c r="AL173" s="1194"/>
    </row>
    <row r="174" spans="1:38" s="218" customFormat="1" ht="18" hidden="1">
      <c r="A174" s="441"/>
      <c r="B174" s="175"/>
      <c r="C174" s="1292">
        <v>50</v>
      </c>
      <c r="D174" s="1323">
        <f t="shared" si="35"/>
        <v>0</v>
      </c>
      <c r="E174" s="1294">
        <v>50</v>
      </c>
      <c r="F174" s="1295">
        <f t="shared" si="36"/>
        <v>0</v>
      </c>
      <c r="G174" s="1296">
        <v>50</v>
      </c>
      <c r="H174" s="1297">
        <f t="shared" si="37"/>
        <v>0</v>
      </c>
      <c r="I174" s="1298">
        <v>50</v>
      </c>
      <c r="J174" s="1299">
        <f t="shared" si="38"/>
        <v>0</v>
      </c>
      <c r="K174" s="1300">
        <v>50</v>
      </c>
      <c r="L174" s="1301">
        <f t="shared" si="39"/>
        <v>0</v>
      </c>
      <c r="M174" s="932"/>
      <c r="N174" s="932"/>
      <c r="O174" s="1343" cm="1">
        <f t="array" ref="O174">SUMPRODUCT((MOD(ROW(D$60:R$119),1)=0)*(D$60:R$119=P174))</f>
        <v>0</v>
      </c>
      <c r="P174" s="1344" t="s">
        <v>920</v>
      </c>
      <c r="Q174" s="1345">
        <f>$D$127+$F$127+$H$127+$J$127+$L$127+$D$139+$F$139+$H$139+$J$139+$L$139+$D$151+$F$151+$H$151+$J$151+$L$151+$D$163+$F$163+$H$163+$J$163+$L$163+$D$175+$F$175+$H$175+$J$175+$L$175+$D$187+$F$187+$H$187+$J$187+$L$187</f>
        <v>0</v>
      </c>
      <c r="R174" s="1194"/>
      <c r="S174" s="1343" t="s">
        <v>920</v>
      </c>
      <c r="T174" s="1344"/>
      <c r="U174" s="1344"/>
      <c r="V174" s="1346">
        <f t="shared" si="40"/>
        <v>0</v>
      </c>
      <c r="W174" s="1347">
        <f t="shared" si="41"/>
        <v>0</v>
      </c>
      <c r="X174" s="1194"/>
      <c r="Y174" s="1194"/>
      <c r="Z174" s="1194"/>
      <c r="AA174" s="1194"/>
      <c r="AB174" s="1194"/>
      <c r="AC174" s="1194"/>
      <c r="AD174" s="1194"/>
      <c r="AE174" s="1194"/>
      <c r="AF174" s="1194"/>
      <c r="AG174" s="1194"/>
      <c r="AH174" s="1194"/>
      <c r="AI174" s="1194"/>
      <c r="AJ174" s="1194"/>
      <c r="AK174" s="1194"/>
      <c r="AL174" s="1194"/>
    </row>
    <row r="175" spans="1:38" s="218" customFormat="1" ht="18" hidden="1">
      <c r="A175" s="441"/>
      <c r="B175" s="175"/>
      <c r="C175" s="1292">
        <v>70</v>
      </c>
      <c r="D175" s="1323">
        <f t="shared" si="35"/>
        <v>0</v>
      </c>
      <c r="E175" s="1294">
        <v>70</v>
      </c>
      <c r="F175" s="1295">
        <f t="shared" si="36"/>
        <v>0</v>
      </c>
      <c r="G175" s="1296">
        <v>70</v>
      </c>
      <c r="H175" s="1297">
        <f t="shared" si="37"/>
        <v>0</v>
      </c>
      <c r="I175" s="1298">
        <v>70</v>
      </c>
      <c r="J175" s="1299">
        <f t="shared" si="38"/>
        <v>0</v>
      </c>
      <c r="K175" s="1300">
        <v>70</v>
      </c>
      <c r="L175" s="1301">
        <f t="shared" si="39"/>
        <v>0</v>
      </c>
      <c r="M175" s="932"/>
      <c r="N175" s="932"/>
      <c r="O175" s="1343" cm="1">
        <f t="array" ref="O175">SUMPRODUCT((MOD(ROW(D$60:R$119),1)=0)*(D$60:R$119=P175))</f>
        <v>0</v>
      </c>
      <c r="P175" s="1344" t="s">
        <v>785</v>
      </c>
      <c r="Q175" s="1345">
        <f>$D$128+$F$128+$H$128+$J$128+$L$128+$D$140+$F$140+$H$140+$J$140+$L$140+$D$152+$F$152+$H$152+$J$152+$L$152+$D$164+$F$164+$H$164+$J$164+$L$164+$D$176+$F$176+$H$176+$J$176+$L$176+$D$188+$F$188+$H$188+$J$188+$L$188</f>
        <v>0</v>
      </c>
      <c r="R175" s="1194"/>
      <c r="S175" s="1343" t="s">
        <v>785</v>
      </c>
      <c r="T175" s="1344"/>
      <c r="U175" s="1344"/>
      <c r="V175" s="1346">
        <f t="shared" si="40"/>
        <v>0</v>
      </c>
      <c r="W175" s="1347">
        <f>SUMIF(AA$60:AA$119,S175, Y$60:Y$119)</f>
        <v>0</v>
      </c>
      <c r="X175" s="1194"/>
      <c r="Y175" s="1194"/>
      <c r="Z175" s="1194"/>
      <c r="AA175" s="1194"/>
      <c r="AB175" s="1194"/>
      <c r="AC175" s="1194"/>
      <c r="AD175" s="1194"/>
      <c r="AE175" s="1194"/>
      <c r="AF175" s="1194"/>
      <c r="AG175" s="1194"/>
      <c r="AH175" s="1194"/>
      <c r="AI175" s="1194"/>
      <c r="AJ175" s="1194"/>
      <c r="AK175" s="1194"/>
      <c r="AL175" s="1194"/>
    </row>
    <row r="176" spans="1:38" s="218" customFormat="1" ht="18" hidden="1">
      <c r="A176" s="441"/>
      <c r="B176" s="175"/>
      <c r="C176" s="1292">
        <v>95</v>
      </c>
      <c r="D176" s="1323">
        <f t="shared" si="35"/>
        <v>0</v>
      </c>
      <c r="E176" s="1294">
        <v>95</v>
      </c>
      <c r="F176" s="1295">
        <f t="shared" si="36"/>
        <v>0</v>
      </c>
      <c r="G176" s="1296">
        <v>95</v>
      </c>
      <c r="H176" s="1297">
        <f t="shared" si="37"/>
        <v>0</v>
      </c>
      <c r="I176" s="1298">
        <v>95</v>
      </c>
      <c r="J176" s="1299">
        <f t="shared" si="38"/>
        <v>0</v>
      </c>
      <c r="K176" s="1300">
        <v>95</v>
      </c>
      <c r="L176" s="1301">
        <f t="shared" si="39"/>
        <v>0</v>
      </c>
      <c r="M176" s="932"/>
      <c r="N176" s="932"/>
      <c r="O176" s="1343" cm="1">
        <f t="array" ref="O176">SUMPRODUCT((MOD(ROW(D$60:R$119),1)=0)*(D$60:R$119=P176))</f>
        <v>0</v>
      </c>
      <c r="P176" s="1344" t="s">
        <v>782</v>
      </c>
      <c r="Q176" s="1345">
        <f>$D$129+$F$129+$H$129+$J$129+$L$129+$D$141+$F$141+$H$141+$J$141+$L$141+$D$153+$F$153+$H$153+$J$153+$L$153+$D$165+$F$165+$H$165+$J$165+$L$165+$D$177+$F$177+$H$177+$J$177+$L$177+$D$189+$F$189+$H$189+$J$189+$L$189</f>
        <v>0</v>
      </c>
      <c r="R176" s="1194"/>
      <c r="S176" s="1343" t="s">
        <v>782</v>
      </c>
      <c r="T176" s="1344"/>
      <c r="U176" s="1344"/>
      <c r="V176" s="1346">
        <f t="shared" si="40"/>
        <v>0</v>
      </c>
      <c r="W176" s="1347">
        <f t="shared" si="41"/>
        <v>0</v>
      </c>
      <c r="X176" s="1194"/>
      <c r="Y176" s="1194"/>
      <c r="Z176" s="1194"/>
      <c r="AA176" s="1194"/>
      <c r="AB176" s="1194"/>
      <c r="AC176" s="1194"/>
      <c r="AD176" s="1194"/>
      <c r="AE176" s="1194"/>
      <c r="AF176" s="1194"/>
      <c r="AG176" s="1194"/>
      <c r="AH176" s="1194"/>
      <c r="AI176" s="1194"/>
      <c r="AJ176" s="1194"/>
      <c r="AK176" s="1194"/>
      <c r="AL176" s="1194"/>
    </row>
    <row r="177" spans="1:38" s="218" customFormat="1" ht="18" hidden="1">
      <c r="A177" s="441"/>
      <c r="B177" s="175"/>
      <c r="C177" s="1292">
        <v>120</v>
      </c>
      <c r="D177" s="1323">
        <f t="shared" si="35"/>
        <v>0</v>
      </c>
      <c r="E177" s="1294">
        <v>120</v>
      </c>
      <c r="F177" s="1295">
        <f t="shared" si="36"/>
        <v>0</v>
      </c>
      <c r="G177" s="1296">
        <v>120</v>
      </c>
      <c r="H177" s="1297">
        <f t="shared" si="37"/>
        <v>0</v>
      </c>
      <c r="I177" s="1298">
        <v>120</v>
      </c>
      <c r="J177" s="1299">
        <f t="shared" si="38"/>
        <v>0</v>
      </c>
      <c r="K177" s="1300">
        <v>120</v>
      </c>
      <c r="L177" s="1301">
        <f t="shared" si="39"/>
        <v>0</v>
      </c>
      <c r="M177" s="932"/>
      <c r="N177" s="932"/>
      <c r="O177" s="1343" cm="1">
        <f t="array" ref="O177">SUMPRODUCT((MOD(ROW(D$60:R$119),1)=0)*(D$60:R$119=P177))</f>
        <v>0</v>
      </c>
      <c r="P177" s="1344" t="s">
        <v>783</v>
      </c>
      <c r="Q177" s="1345">
        <f>$D$130+$F$130+$H$130+$J$130+$L$130+$D$142+$F$142+$H$142+$J$142+$L$142+$D$154+$F$154+$H$154+$J$154+$L$154+$D$166+$F$166+$H$166+$J$166+$L$166+$D$178+$F$178+$H$178+$J$178+$L$178+$D$190+$F$190+$H$190+$J$190+$L$190</f>
        <v>0</v>
      </c>
      <c r="R177" s="1194"/>
      <c r="S177" s="1343" t="s">
        <v>783</v>
      </c>
      <c r="T177" s="1344"/>
      <c r="U177" s="1344"/>
      <c r="V177" s="1346">
        <f t="shared" si="40"/>
        <v>0</v>
      </c>
      <c r="W177" s="1347">
        <f t="shared" si="41"/>
        <v>0</v>
      </c>
      <c r="X177" s="1194"/>
      <c r="Y177" s="1194"/>
      <c r="Z177" s="1194"/>
      <c r="AA177" s="1194"/>
      <c r="AB177" s="1194"/>
      <c r="AC177" s="1194"/>
      <c r="AD177" s="1194"/>
      <c r="AE177" s="1194"/>
      <c r="AF177" s="1194"/>
      <c r="AG177" s="1194"/>
      <c r="AH177" s="1194"/>
      <c r="AI177" s="1194"/>
      <c r="AJ177" s="1194"/>
      <c r="AK177" s="1194"/>
      <c r="AL177" s="1194"/>
    </row>
    <row r="178" spans="1:38" s="218" customFormat="1" ht="18" hidden="1">
      <c r="A178" s="441"/>
      <c r="B178" s="175"/>
      <c r="C178" s="1292">
        <v>150</v>
      </c>
      <c r="D178" s="1323">
        <f t="shared" si="35"/>
        <v>0</v>
      </c>
      <c r="E178" s="1294">
        <v>150</v>
      </c>
      <c r="F178" s="1295">
        <f t="shared" si="36"/>
        <v>0</v>
      </c>
      <c r="G178" s="1296">
        <v>150</v>
      </c>
      <c r="H178" s="1297">
        <f t="shared" si="37"/>
        <v>0</v>
      </c>
      <c r="I178" s="1298">
        <v>150</v>
      </c>
      <c r="J178" s="1299">
        <f t="shared" si="38"/>
        <v>0</v>
      </c>
      <c r="K178" s="1300">
        <v>150</v>
      </c>
      <c r="L178" s="1301">
        <f t="shared" si="39"/>
        <v>0</v>
      </c>
      <c r="M178" s="932"/>
      <c r="N178" s="932"/>
      <c r="O178" s="1343" cm="1">
        <f t="array" ref="O178">SUMPRODUCT((MOD(ROW(D$60:R$119),1)=0)*(D$60:R$119=P178))</f>
        <v>0</v>
      </c>
      <c r="P178" s="1344" t="s">
        <v>784</v>
      </c>
      <c r="Q178" s="1345">
        <f>$D$131+$F$131+$H$131+$J$131+$L$131+$D$143+$F$143+$H$143+$J$143+$L$143+$D$155+$F$155+$H$155+$J$155+$L$155+$D$167+$F$167+$H$167+$J$167+$L$167+$D$179+$F$179+$H$179+$J$179+$L$179+$D$191+$F$191+$H$191+$J$191+$L$191</f>
        <v>0</v>
      </c>
      <c r="R178" s="1194"/>
      <c r="S178" s="1343" t="s">
        <v>784</v>
      </c>
      <c r="T178" s="1344"/>
      <c r="U178" s="1344"/>
      <c r="V178" s="1346">
        <f t="shared" si="40"/>
        <v>440</v>
      </c>
      <c r="W178" s="1347">
        <f t="shared" si="41"/>
        <v>2</v>
      </c>
      <c r="X178" s="1194"/>
      <c r="Y178" s="1194"/>
      <c r="Z178" s="1194"/>
      <c r="AA178" s="1194"/>
      <c r="AB178" s="1194"/>
      <c r="AC178" s="1194"/>
      <c r="AD178" s="1194"/>
      <c r="AE178" s="1194"/>
      <c r="AF178" s="1194"/>
      <c r="AG178" s="1194"/>
      <c r="AH178" s="1194"/>
      <c r="AI178" s="1194"/>
      <c r="AJ178" s="1194"/>
      <c r="AK178" s="1194"/>
      <c r="AL178" s="1194"/>
    </row>
    <row r="179" spans="1:38" s="218" customFormat="1" ht="18" hidden="1">
      <c r="A179" s="441"/>
      <c r="B179" s="175"/>
      <c r="C179" s="1292">
        <v>185</v>
      </c>
      <c r="D179" s="1323">
        <f t="shared" si="35"/>
        <v>0</v>
      </c>
      <c r="E179" s="1294">
        <v>185</v>
      </c>
      <c r="F179" s="1295">
        <f t="shared" si="36"/>
        <v>0</v>
      </c>
      <c r="G179" s="1296">
        <v>185</v>
      </c>
      <c r="H179" s="1297">
        <f t="shared" si="37"/>
        <v>0</v>
      </c>
      <c r="I179" s="1298">
        <v>185</v>
      </c>
      <c r="J179" s="1299">
        <f t="shared" si="38"/>
        <v>0</v>
      </c>
      <c r="K179" s="1300">
        <v>185</v>
      </c>
      <c r="L179" s="1301">
        <f t="shared" si="39"/>
        <v>0</v>
      </c>
      <c r="M179" s="932"/>
      <c r="N179" s="932"/>
      <c r="O179" s="1343" cm="1">
        <f t="array" ref="O179">SUMPRODUCT((MOD(ROW(D$60:R$119),1)=0)*(D$60:R$119=P179))</f>
        <v>0</v>
      </c>
      <c r="P179" s="1344" t="s">
        <v>921</v>
      </c>
      <c r="Q179" s="1345">
        <f>$D$132+$F$132+$H$132+$J$132+$L$132+$D$144+$F$144+$H$144+$J$144+$L$144+$D$156+$F$156+$H$156+$J$156+$L$156+$D$168+$F$168+$H$168+$J$168+$L$168+$D$180+$F$180+$H$180+$J$180+$L$180+$D$192+$F$192+$H$192+$J$192+$L$192</f>
        <v>0</v>
      </c>
      <c r="R179" s="1194"/>
      <c r="S179" s="1343" t="s">
        <v>921</v>
      </c>
      <c r="T179" s="1344"/>
      <c r="U179" s="1344"/>
      <c r="V179" s="1346">
        <f t="shared" si="40"/>
        <v>0</v>
      </c>
      <c r="W179" s="1347">
        <f t="shared" si="41"/>
        <v>0</v>
      </c>
      <c r="X179" s="1194"/>
      <c r="Y179" s="1194"/>
      <c r="Z179" s="1194"/>
      <c r="AA179" s="1194"/>
      <c r="AB179" s="1194"/>
      <c r="AC179" s="1194"/>
      <c r="AD179" s="1194"/>
      <c r="AE179" s="1194"/>
      <c r="AF179" s="1194"/>
      <c r="AG179" s="1194"/>
      <c r="AH179" s="1194"/>
      <c r="AI179" s="1194"/>
      <c r="AJ179" s="1194"/>
      <c r="AK179" s="1194"/>
      <c r="AL179" s="1194"/>
    </row>
    <row r="180" spans="1:38" s="218" customFormat="1" ht="18.600000000000001" hidden="1" thickBot="1">
      <c r="A180" s="441"/>
      <c r="B180" s="175"/>
      <c r="C180" s="1292">
        <v>240</v>
      </c>
      <c r="D180" s="1323">
        <f t="shared" si="35"/>
        <v>0</v>
      </c>
      <c r="E180" s="1294">
        <v>240</v>
      </c>
      <c r="F180" s="1295">
        <f t="shared" si="36"/>
        <v>0</v>
      </c>
      <c r="G180" s="1296">
        <v>240</v>
      </c>
      <c r="H180" s="1297">
        <f t="shared" si="37"/>
        <v>0</v>
      </c>
      <c r="I180" s="1298">
        <v>240</v>
      </c>
      <c r="J180" s="1299">
        <f t="shared" si="38"/>
        <v>0</v>
      </c>
      <c r="K180" s="1300">
        <v>240</v>
      </c>
      <c r="L180" s="1301">
        <f t="shared" si="39"/>
        <v>0</v>
      </c>
      <c r="M180" s="932"/>
      <c r="N180" s="932"/>
      <c r="O180" s="1348" cm="1">
        <f t="array" ref="O180">SUMPRODUCT((MOD(ROW(D$60:R$119),1)=0)*(D$60:R$119=P180))</f>
        <v>2</v>
      </c>
      <c r="P180" s="1349" t="s">
        <v>922</v>
      </c>
      <c r="Q180" s="1350">
        <f>$D$133+$F$133+$H$133+$J$133+$L$133+$D$145+$F$145+$H$145+$J$145+$L$145+$D$157+$F$157+$H$157+$J$157+$L$157+$D$169+$F$169+$H$169+$J$169+$L$169+$D$181+$F$181+$H$181+$J$181+$L$181+$D$193+$F$193+$H$193+$J$193+$L$193</f>
        <v>20</v>
      </c>
      <c r="R180" s="1194"/>
      <c r="S180" s="1348" t="s">
        <v>922</v>
      </c>
      <c r="T180" s="1349"/>
      <c r="U180" s="1349"/>
      <c r="V180" s="1351">
        <f t="shared" si="40"/>
        <v>170</v>
      </c>
      <c r="W180" s="1352">
        <f t="shared" si="41"/>
        <v>1</v>
      </c>
      <c r="X180" s="1194"/>
      <c r="Y180" s="1194"/>
      <c r="Z180" s="1194"/>
      <c r="AA180" s="1194"/>
      <c r="AB180" s="1194"/>
      <c r="AC180" s="1194"/>
      <c r="AD180" s="1194"/>
      <c r="AE180" s="1194"/>
      <c r="AF180" s="1194"/>
      <c r="AG180" s="1194"/>
      <c r="AH180" s="1194"/>
      <c r="AI180" s="1194"/>
      <c r="AJ180" s="1194"/>
      <c r="AK180" s="1194"/>
      <c r="AL180" s="1194"/>
    </row>
    <row r="181" spans="1:38" s="218" customFormat="1" ht="18.600000000000001" hidden="1" thickBot="1">
      <c r="A181" s="441"/>
      <c r="B181" s="175"/>
      <c r="C181" s="1310">
        <v>300</v>
      </c>
      <c r="D181" s="1324">
        <f t="shared" si="35"/>
        <v>0</v>
      </c>
      <c r="E181" s="1312">
        <v>300</v>
      </c>
      <c r="F181" s="1313">
        <f t="shared" si="36"/>
        <v>0</v>
      </c>
      <c r="G181" s="1314">
        <v>300</v>
      </c>
      <c r="H181" s="1315">
        <f t="shared" si="37"/>
        <v>0</v>
      </c>
      <c r="I181" s="1316">
        <v>300</v>
      </c>
      <c r="J181" s="1317">
        <f t="shared" si="38"/>
        <v>0</v>
      </c>
      <c r="K181" s="1318">
        <v>300</v>
      </c>
      <c r="L181" s="1319">
        <f t="shared" si="39"/>
        <v>0</v>
      </c>
      <c r="M181" s="932"/>
      <c r="N181" s="932"/>
      <c r="O181" s="1660">
        <f>SUM(O170:O180)</f>
        <v>2</v>
      </c>
      <c r="P181" s="1194"/>
      <c r="Q181" s="1660">
        <f>SUM(Q170:Q180)</f>
        <v>20</v>
      </c>
      <c r="R181" s="1194"/>
      <c r="S181" s="1194"/>
      <c r="T181" s="1194"/>
      <c r="U181" s="1194"/>
      <c r="V181" s="1194"/>
      <c r="W181" s="1194"/>
      <c r="X181" s="1194"/>
      <c r="Y181" s="1194"/>
      <c r="Z181" s="1194"/>
      <c r="AA181" s="1194"/>
      <c r="AB181" s="1194"/>
      <c r="AC181" s="1194"/>
      <c r="AD181" s="1194"/>
      <c r="AE181" s="1194"/>
      <c r="AF181" s="1194"/>
      <c r="AG181" s="1194"/>
      <c r="AH181" s="1194"/>
      <c r="AI181" s="1194"/>
      <c r="AJ181" s="1194"/>
      <c r="AK181" s="1194"/>
      <c r="AL181" s="1194"/>
    </row>
    <row r="182" spans="1:38" s="218" customFormat="1" ht="18.600000000000001" hidden="1" thickBot="1">
      <c r="A182" s="441"/>
      <c r="B182" s="175"/>
      <c r="C182" s="2949">
        <f>B110</f>
        <v>0</v>
      </c>
      <c r="D182" s="2950"/>
      <c r="E182" s="2952">
        <f>B112</f>
        <v>0</v>
      </c>
      <c r="F182" s="2952"/>
      <c r="G182" s="2951">
        <f>B114</f>
        <v>0</v>
      </c>
      <c r="H182" s="2951"/>
      <c r="I182" s="2951">
        <f>B116</f>
        <v>0</v>
      </c>
      <c r="J182" s="2951"/>
      <c r="K182" s="2951">
        <f>B118</f>
        <v>0</v>
      </c>
      <c r="L182" s="2981"/>
      <c r="M182" s="932"/>
      <c r="N182" s="932"/>
      <c r="O182" s="932"/>
      <c r="P182" s="1194"/>
      <c r="Q182" s="1194"/>
      <c r="R182" s="1194"/>
      <c r="S182" s="1194"/>
      <c r="T182" s="1194"/>
      <c r="U182" s="1194"/>
      <c r="V182" s="1194"/>
      <c r="W182" s="1194"/>
      <c r="X182" s="1194"/>
      <c r="Y182" s="1194"/>
      <c r="Z182" s="1194"/>
      <c r="AA182" s="1194"/>
      <c r="AB182" s="1194"/>
      <c r="AC182" s="1194"/>
      <c r="AD182" s="1194"/>
      <c r="AE182" s="1194"/>
      <c r="AF182" s="1194"/>
      <c r="AG182" s="1194"/>
      <c r="AH182" s="1194"/>
      <c r="AI182" s="1194"/>
      <c r="AJ182" s="1194"/>
      <c r="AK182" s="1194"/>
      <c r="AL182" s="1194"/>
    </row>
    <row r="183" spans="1:38" s="218" customFormat="1" ht="18.600000000000001" hidden="1" thickBot="1">
      <c r="A183" s="441"/>
      <c r="B183" s="175"/>
      <c r="C183" s="1281">
        <v>16</v>
      </c>
      <c r="D183" s="1321">
        <f t="shared" ref="D183:D193" si="42">SUMIF($D$111:$R$111,P170,$D$110:$R$110)</f>
        <v>0</v>
      </c>
      <c r="E183" s="1283">
        <v>16</v>
      </c>
      <c r="F183" s="1284">
        <f t="shared" ref="F183:F193" si="43">SUMIF($D$113:$R$113,P170,$D$112:$R$112)</f>
        <v>0</v>
      </c>
      <c r="G183" s="1285">
        <v>16</v>
      </c>
      <c r="H183" s="1286">
        <f t="shared" ref="H183:H193" si="44">SUMIF($D$115:$R$115,P170,$D$114:$R$114)</f>
        <v>0</v>
      </c>
      <c r="I183" s="1287">
        <v>16</v>
      </c>
      <c r="J183" s="1288">
        <f t="shared" ref="J183:J193" si="45">SUMIF($D$117:$R$117,P170,$D$116:$R$116)</f>
        <v>0</v>
      </c>
      <c r="K183" s="1289">
        <v>16</v>
      </c>
      <c r="L183" s="1290">
        <f t="shared" ref="L183:L193" si="46">SUMIF($D$119:$R$119,P170,$D$118:$R$118)</f>
        <v>0</v>
      </c>
      <c r="M183" s="932"/>
      <c r="N183" s="932"/>
      <c r="O183" s="932"/>
      <c r="P183" s="1353"/>
      <c r="Q183" s="1353"/>
      <c r="R183" s="1353"/>
      <c r="S183" s="2963" t="s">
        <v>923</v>
      </c>
      <c r="T183" s="2964"/>
      <c r="U183" s="2964"/>
      <c r="V183" s="2965"/>
      <c r="W183" s="1194"/>
      <c r="X183" s="1194"/>
      <c r="Y183" s="1194"/>
      <c r="Z183" s="1194"/>
      <c r="AA183" s="1194"/>
      <c r="AB183" s="1194"/>
      <c r="AC183" s="1194"/>
      <c r="AD183" s="1194"/>
      <c r="AE183" s="1194"/>
      <c r="AF183" s="1194"/>
      <c r="AG183" s="1194"/>
      <c r="AH183" s="1194"/>
      <c r="AI183" s="1194"/>
      <c r="AJ183" s="1194"/>
      <c r="AK183" s="1194"/>
      <c r="AL183" s="1194"/>
    </row>
    <row r="184" spans="1:38" s="218" customFormat="1" ht="18" hidden="1">
      <c r="A184" s="441"/>
      <c r="B184" s="175"/>
      <c r="C184" s="1292">
        <v>25</v>
      </c>
      <c r="D184" s="1323">
        <f t="shared" si="42"/>
        <v>0</v>
      </c>
      <c r="E184" s="1294">
        <v>25</v>
      </c>
      <c r="F184" s="1295">
        <f t="shared" si="43"/>
        <v>0</v>
      </c>
      <c r="G184" s="1296">
        <v>25</v>
      </c>
      <c r="H184" s="1297">
        <f t="shared" si="44"/>
        <v>0</v>
      </c>
      <c r="I184" s="1298">
        <v>25</v>
      </c>
      <c r="J184" s="1299">
        <f t="shared" si="45"/>
        <v>0</v>
      </c>
      <c r="K184" s="1300">
        <v>25</v>
      </c>
      <c r="L184" s="1301">
        <f t="shared" si="46"/>
        <v>0</v>
      </c>
      <c r="M184" s="932"/>
      <c r="N184" s="932"/>
      <c r="O184" s="932"/>
      <c r="P184" s="3148"/>
      <c r="Q184" s="3148"/>
      <c r="R184" s="3148"/>
      <c r="S184" s="1404" t="s">
        <v>924</v>
      </c>
      <c r="T184" s="1355"/>
      <c r="U184" s="1405"/>
      <c r="V184" s="1355">
        <f>AN55/2</f>
        <v>2025</v>
      </c>
      <c r="W184" s="1194"/>
      <c r="X184" s="1194"/>
      <c r="Y184" s="1194"/>
      <c r="Z184" s="1194"/>
      <c r="AA184" s="1194"/>
      <c r="AB184" s="1194"/>
      <c r="AC184" s="1194"/>
      <c r="AD184" s="1194"/>
      <c r="AE184" s="1194"/>
      <c r="AF184" s="1194"/>
      <c r="AG184" s="1194"/>
      <c r="AH184" s="1194"/>
      <c r="AI184" s="1194"/>
      <c r="AJ184" s="1194"/>
      <c r="AK184" s="1194"/>
      <c r="AL184" s="1194"/>
    </row>
    <row r="185" spans="1:38" s="218" customFormat="1" ht="18" hidden="1">
      <c r="A185" s="441"/>
      <c r="B185" s="175"/>
      <c r="C185" s="1292">
        <v>35</v>
      </c>
      <c r="D185" s="1323">
        <f t="shared" si="42"/>
        <v>0</v>
      </c>
      <c r="E185" s="1294">
        <v>35</v>
      </c>
      <c r="F185" s="1295">
        <f t="shared" si="43"/>
        <v>0</v>
      </c>
      <c r="G185" s="1296">
        <v>35</v>
      </c>
      <c r="H185" s="1297">
        <f t="shared" si="44"/>
        <v>0</v>
      </c>
      <c r="I185" s="1298">
        <v>35</v>
      </c>
      <c r="J185" s="1299">
        <f t="shared" si="45"/>
        <v>0</v>
      </c>
      <c r="K185" s="1300">
        <v>35</v>
      </c>
      <c r="L185" s="1301">
        <f t="shared" si="46"/>
        <v>0</v>
      </c>
      <c r="M185" s="932"/>
      <c r="N185" s="932"/>
      <c r="O185" s="932">
        <f>Q181/O181</f>
        <v>10</v>
      </c>
      <c r="P185" s="1194"/>
      <c r="Q185" s="1194"/>
      <c r="R185" s="1194"/>
      <c r="S185" s="1406" t="s">
        <v>925</v>
      </c>
      <c r="T185" s="1367"/>
      <c r="U185" s="1407"/>
      <c r="V185" s="1411">
        <f>AN55/2</f>
        <v>2025</v>
      </c>
      <c r="W185" s="1194"/>
      <c r="X185" s="1194"/>
      <c r="Y185" s="1194"/>
      <c r="Z185" s="1194"/>
      <c r="AA185" s="1194"/>
      <c r="AB185" s="1194"/>
      <c r="AC185" s="1194"/>
      <c r="AD185" s="1194"/>
      <c r="AE185" s="1194"/>
      <c r="AF185" s="1194"/>
      <c r="AG185" s="1194"/>
      <c r="AH185" s="1194"/>
      <c r="AI185" s="1194"/>
      <c r="AJ185" s="1194"/>
      <c r="AK185" s="1194"/>
      <c r="AL185" s="1194"/>
    </row>
    <row r="186" spans="1:38" s="218" customFormat="1" ht="18" hidden="1">
      <c r="A186" s="441"/>
      <c r="B186" s="175"/>
      <c r="C186" s="1292">
        <v>50</v>
      </c>
      <c r="D186" s="1323">
        <f t="shared" si="42"/>
        <v>0</v>
      </c>
      <c r="E186" s="1294">
        <v>50</v>
      </c>
      <c r="F186" s="1295">
        <f t="shared" si="43"/>
        <v>0</v>
      </c>
      <c r="G186" s="1296">
        <v>50</v>
      </c>
      <c r="H186" s="1297">
        <f t="shared" si="44"/>
        <v>0</v>
      </c>
      <c r="I186" s="1298">
        <v>50</v>
      </c>
      <c r="J186" s="1299">
        <f t="shared" si="45"/>
        <v>0</v>
      </c>
      <c r="K186" s="1300">
        <v>50</v>
      </c>
      <c r="L186" s="1301">
        <f t="shared" si="46"/>
        <v>0</v>
      </c>
      <c r="M186" s="932"/>
      <c r="N186" s="932"/>
      <c r="O186" s="932"/>
      <c r="P186" s="1194"/>
      <c r="Q186" s="1194"/>
      <c r="R186" s="1194"/>
      <c r="S186" s="1406" t="s">
        <v>926</v>
      </c>
      <c r="T186" s="1367"/>
      <c r="U186" s="1407"/>
      <c r="V186" s="1367">
        <f>AO55/2</f>
        <v>0</v>
      </c>
      <c r="W186" s="1194"/>
      <c r="X186" s="1194"/>
      <c r="Y186" s="1194"/>
      <c r="Z186" s="1194"/>
      <c r="AA186" s="1194"/>
      <c r="AB186" s="1194"/>
      <c r="AC186" s="1194"/>
      <c r="AD186" s="1194"/>
      <c r="AE186" s="1194"/>
      <c r="AF186" s="1194"/>
      <c r="AG186" s="1194"/>
      <c r="AH186" s="1194"/>
      <c r="AI186" s="1194"/>
      <c r="AJ186" s="1194"/>
      <c r="AK186" s="1194"/>
      <c r="AL186" s="1194"/>
    </row>
    <row r="187" spans="1:38" s="218" customFormat="1" ht="18.600000000000001" hidden="1" thickBot="1">
      <c r="A187" s="441"/>
      <c r="B187" s="175"/>
      <c r="C187" s="1292">
        <v>70</v>
      </c>
      <c r="D187" s="1323">
        <f t="shared" si="42"/>
        <v>0</v>
      </c>
      <c r="E187" s="1294">
        <v>70</v>
      </c>
      <c r="F187" s="1295">
        <f t="shared" si="43"/>
        <v>0</v>
      </c>
      <c r="G187" s="1296">
        <v>70</v>
      </c>
      <c r="H187" s="1297">
        <f t="shared" si="44"/>
        <v>0</v>
      </c>
      <c r="I187" s="1298">
        <v>70</v>
      </c>
      <c r="J187" s="1299">
        <f t="shared" si="45"/>
        <v>0</v>
      </c>
      <c r="K187" s="1300">
        <v>70</v>
      </c>
      <c r="L187" s="1301">
        <f t="shared" si="46"/>
        <v>0</v>
      </c>
      <c r="M187" s="932"/>
      <c r="N187" s="932"/>
      <c r="O187" s="932"/>
      <c r="P187" s="1194"/>
      <c r="Q187" s="1194"/>
      <c r="R187" s="1194"/>
      <c r="S187" s="1408" t="s">
        <v>925</v>
      </c>
      <c r="T187" s="1409"/>
      <c r="U187" s="1410"/>
      <c r="V187" s="1409">
        <f>AO55/2</f>
        <v>0</v>
      </c>
      <c r="W187" s="1194"/>
      <c r="X187" s="1194"/>
      <c r="Y187" s="1194"/>
      <c r="Z187" s="1194"/>
      <c r="AA187" s="1194"/>
      <c r="AB187" s="1194"/>
      <c r="AC187" s="1194"/>
      <c r="AD187" s="1194"/>
      <c r="AE187" s="1194"/>
      <c r="AF187" s="1194"/>
      <c r="AG187" s="1194"/>
      <c r="AH187" s="1194"/>
      <c r="AI187" s="1194"/>
      <c r="AJ187" s="1194"/>
      <c r="AK187" s="1194"/>
      <c r="AL187" s="1194"/>
    </row>
    <row r="188" spans="1:38" s="218" customFormat="1" ht="19.5" hidden="1" customHeight="1">
      <c r="A188" s="441"/>
      <c r="B188" s="175"/>
      <c r="C188" s="1292">
        <v>95</v>
      </c>
      <c r="D188" s="1323">
        <f t="shared" si="42"/>
        <v>0</v>
      </c>
      <c r="E188" s="1294">
        <v>95</v>
      </c>
      <c r="F188" s="1295">
        <f t="shared" si="43"/>
        <v>0</v>
      </c>
      <c r="G188" s="1296">
        <v>95</v>
      </c>
      <c r="H188" s="1297">
        <f t="shared" si="44"/>
        <v>0</v>
      </c>
      <c r="I188" s="1298">
        <v>95</v>
      </c>
      <c r="J188" s="1299">
        <f t="shared" si="45"/>
        <v>0</v>
      </c>
      <c r="K188" s="1300">
        <v>95</v>
      </c>
      <c r="L188" s="1301">
        <f t="shared" si="46"/>
        <v>0</v>
      </c>
      <c r="M188" s="932"/>
      <c r="N188" s="932"/>
      <c r="O188" s="932"/>
      <c r="P188" s="1194"/>
      <c r="Q188" s="1194"/>
      <c r="R188" s="1194"/>
      <c r="S188" s="1194"/>
      <c r="T188" s="1194"/>
      <c r="U188" s="1194"/>
      <c r="V188" s="1194"/>
      <c r="W188" s="1194"/>
      <c r="X188" s="1194"/>
      <c r="Y188" s="1194"/>
      <c r="Z188" s="1194"/>
      <c r="AA188" s="1194"/>
      <c r="AB188" s="1194"/>
      <c r="AC188" s="1194"/>
      <c r="AD188" s="1194"/>
      <c r="AE188" s="1194"/>
      <c r="AF188" s="1194"/>
      <c r="AG188" s="1194"/>
      <c r="AH188" s="1194"/>
      <c r="AI188" s="1194"/>
      <c r="AJ188" s="1194"/>
      <c r="AK188" s="1194"/>
      <c r="AL188" s="1194"/>
    </row>
    <row r="189" spans="1:38" s="218" customFormat="1" ht="18" hidden="1">
      <c r="A189" s="441"/>
      <c r="B189" s="175"/>
      <c r="C189" s="1292">
        <v>120</v>
      </c>
      <c r="D189" s="1323">
        <f t="shared" si="42"/>
        <v>0</v>
      </c>
      <c r="E189" s="1294">
        <v>120</v>
      </c>
      <c r="F189" s="1295">
        <f t="shared" si="43"/>
        <v>0</v>
      </c>
      <c r="G189" s="1296">
        <v>120</v>
      </c>
      <c r="H189" s="1297">
        <f t="shared" si="44"/>
        <v>0</v>
      </c>
      <c r="I189" s="1298">
        <v>120</v>
      </c>
      <c r="J189" s="1299">
        <f t="shared" si="45"/>
        <v>0</v>
      </c>
      <c r="K189" s="1300">
        <v>120</v>
      </c>
      <c r="L189" s="1301">
        <f t="shared" si="46"/>
        <v>0</v>
      </c>
      <c r="M189" s="932"/>
      <c r="N189" s="932"/>
      <c r="O189" s="932"/>
      <c r="P189" s="1194"/>
      <c r="Q189" s="1194"/>
      <c r="R189" s="1194"/>
      <c r="S189" s="1194"/>
      <c r="T189" s="1194"/>
      <c r="U189" s="1194"/>
      <c r="V189" s="1194"/>
      <c r="W189" s="1194"/>
      <c r="X189" s="1194"/>
      <c r="Y189" s="1194"/>
      <c r="Z189" s="1194"/>
      <c r="AA189" s="1194"/>
      <c r="AB189" s="1194"/>
      <c r="AC189" s="1194"/>
      <c r="AD189" s="1194"/>
      <c r="AE189" s="1194"/>
      <c r="AF189" s="1194"/>
      <c r="AG189" s="1194"/>
      <c r="AH189" s="1194"/>
      <c r="AI189" s="1194"/>
      <c r="AJ189" s="1194"/>
      <c r="AK189" s="1194"/>
      <c r="AL189" s="1194"/>
    </row>
    <row r="190" spans="1:38" s="218" customFormat="1" ht="18" hidden="1">
      <c r="A190" s="441"/>
      <c r="B190" s="175"/>
      <c r="C190" s="1292">
        <v>150</v>
      </c>
      <c r="D190" s="1323">
        <f t="shared" si="42"/>
        <v>0</v>
      </c>
      <c r="E190" s="1294">
        <v>150</v>
      </c>
      <c r="F190" s="1295">
        <f t="shared" si="43"/>
        <v>0</v>
      </c>
      <c r="G190" s="1296">
        <v>150</v>
      </c>
      <c r="H190" s="1297">
        <f t="shared" si="44"/>
        <v>0</v>
      </c>
      <c r="I190" s="1298">
        <v>150</v>
      </c>
      <c r="J190" s="1299">
        <f t="shared" si="45"/>
        <v>0</v>
      </c>
      <c r="K190" s="1300">
        <v>150</v>
      </c>
      <c r="L190" s="1301">
        <f t="shared" si="46"/>
        <v>0</v>
      </c>
      <c r="M190" s="932"/>
      <c r="N190" s="932"/>
      <c r="O190" s="932"/>
      <c r="P190" s="1194"/>
      <c r="Q190" s="1194"/>
      <c r="R190" s="1194"/>
      <c r="S190" s="1194"/>
      <c r="T190" s="1194"/>
      <c r="U190" s="1194"/>
      <c r="V190" s="1194"/>
      <c r="W190" s="1194"/>
      <c r="X190" s="1194"/>
      <c r="Y190" s="1194"/>
      <c r="Z190" s="1194"/>
      <c r="AA190" s="1194"/>
      <c r="AB190" s="1194"/>
      <c r="AC190" s="1194"/>
      <c r="AD190" s="1194"/>
      <c r="AE190" s="1194"/>
      <c r="AF190" s="1194"/>
      <c r="AG190" s="1194"/>
      <c r="AH190" s="1194"/>
      <c r="AI190" s="1194"/>
      <c r="AJ190" s="1194"/>
      <c r="AK190" s="1194"/>
      <c r="AL190" s="1194"/>
    </row>
    <row r="191" spans="1:38" s="218" customFormat="1" ht="18.600000000000001" hidden="1" thickBot="1">
      <c r="A191" s="441"/>
      <c r="B191" s="175"/>
      <c r="C191" s="1292">
        <v>185</v>
      </c>
      <c r="D191" s="1323">
        <f t="shared" si="42"/>
        <v>0</v>
      </c>
      <c r="E191" s="1294">
        <v>185</v>
      </c>
      <c r="F191" s="1295">
        <f t="shared" si="43"/>
        <v>0</v>
      </c>
      <c r="G191" s="1296">
        <v>185</v>
      </c>
      <c r="H191" s="1297">
        <f t="shared" si="44"/>
        <v>0</v>
      </c>
      <c r="I191" s="1298">
        <v>185</v>
      </c>
      <c r="J191" s="1299">
        <f t="shared" si="45"/>
        <v>0</v>
      </c>
      <c r="K191" s="1300">
        <v>185</v>
      </c>
      <c r="L191" s="1301">
        <f t="shared" si="46"/>
        <v>0</v>
      </c>
      <c r="M191" s="932"/>
      <c r="N191" s="932"/>
      <c r="O191" s="932"/>
      <c r="P191" s="1194"/>
      <c r="Q191" s="1194"/>
      <c r="R191" s="1194"/>
      <c r="S191" s="1194"/>
      <c r="T191" s="1194"/>
      <c r="U191" s="1194"/>
      <c r="V191" s="1194"/>
      <c r="W191" s="1194"/>
      <c r="X191" s="1194"/>
      <c r="Y191" s="1194"/>
      <c r="Z191" s="1194"/>
      <c r="AA191" s="1194"/>
      <c r="AB191" s="1194"/>
      <c r="AC191" s="1194"/>
      <c r="AD191" s="1194"/>
      <c r="AE191" s="1194"/>
      <c r="AF191" s="1194"/>
      <c r="AG191" s="1194"/>
      <c r="AH191" s="1194"/>
      <c r="AI191" s="1194"/>
      <c r="AJ191" s="1194"/>
      <c r="AK191" s="1194"/>
      <c r="AL191" s="1194"/>
    </row>
    <row r="192" spans="1:38" s="218" customFormat="1" ht="18" hidden="1">
      <c r="A192" s="441"/>
      <c r="B192" s="175"/>
      <c r="C192" s="1292">
        <v>240</v>
      </c>
      <c r="D192" s="1323">
        <f t="shared" si="42"/>
        <v>0</v>
      </c>
      <c r="E192" s="1294">
        <v>240</v>
      </c>
      <c r="F192" s="1295">
        <f t="shared" si="43"/>
        <v>0</v>
      </c>
      <c r="G192" s="1296">
        <v>240</v>
      </c>
      <c r="H192" s="1297">
        <f t="shared" si="44"/>
        <v>0</v>
      </c>
      <c r="I192" s="1298">
        <v>240</v>
      </c>
      <c r="J192" s="1299">
        <f t="shared" si="45"/>
        <v>0</v>
      </c>
      <c r="K192" s="1300">
        <v>240</v>
      </c>
      <c r="L192" s="1301">
        <f t="shared" si="46"/>
        <v>0</v>
      </c>
      <c r="M192" s="932"/>
      <c r="N192" s="932"/>
      <c r="O192" s="932"/>
      <c r="P192" s="1354" t="s">
        <v>118</v>
      </c>
      <c r="Q192" s="1355">
        <f>IF($AZ$25=P192,$BA$25,0)+IF($AZ$26=P192,$BA$26,0)+IF($AZ27=P192,$BA$27,0)+IF($AZ$28=P192,$BA$28,0)+IF($AZ$29=P192,$BA$29,0)+IF($AZ$30=P192,#REF!,0)+IF($AZ$31=P192,$BA$30,0)+IF($AZ$32=P192,$BA$31,0)+IF($AZ$33=P192,$BA$32,0)+IF($AZ$34=P192,$BA$33,0)+IF($AZ$35=P192,$BA$34,0)+IF($AZ$36=P192,$BA$35,0)+IF($AZ$37=P192,$BA$36,0)+IF($AZ$38=P192,$BA$37,0)+IF($AZ$39=P192,$BA$38,0)+IF($AZ$40=P192,$BA$39,0)+IF($AZ$41=P192,$BA$40,0)+IF($AZ$42=P192,$BA$41,0)+IF($AZ$43=P192,$BA$42,0)+IF($AZ$44=P192,$BA$43,0)+IF($AZ$45=P192,$BA$44,0)+IF($AZ$46=P192,$BA$45,0)+IF($AZ$47=P192,$BA$46,0)+IF($AZ$48=P192,$BA$47,0)+IF($AZ$49=P192,$BA$48,0)+IF($AZ$50=P192,$BA$49,0)+IF($AZ$51=P192,$BA$50,0)+IF($AZ$52=P192,$BA$51,0)+IF($AZ$53=P192,$BA$52,0)+IF($AZ$54=P192,$BA$53,0)</f>
        <v>0</v>
      </c>
      <c r="R192" s="1194"/>
      <c r="S192" s="1194"/>
      <c r="T192" s="1194"/>
      <c r="U192" s="1194"/>
      <c r="V192" s="1194"/>
      <c r="W192" s="1194"/>
      <c r="X192" s="1194"/>
      <c r="Y192" s="1194"/>
      <c r="Z192" s="1194"/>
      <c r="AA192" s="1194"/>
      <c r="AB192" s="1194"/>
      <c r="AC192" s="1194"/>
      <c r="AD192" s="1194"/>
      <c r="AE192" s="1194"/>
      <c r="AF192" s="1194"/>
      <c r="AG192" s="1194"/>
      <c r="AH192" s="1194"/>
      <c r="AI192" s="1194"/>
      <c r="AJ192" s="1194"/>
      <c r="AK192" s="1194"/>
      <c r="AL192" s="1194"/>
    </row>
    <row r="193" spans="1:42" s="218" customFormat="1" ht="18.600000000000001" hidden="1" thickBot="1">
      <c r="A193" s="441"/>
      <c r="B193" s="175"/>
      <c r="C193" s="1356">
        <v>300</v>
      </c>
      <c r="D193" s="1357">
        <f t="shared" si="42"/>
        <v>0</v>
      </c>
      <c r="E193" s="1358">
        <v>300</v>
      </c>
      <c r="F193" s="1359">
        <f t="shared" si="43"/>
        <v>0</v>
      </c>
      <c r="G193" s="1360">
        <v>300</v>
      </c>
      <c r="H193" s="1361">
        <f t="shared" si="44"/>
        <v>0</v>
      </c>
      <c r="I193" s="1362">
        <v>300</v>
      </c>
      <c r="J193" s="1363">
        <f t="shared" si="45"/>
        <v>0</v>
      </c>
      <c r="K193" s="1364">
        <v>300</v>
      </c>
      <c r="L193" s="1365">
        <f t="shared" si="46"/>
        <v>0</v>
      </c>
      <c r="M193" s="932"/>
      <c r="N193" s="932"/>
      <c r="O193" s="932"/>
      <c r="P193" s="1366" t="s">
        <v>119</v>
      </c>
      <c r="Q193" s="1367">
        <f>IF($AZ$25=P193,$BA$25,0)+IF($AZ$26=P193,$BA$26,0)+IF($AZ28=P193,$BA$27,0)+IF($AZ$28=P193,$BA$28,0)+IF($AZ$29=P193,$BA$29,0)+IF($AZ$30=P193,#REF!,0)+IF($AZ$31=P193,$BA$30,0)+IF($AZ$32=P193,$BA$31,0)+IF($AZ$33=P193,$BA$32,0)+IF($AZ$34=P193,$BA$33,0)+IF($AZ$35=P193,$BA$34,0)+IF($AZ$36=P193,$BA$35,0)+IF($AZ$37=P193,$BA$36,0)+IF($AZ$38=P193,$BA$37,0)+IF($AZ$39=P193,$BA$38,0)+IF($AZ$40=P193,$BA$39,0)+IF($AZ$41=P193,$BA$40,0)+IF($AZ$42=P193,$BA$41,0)+IF($AZ$43=P193,$BA$42,0)+IF($AZ$44=P193,$BA$43,0)+IF($AZ$45=P193,$BA$44,0)+IF($AZ$46=P193,$BA$45,0)+IF($AZ$47=P193,$BA$46,0)+IF($AZ$48=P193,$BA$47,0)+IF($AZ$49=P193,$BA$48,0)+IF($AZ$50=P193,$BA$49,0)+IF($AZ$51=P193,$BA$50,0)+IF($AZ$52=P193,$BA$51,0)+IF($AZ$53=P193,$BA$52,0)+IF($AZ$54=P193,$BA$53,0)</f>
        <v>0</v>
      </c>
      <c r="R193" s="1194"/>
      <c r="S193" s="1194"/>
      <c r="T193" s="1194"/>
      <c r="U193" s="1194"/>
      <c r="V193" s="1194"/>
      <c r="W193" s="1194"/>
      <c r="X193" s="1194"/>
      <c r="Y193" s="1194"/>
      <c r="Z193" s="1194"/>
      <c r="AA193" s="1194"/>
      <c r="AB193" s="1194"/>
      <c r="AC193" s="1194"/>
      <c r="AD193" s="1194"/>
      <c r="AE193" s="1194"/>
      <c r="AF193" s="1194"/>
      <c r="AG193" s="1194"/>
      <c r="AH193" s="1194"/>
      <c r="AI193" s="1194"/>
      <c r="AJ193" s="1194"/>
      <c r="AK193" s="1194"/>
      <c r="AL193" s="1194"/>
    </row>
    <row r="194" spans="1:42" s="218" customFormat="1" ht="18.600000000000001" hidden="1" thickBot="1">
      <c r="A194" s="441"/>
      <c r="B194" s="175"/>
      <c r="C194" s="3009" t="s">
        <v>927</v>
      </c>
      <c r="D194" s="3010"/>
      <c r="E194" s="3183"/>
      <c r="F194" s="3183"/>
      <c r="G194" s="2985"/>
      <c r="H194" s="2985"/>
      <c r="I194" s="2985"/>
      <c r="J194" s="2985"/>
      <c r="K194" s="175"/>
      <c r="L194" s="175"/>
      <c r="M194" s="175"/>
      <c r="N194" s="175"/>
      <c r="O194" s="175"/>
      <c r="P194" s="748" t="s">
        <v>120</v>
      </c>
      <c r="Q194" s="749">
        <f>IF($AZ$25=P194,$BA$25,0)+IF($AZ$26=P194,$BA$26,0)+IF($AZ27=P194,$BA$27,0)+IF($AZ$28=P194,$BA$28,0)+IF($AZ$29=P194,$BA$29,0)+IF($AZ$30=P194,#REF!,0)+IF($AZ$31=P194,$BA$30,0)+IF($AZ$32=P194,$BA$31,0)+IF($AZ$33=P194,$BA$32,0)+IF($AZ$34=P194,$BA$33,0)+IF($AZ$35=P194,$BA$34,0)+IF($AZ$36=P194,$BA$35,0)+IF($AZ$37=P194,$BA$36,0)+IF($AZ$38=P194,$BA$37,0)+IF($AZ$39=P194,$BA$38,0)+IF($AZ$40=P194,$BA$39,0)+IF($AZ$41=P194,$BA$40,0)+IF($AZ$42=P194,$BA$41,0)+IF($AZ$43=P194,$BA$42,0)+IF($AZ$44=P194,$BA$43,0)+IF($AZ$45=P194,$BA$44,0)+IF($AZ$46=P194,$BA$45,0)+IF($AZ$47=P194,$BA$46,0)+IF($AZ$48=P194,$BA$47,0)+IF($AZ$49=P194,$BA$48,0)+IF($AZ$50=P194,$BA$49,0)+IF($AZ$51=P194,$BA$50,0)+IF($AZ$52=P194,$BA$51,0)+IF($AZ$53=P194,$BA$52,0)+IF($AZ$54=P194,$BA$53,0)</f>
        <v>0</v>
      </c>
      <c r="R194" s="47"/>
      <c r="S194" s="47"/>
      <c r="T194" s="47"/>
      <c r="U194" s="47"/>
      <c r="V194" s="47"/>
    </row>
    <row r="195" spans="1:42" s="218" customFormat="1" ht="18.600000000000001" hidden="1" thickBot="1">
      <c r="A195" s="441"/>
      <c r="B195" s="175"/>
      <c r="C195" s="1080">
        <v>16</v>
      </c>
      <c r="D195" s="1081" cm="1">
        <f t="array" ref="D195">IFERROR(_xlfn.IFS($AA$60=$S$170,$Z$60,$AA$62=$S$170,$Z$62,$AA$64=$S$170,$Z$64,$AA$66=$S$170,$Z$66,$AA$68=$S$170,$Z$68,$AA$70=$S$170,$Z$70,$AA$72=$S$170,$Z$72,$AA$74=$S$170,$Z$74,$AA$76=$S$170,$Z$76,$AA$78=$S$170,$Z$78,$AA$80=$S$170,$Z$80,$AA$82=$S$170,$Z$82,$AA$84=$S$170,$Z$84,$AA$86=$S$170,$Z$86,$AA$88=$S$170,$Z$88,$AA$90=$S$170,$Z$90,$AA$92=$S$170,$Z$92,$AA$94=$S$170,$Z$94,$AA$96=$S$170,$Z$96,$AA$98=$S$170,$Z$98,$AA$100=$S$170,$Z$100,$AA$102=$S$170,$Z$102,$AA$104=$S$170,$Z$104,$AA$106=$S$170,$Z$106,$AA$108=$S$170,$Z$108,$AA$110=$S$170,$Z$110,$AA$112=$S$170,$Z$112,$AA$114=$S$170,$Z$114,$AA$116=$S$170,$Z$116,$AA$118=$S$170,$Z$118),0)</f>
        <v>0</v>
      </c>
      <c r="E195" s="706"/>
      <c r="F195" s="438"/>
      <c r="G195" s="706"/>
      <c r="H195" s="705"/>
      <c r="I195" s="706"/>
      <c r="J195" s="705"/>
      <c r="K195" s="175"/>
      <c r="L195" s="175"/>
      <c r="M195" s="175"/>
      <c r="N195" s="175"/>
      <c r="O195" s="175"/>
      <c r="P195" s="175"/>
      <c r="Q195" s="175"/>
      <c r="R195" s="47"/>
      <c r="S195" s="823"/>
      <c r="T195" s="823"/>
      <c r="U195" s="823"/>
      <c r="V195" s="823"/>
    </row>
    <row r="196" spans="1:42" s="218" customFormat="1" ht="20.399999999999999" hidden="1" thickBot="1">
      <c r="A196" s="441"/>
      <c r="B196" s="175"/>
      <c r="C196" s="718">
        <v>25</v>
      </c>
      <c r="D196" s="825" cm="1">
        <f t="array" ref="D196">IFERROR(_xlfn.IFS($AA$60=$S$171,$Z$60,$AA$62=$S$171,$Z$62,$AA$64=$S$171,$Z$64,$AA$66=$S$171,$Z$66,$AA$68=$S$171,$Z$68,$AA$70=$S$171,$Z$70,$AA$72=$S$171,$Z$72,$AA$74=$S$171,$Z$74,$AA$76=$S$171,$Z$76,$AA$78=$S$171,$Z$78,$AA$80=$S$171,$Z$80,$AA$82=$S$171,$Z$82,$AA$84=$S$171,$Z$84,$AA$86=$S$171,$Z$86,$AA$88=$S$171,$Z$88,$AA$90=$S$171,$Z$90,$AA$92=$S$171,$Z$92,$AA$94=$S$171,$Z$94,$AA$96=$S$171,$Z$96,$AA$98=$S$171,$Z$98,$AA$100=$S$171,$Z$100,$AA$102=$S$171,$Z$102,$AA$104=$S$171,$Z$104,$AA$106=$S$171,$Z$106,$AA$108=$S$171,$Z$108,$AA$110=$S$171,$Z$110,$AA$112=$S$171,$Z$112,$AA$114=$S$171,$Z$114,$AA$116=$S$171,$Z$116,$AA$118=$S$171,$Z$118),0)</f>
        <v>0</v>
      </c>
      <c r="E196" s="706"/>
      <c r="F196" s="733" t="s">
        <v>928</v>
      </c>
      <c r="G196" s="706"/>
      <c r="I196" s="706"/>
      <c r="J196" s="705"/>
      <c r="K196" s="175"/>
      <c r="L196" s="175"/>
      <c r="M196" s="175"/>
      <c r="N196" s="175"/>
      <c r="O196" s="175"/>
      <c r="P196" s="3147" t="s">
        <v>929</v>
      </c>
      <c r="Q196" s="3147"/>
      <c r="R196" s="47"/>
      <c r="S196" s="823"/>
      <c r="T196" s="823"/>
      <c r="U196" s="823"/>
      <c r="V196" s="823"/>
    </row>
    <row r="197" spans="1:42" s="218" customFormat="1" ht="18.600000000000001" hidden="1" thickBot="1">
      <c r="A197" s="441"/>
      <c r="B197" s="175"/>
      <c r="C197" s="718">
        <v>35</v>
      </c>
      <c r="D197" s="825" cm="1">
        <f t="array" ref="D197">IFERROR(_xlfn.IFS($AA$60=$S$172,$Z$60,$AA$62=$S$172,$Z$62,$AA$64=$S$172,$Z$64,$AA$66=$S$172,$Z$66,$AA$68=$S$172,$Z$68,$AA$70=$S$172,$Z$70,$AA$72=$S$172,$Z$72,$AA$74=$S$172,$Z$74,$AA$76=$S$172,$Z$76,$AA$78=$S$172,$Z$78,$AA$80=$S$172,$Z$80,$AA$82=$S$172,$Z$82,$AA$84=$S$172,$Z$84,$AA$86=$S$172,$Z$86,$AA$88=$S$172,$Z$88,$AA$90=$S$172,$Z$90,$AA$92=$S$172,$Z$92,$AA$94=$S$172,$Z$94,$AA$96=$S$172,$Z$96,$AA$98=$S$172,$Z$98,$AA$100=$S$172,$Z$100,$AA$102=$S$172,$Z$102,$AA$104=$S$172,$Z$104,$AA$106=$S$172,$Z$106,$AA$108=$S$172,$Z$108,$AA$110=$S$172,$Z$110,$AA$112=$S$172,$Z$112,$AA$114=$S$172,$Z$114,$AA$116=$S$172,$Z$116,$AA$118=$S$172,$Z$118),0)</f>
        <v>0</v>
      </c>
      <c r="E197" s="706"/>
      <c r="F197" s="734" t="s">
        <v>728</v>
      </c>
      <c r="G197" s="706"/>
      <c r="I197" s="3128" t="s">
        <v>871</v>
      </c>
      <c r="J197" s="3129"/>
      <c r="K197" s="3129" t="s">
        <v>910</v>
      </c>
      <c r="L197" s="3132"/>
      <c r="M197" s="175"/>
      <c r="N197" s="175"/>
      <c r="O197" s="175"/>
      <c r="P197" s="1102" t="s">
        <v>930</v>
      </c>
      <c r="Q197" s="1102" t="s">
        <v>931</v>
      </c>
      <c r="R197" s="47"/>
      <c r="S197" s="823"/>
      <c r="T197" s="823"/>
      <c r="U197" s="823"/>
      <c r="V197" s="823"/>
    </row>
    <row r="198" spans="1:42" s="218" customFormat="1" ht="19.8" hidden="1">
      <c r="A198" s="441"/>
      <c r="B198" s="175"/>
      <c r="C198" s="718">
        <v>50</v>
      </c>
      <c r="D198" s="825" cm="1">
        <f t="array" ref="D198">IFERROR(_xlfn.IFS($AA$60=$S$173,$Z$60,$AA$62=$S$173,$Z$62,$AA$64=$S$173,$Z$64,$AA$66=$S$173,$Z$66,$AA$68=$S$173,$Z$68,$AA$70=$S$173,$Z$70,$AA$72=$S$173,$Z$72,$AA$74=$S$173,$Z$74,$AA$76=$S$173,$Z$76,$AA$78=$S$173,$Z$78,$AA$80=$S$173,$Z$80,$AA$82=$S$173,$Z$82,$AA$84=$S$173,$Z$84,$AA$86=$S$173,$Z$86,$AA$88=$S$173,$Z$88,$AA$90=$S$173,$Z$90,$AA$92=$S$173,$Z$92,$AA$94=$S$173,$Z$94,$AA$96=$S$173,$Z$96,$AA$98=$S$173,$Z$98,$AA$100=$S$173,$Z$100,$AA$102=$S$173,$Z$102,$AA$104=$S$173,$Z$104,$AA$106=$S$173,$Z$106,$AA$108=$S$173,$Z$108,$AA$110=$S$173,$Z$110,$AA$112=$S$173,$Z$112,$AA$114=$S$173,$Z$114,$AA$116=$S$173,$Z$116,$AA$118=$S$173,$Z$118),0)</f>
        <v>0</v>
      </c>
      <c r="E198" s="706"/>
      <c r="F198" s="734" t="s">
        <v>932</v>
      </c>
      <c r="G198" s="706"/>
      <c r="I198" s="3124" t="s">
        <v>384</v>
      </c>
      <c r="J198" s="3125"/>
      <c r="K198" s="3130">
        <f t="shared" ref="K198:K206" si="47">COUNTIF($C$25:$C$54,R7)</f>
        <v>0</v>
      </c>
      <c r="L198" s="3131"/>
      <c r="M198" s="175"/>
      <c r="N198" s="175"/>
      <c r="O198" s="175"/>
      <c r="P198" s="1102"/>
      <c r="Q198" s="1102"/>
      <c r="R198" s="47"/>
      <c r="S198" s="823"/>
      <c r="T198" s="823"/>
      <c r="U198" s="823"/>
      <c r="V198" s="823"/>
    </row>
    <row r="199" spans="1:42" s="218" customFormat="1" ht="19.8" hidden="1">
      <c r="A199" s="441"/>
      <c r="B199" s="175"/>
      <c r="C199" s="718">
        <v>70</v>
      </c>
      <c r="D199" s="825" cm="1">
        <f t="array" ref="D199">IFERROR(_xlfn.IFS($AA$60=$S$174,$Z$60,$AA$62=$S$174,$Z$62,$AA$64=$S$174,$Z$64,$AA$66=$S$174,$Z$66,$AA$68=$S$174,$Z$68,$AA$70=$S$174,$Z$70,$AA$72=$S$174,$Z$72,$AA$74=$S$174,$Z$74,$AA$76=$S$174,$Z$76,$AA$78=$S$174,$Z$78,$AA$80=$S$174,$Z$80,$AA$82=$S$174,$Z$82,$AA$84=$S$174,$Z$84,$AA$86=$S$174,$Z$86,$AA$88=$S$174,$Z$88,$AA$90=$S$174,$Z$90,$AA$92=$S$174,$Z$92,$AA$94=$S$174,$Z$94,$AA$96=$S$174,$Z$96,$AA$98=$S$174,$Z$98,$AA$100=$S$174,$Z$100,$AA$102=$S$174,$Z$102,$AA$104=$S$174,$Z$104,$AA$106=$S$174,$Z$106,$AA$108=$S$174,$Z$108,$AA$110=$S$174,$Z$110,$AA$112=$S$174,$Z$112,$AA$114=$S$174,$Z$114,$AA$116=$S$174,$Z$116,$AA$118=$S$174,$Z$118),0)</f>
        <v>0</v>
      </c>
      <c r="E199" s="706"/>
      <c r="F199" s="734" t="s">
        <v>933</v>
      </c>
      <c r="G199" s="706"/>
      <c r="I199" s="2986" t="s">
        <v>633</v>
      </c>
      <c r="J199" s="2987"/>
      <c r="K199" s="2990">
        <f t="shared" si="47"/>
        <v>0</v>
      </c>
      <c r="L199" s="2991"/>
      <c r="M199" s="175"/>
      <c r="N199" s="175"/>
      <c r="O199" s="175"/>
      <c r="P199" s="1103" t="s">
        <v>731</v>
      </c>
      <c r="Q199" s="1103" cm="1">
        <f t="array" ref="Q199">SUMPRODUCT((AG25:AG54=P199)*(AH25:AH54))</f>
        <v>1</v>
      </c>
      <c r="R199" s="47"/>
      <c r="S199" s="823"/>
      <c r="T199" s="823"/>
      <c r="U199" s="823"/>
      <c r="V199" s="823"/>
    </row>
    <row r="200" spans="1:42" s="218" customFormat="1" ht="19.8" hidden="1">
      <c r="A200" s="441"/>
      <c r="B200" s="175"/>
      <c r="C200" s="718">
        <v>95</v>
      </c>
      <c r="D200" s="825" cm="1">
        <f t="array" ref="D200">IFERROR(_xlfn.IFS($AA$60=$S$175,$Z$60,$AA$62=$S$175,$Z$62,$AA$64=$S$175,$Z$64,$AA$66=$S$175,$Z$66,$AA$68=$S$175,$Z$68,$AA$70=$S$175,$Z$70,$AA$72=$S$175,$Z$72,$AA$74=$S$175,$Z$74,$AA$76=$S$175,$Z$76,$AA$78=$S$175,$Z$78,$AA$80=$S$175,$Z$80,$AA$82=$S$175,$Z$82,$AA$84=$S$175,$Z$84,$AA$86=$S$175,$Z$86,$AA$88=$S$175,$Z$88,$AA$90=$S$175,$Z$90,$AA$92=$S$175,$Z$92,$AA$94=$S$175,$Z$94,$AA$96=$S$175,$Z$96,$AA$98=$S$175,$Z$98,$AA$100=$S$175,$Z$100,$AA$102=$S$175,$Z$102,$AA$104=$S$175,$Z$104,$AA$106=$S$175,$Z$106,$AA$108=$S$175,$Z$108,$AA$110=$S$175,$Z$110,$AA$112=$S$175,$Z$112,$AA$114=$S$175,$Z$114,$AA$116=$S$175,$Z$116,$AA$118=$S$175,$Z$118),0)</f>
        <v>0</v>
      </c>
      <c r="E200" s="706"/>
      <c r="F200" s="734" t="s">
        <v>934</v>
      </c>
      <c r="G200" s="706"/>
      <c r="H200" s="705"/>
      <c r="I200" s="2986" t="s">
        <v>411</v>
      </c>
      <c r="J200" s="2987"/>
      <c r="K200" s="2990">
        <f t="shared" si="47"/>
        <v>0</v>
      </c>
      <c r="L200" s="2991"/>
      <c r="M200" s="175"/>
      <c r="N200" s="175"/>
      <c r="O200" s="175"/>
      <c r="P200" s="1103" t="s">
        <v>733</v>
      </c>
      <c r="Q200" s="1103" cm="1">
        <f t="array" ref="Q200">SUMPRODUCT((AG25:AG54=P200)*(AH25:AH54))</f>
        <v>0</v>
      </c>
      <c r="R200" s="47"/>
      <c r="S200" s="823"/>
      <c r="T200" s="823"/>
      <c r="U200" s="823"/>
      <c r="V200" s="823"/>
    </row>
    <row r="201" spans="1:42" s="218" customFormat="1" ht="19.8" hidden="1">
      <c r="A201" s="441"/>
      <c r="B201" s="175"/>
      <c r="C201" s="718">
        <v>120</v>
      </c>
      <c r="D201" s="825" cm="1">
        <f t="array" ref="D201">IFERROR(_xlfn.IFS($AA$60=$S$176,$Z$60,$AA$62=$S$176,$Z$62,$AA$64=$S$176,$Z$64,$AA$66=$S$176,$Z$66,$AA$68=$S$176,$Z$68,$AA$70=$S$176,$Z$70,$AA$72=$S$176,$Z$72,$AA$74=$S$176,$Z$74,$AA$76=$S$176,$Z$76,$AA$78=$S$176,$Z$78,$AA$80=$S$176,$Z$80,$AA$82=$S$176,$Z$82,$AA$84=$S$176,$Z$84,$AA$86=$S$176,$Z$86,$AA$88=$S$176,$Z$88,$AA$90=$S$176,$Z$90,$AA$92=$S$176,$Z$92,$AA$94=$S$176,$Z$94,$AA$96=$S$176,$Z$96,$AA$98=$S$176,$Z$98,$AA$100=$S$176,$Z$100,$AA$102=$S$176,$Z$102,$AA$104=$S$176,$Z$104,$AA$106=$S$176,$Z$106,$AA$108=$S$176,$Z$108,$AA$110=$S$176,$Z$110,$AA$112=$S$176,$Z$112,$AA$114=$S$176,$Z$114,$AA$116=$S$176,$Z$116,$AA$118=$S$176,$Z$118),0)</f>
        <v>0</v>
      </c>
      <c r="E201" s="706"/>
      <c r="F201" s="734" t="s">
        <v>935</v>
      </c>
      <c r="G201" s="706"/>
      <c r="H201" s="704"/>
      <c r="I201" s="2986" t="s">
        <v>640</v>
      </c>
      <c r="J201" s="2987"/>
      <c r="K201" s="2990">
        <f t="shared" si="47"/>
        <v>1</v>
      </c>
      <c r="L201" s="2991"/>
      <c r="M201" s="175"/>
      <c r="N201" s="175"/>
      <c r="O201" s="175"/>
      <c r="P201" s="175"/>
      <c r="Q201" s="175"/>
      <c r="R201" s="47"/>
      <c r="S201" s="823"/>
      <c r="T201" s="823"/>
      <c r="U201" s="823"/>
      <c r="V201" s="823"/>
    </row>
    <row r="202" spans="1:42" s="218" customFormat="1" ht="19.8" hidden="1">
      <c r="A202" s="441"/>
      <c r="B202" s="175"/>
      <c r="C202" s="718">
        <v>150</v>
      </c>
      <c r="D202" s="825" cm="1">
        <f t="array" ref="D202">IFERROR(_xlfn.IFS($AA$60=$S$177,$Z$60,$AA$62=$S$177,$Z$62,$AA$64=$S$177,$Z$64,$AA$66=$S$177,$Z$66,$AA$68=$S$177,$Z$68,$AA$70=$S$177,$Z$70,$AA$72=$S$177,$Z$72,$AA$74=$S$177,$Z$74,$AA$76=$S$177,$Z$76,$AA$78=$S$177,$Z$78,$AA$80=$S$177,$Z$80,$AA$82=$S$177,$Z$82,$AA$84=$S$177,$Z$84,$AA$86=$S$177,$Z$86,$AA$88=$S$177,$Z$88,$AA$90=$S$177,$Z$90,$AA$92=$S$177,$Z$92,$AA$94=$S$177,$Z$94,$AA$96=$S$177,$Z$96,$AA$98=$S$177,$Z$98,$AA$100=$S$177,$Z$100,$AA$102=$S$177,$Z$102,$AA$104=$S$177,$Z$104,$AA$106=$S$177,$Z$106,$AA$108=$S$177,$Z$108,$AA$110=$S$177,$Z$110,$AA$112=$S$177,$Z$112,$AA$114=$S$177,$Z$114,$AA$116=$S$177,$Z$116,$AA$118=$S$177,$Z$118),0)</f>
        <v>0</v>
      </c>
      <c r="E202" s="706"/>
      <c r="F202" s="734" t="s">
        <v>936</v>
      </c>
      <c r="G202" s="706"/>
      <c r="H202" s="707"/>
      <c r="I202" s="2986" t="s">
        <v>642</v>
      </c>
      <c r="J202" s="2987"/>
      <c r="K202" s="2990">
        <f t="shared" si="47"/>
        <v>0</v>
      </c>
      <c r="L202" s="2991"/>
      <c r="M202" s="175"/>
      <c r="N202" s="175"/>
      <c r="O202" s="175"/>
      <c r="P202" s="175"/>
      <c r="Q202" s="175"/>
      <c r="R202" s="47"/>
      <c r="S202" s="823"/>
      <c r="T202" s="823"/>
      <c r="U202" s="823"/>
      <c r="V202" s="823"/>
    </row>
    <row r="203" spans="1:42" s="218" customFormat="1" ht="19.8" hidden="1">
      <c r="A203" s="441"/>
      <c r="B203" s="175"/>
      <c r="C203" s="718">
        <v>185</v>
      </c>
      <c r="D203" s="825" cm="1">
        <f t="array" ref="D203">IFERROR(_xlfn.IFS($AA$60=$S$178,$Z$60,$AA$62=$S$178,$Z$62,$AA$64=$S$178,$Z$64,$AA$66=$S$178,$Z$66,$AA$68=$S$178,$Z$68,$AA$70=$S$178,$Z$70,$AA$72=$S$178,$Z$72,$AA$74=$S$178,$Z$74,$AA$76=$S$178,$Z$76,$AA$78=$S$178,$Z$78,$AA$80=$S$178,$Z$80,$AA$82=$S$178,$Z$82,$AA$84=$S$178,$Z$84,$AA$86=$S$178,$Z$86,$AA$88=$S$178,$Z$88,$AA$90=$S$178,$Z$90,$AA$92=$S$178,$Z$92,$AA$94=$S$178,$Z$94,$AA$96=$S$178,$Z$96,$AA$98=$S$178,$Z$98,$AA$100=$S$178,$Z$100,$AA$102=$S$178,$Z$102,$AA$104=$S$178,$Z$104,$AA$106=$S$178,$Z$106,$AA$108=$S$178,$Z$108,$AA$110=$S$178,$Z$110,$AA$112=$S$178,$Z$112,$AA$114=$S$178,$Z$114,$AA$116=$S$178,$Z$116,$AA$118=$S$178,$Z$118),0)</f>
        <v>440</v>
      </c>
      <c r="E203" s="706"/>
      <c r="F203" s="734" t="s">
        <v>937</v>
      </c>
      <c r="G203" s="706"/>
      <c r="H203" s="288"/>
      <c r="I203" s="2986" t="s">
        <v>643</v>
      </c>
      <c r="J203" s="2987"/>
      <c r="K203" s="2990">
        <f t="shared" si="47"/>
        <v>0</v>
      </c>
      <c r="L203" s="2991"/>
      <c r="M203" s="175"/>
      <c r="N203" s="175"/>
      <c r="O203" s="175"/>
      <c r="P203" s="175"/>
      <c r="Q203" s="175"/>
      <c r="R203" s="175"/>
      <c r="S203" s="823"/>
      <c r="T203" s="823"/>
      <c r="U203" s="823"/>
      <c r="V203" s="823"/>
    </row>
    <row r="204" spans="1:42" s="218" customFormat="1" ht="19.8" hidden="1">
      <c r="A204" s="441"/>
      <c r="B204" s="175"/>
      <c r="C204" s="718">
        <v>240</v>
      </c>
      <c r="D204" s="825" cm="1">
        <f t="array" ref="D204">IFERROR(_xlfn.IFS($AA$60=$S$179,$Z$60,$AA$62=$S$179,$Z$62,$AA$64=$S$179,$Z$64,$AA$66=$S$179,$Z$66,$AA$68=$S$179,$Z$68,$AA$70=$S$179,$Z$70,$AA$72=$S$179,$Z$72,$AA$74=$S$179,$Z$74,$AA$76=$S$179,$Z$76,$AA$78=$S$179,$Z$78,$AA$80=$S$179,$Z$80,$AA$82=$S$179,$Z$82,$AA$84=$S$179,$Z$84,$AA$86=$S$179,$Z$86,$AA$88=$S$179,$Z$88,$AA$90=$S$179,$Z$90,$AA$92=$S$179,$Z$92,$AA$94=$S$179,$Z$94,$AA$96=$S$179,$Z$96,$AA$98=$S$179,$Z$98,$AA$100=$S$179,$Z$100,$AA$102=$S$179,$Z$102,$AA$104=$S$179,$Z$104,$AA$106=$S$179,$Z$106,$AA$108=$S$179,$Z$108,$AA$110=$S$179,$Z$110,$AA$112=$S$179,$Z$112,$AA$114=$S$179,$Z$114,$AA$116=$S$179,$Z$116,$AA$118=$S$179,$Z$118),0)</f>
        <v>0</v>
      </c>
      <c r="E204" s="706"/>
      <c r="F204" s="920" t="s">
        <v>938</v>
      </c>
      <c r="G204" s="706"/>
      <c r="I204" s="2986" t="s">
        <v>653</v>
      </c>
      <c r="J204" s="2987"/>
      <c r="K204" s="2990">
        <f t="shared" si="47"/>
        <v>0</v>
      </c>
      <c r="L204" s="2991"/>
      <c r="M204" s="175"/>
      <c r="N204" s="175"/>
      <c r="O204" s="175"/>
      <c r="P204" s="175"/>
      <c r="Q204" s="175"/>
      <c r="R204" s="175"/>
      <c r="S204" s="823"/>
      <c r="T204" s="823"/>
      <c r="U204" s="823"/>
      <c r="V204" s="823"/>
      <c r="AH204" s="173"/>
      <c r="AI204" s="173"/>
    </row>
    <row r="205" spans="1:42" s="218" customFormat="1" ht="20.399999999999999" hidden="1" thickBot="1">
      <c r="A205" s="441"/>
      <c r="B205" s="175"/>
      <c r="C205" s="719">
        <v>300</v>
      </c>
      <c r="D205" s="1082" cm="1">
        <f t="array" ref="D205">IFERROR(_xlfn.IFS($AA$60=$S$180,$Z$60,$AA$62=$S$180,$Z$62,$AA$64=$S$180,$Z$64,$AA$66=$S$180,$Z$66,$AA$68=$S$180,$Z$68,$AA$70=$S$180,$Z$70,$AA$72=$S$180,$Z$72,$AA$74=$S$180,$Z$74,$AA$76=$S$180,$Z$76,$AA$78=$S$180,$Z$78,$AA$80=$S$180,$Z$80,$AA$82=$S$180,$Z$82,$AA$84=$S$180,$Z$84,$AA$86=$S$180,$Z$86,$AA$88=$S$180,$Z$88,$AA$90=$S$180,$Z$90,$AA$92=$S$180,$Z$92,$AA$94=$S$180,$Z$94,$AA$96=$S$180,$Z$96,$AA$98=$S$180,$Z$98,$AA$100=$S$180,$Z$100,$AA$102=$S$180,$Z$102,$AA$104=$S$180,$Z$104,$AA$106=$S$180,$Z$106,$AA$108=$S$180,$Z$108,$AA$110=$S$180,$Z$110,$AA$112=$S$180,$Z$112,$AA$114=$S$180,$Z$114,$AA$116=$S$180,$Z$116,$AA$118=$S$180,$Z$118),0)</f>
        <v>170</v>
      </c>
      <c r="E205" s="706"/>
      <c r="F205" s="921" t="s">
        <v>939</v>
      </c>
      <c r="G205" s="706"/>
      <c r="I205" s="2986" t="s">
        <v>655</v>
      </c>
      <c r="J205" s="2987"/>
      <c r="K205" s="2990">
        <f t="shared" si="47"/>
        <v>0</v>
      </c>
      <c r="L205" s="2991"/>
      <c r="M205" s="175"/>
      <c r="N205" s="175"/>
      <c r="O205" s="175"/>
      <c r="P205" s="175"/>
      <c r="Q205" s="175"/>
      <c r="R205" s="175"/>
      <c r="S205" s="823"/>
      <c r="T205" s="823"/>
      <c r="U205" s="823"/>
      <c r="V205" s="823"/>
      <c r="AH205" s="173"/>
      <c r="AI205" s="173"/>
    </row>
    <row r="206" spans="1:42" s="218" customFormat="1" ht="20.399999999999999" hidden="1" thickBot="1">
      <c r="A206" s="441"/>
      <c r="B206" s="175"/>
      <c r="E206" s="706"/>
      <c r="G206" s="706"/>
      <c r="I206" s="3198" t="s">
        <v>387</v>
      </c>
      <c r="J206" s="3199"/>
      <c r="K206" s="2988">
        <f t="shared" si="47"/>
        <v>0</v>
      </c>
      <c r="L206" s="2989"/>
      <c r="M206" s="175"/>
      <c r="N206" s="175"/>
      <c r="O206" s="175"/>
      <c r="P206" s="175"/>
      <c r="Q206" s="175"/>
      <c r="R206" s="175"/>
      <c r="S206" s="823"/>
      <c r="T206" s="823"/>
      <c r="U206" s="823"/>
      <c r="V206" s="823"/>
      <c r="AG206" s="173"/>
      <c r="AH206" s="173"/>
      <c r="AI206" s="173"/>
      <c r="AJ206" s="173"/>
      <c r="AK206" s="173"/>
      <c r="AL206" s="173"/>
      <c r="AM206" s="173"/>
      <c r="AN206" s="173"/>
      <c r="AO206" s="173"/>
      <c r="AP206" s="173"/>
    </row>
    <row r="207" spans="1:42" s="218" customFormat="1" ht="20.25" hidden="1" customHeight="1" thickBot="1">
      <c r="A207" s="441"/>
      <c r="B207" s="175"/>
      <c r="C207" s="175"/>
      <c r="D207" s="175"/>
      <c r="E207" s="175"/>
      <c r="G207" s="175"/>
      <c r="I207" s="3126" t="s">
        <v>940</v>
      </c>
      <c r="J207" s="3127"/>
      <c r="K207" s="3133">
        <f>K201+K202+K204+K205</f>
        <v>1</v>
      </c>
      <c r="L207" s="3134"/>
      <c r="M207" s="175"/>
      <c r="N207" s="175"/>
      <c r="O207" s="175"/>
      <c r="P207" s="175"/>
      <c r="Q207" s="175"/>
      <c r="R207" s="175"/>
      <c r="S207" s="823"/>
      <c r="T207" s="823"/>
      <c r="U207" s="823"/>
      <c r="V207" s="823"/>
      <c r="AG207" s="173"/>
      <c r="AH207" s="173"/>
      <c r="AI207" s="173"/>
      <c r="AJ207" s="173"/>
      <c r="AK207" s="173"/>
      <c r="AL207" s="173"/>
      <c r="AM207" s="173"/>
      <c r="AN207" s="173"/>
      <c r="AO207" s="173"/>
      <c r="AP207" s="173"/>
    </row>
    <row r="208" spans="1:42" s="173" customFormat="1" ht="19.5" customHeight="1" thickBot="1">
      <c r="A208" s="288"/>
      <c r="B208" s="288"/>
      <c r="C208" s="288"/>
      <c r="D208" s="288"/>
      <c r="E208" s="288"/>
      <c r="F208" s="288"/>
      <c r="K208" s="755"/>
      <c r="L208" s="760"/>
      <c r="M208" s="760"/>
      <c r="O208" s="288"/>
    </row>
    <row r="209" spans="2:42" s="173" customFormat="1" ht="21.75" customHeight="1" thickBot="1">
      <c r="D209" s="2999" t="s">
        <v>941</v>
      </c>
      <c r="E209" s="3000"/>
      <c r="F209" s="3000"/>
      <c r="G209" s="3001"/>
      <c r="K209" s="755"/>
      <c r="L209" s="760">
        <f>K201+K202+K204+K205</f>
        <v>1</v>
      </c>
      <c r="M209" s="760"/>
      <c r="O209" s="288"/>
    </row>
    <row r="210" spans="2:42" s="173" customFormat="1" ht="18.75" customHeight="1">
      <c r="D210" s="3184" t="s">
        <v>942</v>
      </c>
      <c r="E210" s="3185"/>
      <c r="F210" s="3002" t="str">
        <f>'Input''s from BD(Sales)'!B10</f>
        <v>Maharashtra</v>
      </c>
      <c r="G210" s="3003"/>
      <c r="H210" s="289"/>
      <c r="K210" s="755"/>
      <c r="L210" s="760"/>
      <c r="M210" s="760"/>
      <c r="O210" s="288"/>
    </row>
    <row r="211" spans="2:42" s="173" customFormat="1" ht="19.5" customHeight="1">
      <c r="D211" s="3004" t="s">
        <v>943</v>
      </c>
      <c r="E211" s="3005"/>
      <c r="F211" s="2012">
        <f>G55+'Site Vist fomat  (Design)'!C24</f>
        <v>400.52</v>
      </c>
      <c r="G211" s="2013">
        <f>R55+'Site Vist fomat  (Design)'!C24</f>
        <v>300</v>
      </c>
      <c r="K211" s="755"/>
      <c r="L211" s="760"/>
      <c r="M211" s="760"/>
      <c r="O211" s="288"/>
    </row>
    <row r="212" spans="2:42" s="173" customFormat="1" ht="19.5" customHeight="1" thickBot="1">
      <c r="D212" s="3151" t="s">
        <v>944</v>
      </c>
      <c r="E212" s="3152"/>
      <c r="F212" s="1470">
        <f>'Site Vist fomat  (Design)'!C24</f>
        <v>0</v>
      </c>
      <c r="G212" s="1471">
        <f>0</f>
        <v>0</v>
      </c>
      <c r="K212" s="755"/>
      <c r="L212" s="760"/>
      <c r="M212" s="760"/>
      <c r="O212" s="288"/>
    </row>
    <row r="213" spans="2:42" s="173" customFormat="1" ht="19.5" customHeight="1" thickBot="1">
      <c r="K213" s="755"/>
      <c r="L213" s="760"/>
      <c r="M213" s="760"/>
      <c r="O213" s="288"/>
    </row>
    <row r="214" spans="2:42" s="173" customFormat="1" ht="21.75" customHeight="1" thickBot="1">
      <c r="D214" s="3181" t="s">
        <v>945</v>
      </c>
      <c r="E214" s="3182"/>
      <c r="F214" s="290" t="s">
        <v>946</v>
      </c>
      <c r="G214" s="291" t="s">
        <v>947</v>
      </c>
      <c r="K214" s="755"/>
      <c r="L214" s="760"/>
      <c r="M214" s="760"/>
      <c r="O214" s="288"/>
    </row>
    <row r="215" spans="2:42" s="173" customFormat="1" ht="18.75" customHeight="1">
      <c r="D215" s="3119" t="s">
        <v>948</v>
      </c>
      <c r="E215" s="3120"/>
      <c r="F215" s="2010">
        <f>IF(F210=C225,IF($F$211&lt;100,J225,IF($F$211&lt;250,J226,IF($F$211&lt;500,J227,IF($F$211&gt;500,J228,0)))),IF(F210=C229,IF($F$211&lt;50,J229,IF($F$211&lt;200,J230,IF($F$211&lt;500,J231,IF($F$211&gt;500,J232,0)))),IF(F210=C233,IF($G$211&lt;200,J233,IF($G$211&lt;500,J234,IF($G$211&lt;750,J235,IF($G$211&gt;750,J236,0)))),IF(F210=C238,IF($G$211&lt;50,J238,IF($G$211&lt;100,J239,IF($G$211&lt;500,J240,IF($G$211&gt;500,J241,0)))),IF(F210=C242,IF($F$211&lt;50,J242,IF($F$211&lt;100,J243,IF($F$211&lt;500,J244,IF($F$211&gt;500,J245,0)))),IF(F210=C246,IF($F$211&lt;50,J246,IF($F$211&lt;100,J247,IF($F$211&lt;500,J248,IF($F$211&gt;500,J249,0)))),IF(F210=C250,IF($F$211&lt;50,J250,IF($F$211&lt;100,J251,IF($F$211&lt;500,J252,IF($F$211&gt;500,J253,0)))),IF(F210=C254,IF($F$211&lt;50,J254,IF($F$211&lt;100,J255,IF($F$211&lt;500,J256,IF($F$211&gt;500,J257,0)))),IF(F210=C258,IF($F$211&lt;50,J258,IF($F$211&lt;100,J259,IF($F$211&lt;500,J260,IF($F$211&gt;500,J261,0)))),IF(F210=C262,IF($F$211&lt;50,J262,IF($F$211&lt;100,J263,IF($F$211&lt;500,J264,IF($F$211&gt;500,J265,0)))),IF(F210=C266,IF($G$211&lt;50,J266,IF($G$211&lt;101,J267,IF($G$211&lt;501,J268,IF($G$211&lt;1000,J269,IF($G$211&gt;1001,J270,0))))),IF(F210=C271,IF($F$211&lt;50,J271,IF($F$211&lt;100,J272,IF($F$211&lt;500,J273,IF($F$211&gt;500,J274,0)))),IF(F210=C275,IF($F$211&lt;50,J275,IF($F$211&lt;100,J276,IF($F$211&lt;500,J277,IF($F$211&gt;500,J278,0)))),IF(F210=C279,IF($F$211&lt;50,J279,IF($F$211&lt;100,J280,IF($F$211&lt;500,J281,IF($F$211&gt;500,J282,0)))),IF(F210=C283,IF($F$211&lt;50,J283,IF($F$211&lt;100,J284,IF($F$211&lt;500,J285,IF($F$211&gt;500,J286,0)))),IF(F210=C287,IF($F$211&lt;50,J287,IF($F$211&lt;100,J288,IF($F$211&lt;500,J289,IF($F$211&gt;500,J290,0)))),IF(F210=C291,IF($F$211&lt;50,J291,IF($F$211&lt;100,J292,IF($F$211&lt;500,J293,IF($F$211&gt;500,J294,0)))),IF(F210=C295,IF($F$211&lt;50,J295,IF($F$211&lt;100,J296,IF($F$211&lt;500,J297,IF($F$211&gt;500,J298,0)))),IF(F210=C299,IF($G$211&lt;50,J299,IF($G$211&lt;101,J300,IF($G$211&lt;501,J301,IF($G$211&gt;500,J302,0)))),IF(F210=C303,IF($F$211&lt;50,J303,IF($F$211&lt;100,J304,IF($F$211&lt;500,J305,IF($F$211&gt;500,J306,0)))),IF(F210=C307,IF($F$211&lt;50,J307,IF($F$211&lt;100,J308,IF($F$211&lt;500,J309,IF($F$211&gt;500,J310,0)))),IF(F210=C311,IF($F$211&lt;50,J311,IF($F$211&lt;100,J312,IF($F$211&lt;500,J313,IF($F$211&gt;500,J314,0)))),IF(F210=C315,IF($F$211&lt;50,J315,IF($F$211&lt;100,J316,IF($F$211&lt;500,J317,IF($F$211&gt;500,J318,0)))),IF(F210=C319,IF($F$211&lt;50,J319,IF($F$211&lt;100,J320,IF($F$211&lt;500,J321,IF($F$211&gt;500,J322,0)))),IF(F210=C323,IF($F$211&lt;50,J323,IF($F$211&lt;100,J324,IF($F$211&lt;500,J325,IF($F$211&gt;500,J326,0)))),IF(F210=C327,IF($F$211&lt;50,J327,IF($F$211&lt;100,J328,IF($F$211&lt;500,J329,IF($F$211&gt;500,J330,0)))),0))))))))))))))))))))))))))</f>
        <v>190000</v>
      </c>
      <c r="G215" s="2011">
        <f>F215/$F$211/1000</f>
        <v>0.47438330170777993</v>
      </c>
      <c r="K215" s="755"/>
      <c r="L215" s="760"/>
      <c r="M215" s="760"/>
      <c r="O215" s="288"/>
    </row>
    <row r="216" spans="2:42" s="173" customFormat="1" ht="18.75" customHeight="1">
      <c r="D216" s="3014" t="s">
        <v>949</v>
      </c>
      <c r="E216" s="3015"/>
      <c r="F216" s="735">
        <f>IF(F210=C225,IF($F$211&lt;100,E225,IF($F$211&lt;250,E226,IF($F$211&lt;500,E227,IF($F$211&gt;500,E228,0)))),IF(F210=C229,IF($G$211&lt;50,E229,IF($G$211&lt;100,E230,IF($G$211&lt;500,E231,IF($G$211&gt;500,E232,0)))),IF(F210=C233,IF($G$211&lt;200,E233,IF($G$211&lt;500,E234,IF($G$211&lt;750,E235,IF($G$211&gt;750,E236,0)))),IF(F210=C238,IF($G$211&lt;50,E238,IF($G$211&lt;100,E239,IF($G$211&lt;500,E240,IF($G$211&gt;500,E241,0)))),IF(F210=C242,IF($F$211&lt;50,E242,IF($F$211&lt;100,E243,IF($F$211&lt;500,E244,IF($F$211&gt;500,E245,0)))),IF(F210=C246,IF($F$211&lt;50,E246,IF($F$211&lt;100,E247,IF($F$211&lt;500,E248,IF($F$211&gt;500,E249,0)))),IF(F210=C250,IF($F$211&lt;50,E250,IF($F$211&lt;100,E251,IF($F$211&lt;500,E252,IF($F$211&gt;500,E253,0)))),IF(F210=C254,IF($F$211&lt;50,E254,IF($F$211&lt;100,E255,IF($F$211&lt;500,E256,IF($F$211&gt;500,E257,0)))),IF(F210=C258,IF($F$211&lt;50,E258,IF($F$211&lt;100,E259,IF($F$211&lt;500,E260,IF($F$211&gt;500,E261,0)))),IF(F210=C262,IF($F$211&lt;50,E262,IF($F$211&lt;100,E263,IF($F$211&lt;500,E264,IF($F$211&gt;500,E265,0)))),IF(F210=C266,IF($G$211&lt;50,E266,IF($G$211&lt;100,E267,IF($G$211&lt;500,E268,IF($G$211&gt;500,E269,IF($G$211&gt;1001,E270,0))))),IF(F210=C271,IF($G$211&lt;50,E271,IF($G$211&lt;100,E272,IF($G$211&lt;500,E273,IF($G$211&gt;500,E274,0)))),IF(F210=C275,IF($F$211&lt;50,E275,IF($F$211&lt;100,E276,IF($F$211&lt;500,E277,IF($F$211&gt;500,E278,0)))),IF(F210=C279,IF($F$211&lt;50,E279,IF($F$211&lt;100,E280,IF($F$211&lt;500,E281,IF($F$211&gt;500,E282,0)))),IF(F210=C283,IF($F$211&lt;50,E283,IF($F$211&lt;100,E284,IF($F$211&lt;500,E285,IF($F$211&gt;500,E286,0)))),IF(F210=C287,IF($F$211&lt;50,E287,IF($F$211&lt;100,E288,IF($F$211&lt;500,E289,IF($F$211&gt;500,E290,0)))),IF(F210=C291,IF($F$211&lt;50,E291,IF($F$211&lt;100,E292,IF($F$211&lt;500,E293,IF($F$211&gt;500,E294,0)))),IF(F210=C295,IF($F$211&lt;50,E295,IF($F$211&lt;100,E296,IF($F$211&lt;500,E297,IF($F$211&gt;500,E298,0)))),IF(F210=C299,IF($G$211&lt;50,E299,IF($G$211&lt;100,E300,IF($G$211&lt;500,E301,IF($G$211&gt;500,E302,0)))),IF(F210=C303,IF($F$211&lt;50,E303,IF($F$211&lt;100,E304,IF($F$211&lt;500,E305,IF($F$211&gt;500,E306,0)))),IF(F210=C307,IF($F$211&lt;50,E307,IF($F$211&lt;100,E308,IF($F$211&lt;500,E309,IF($F$211&gt;500,E310,0)))),IF(F210=C311,IF($F$211&lt;50,E311,IF($F$211&lt;100,E312,IF($F$211&lt;500,E313,IF($F$211&gt;500,E314,0)))),IF(F210=C315,IF($F$211&lt;50,E315,IF($F$211&lt;100,E316,IF($F$211&lt;500,E317,IF($F$211&gt;500,E318,0)))),IF(F210=C319,IF($F$211&lt;50,E319,IF($F$211&lt;100,E320,IF($F$211&lt;500,E321,IF($F$211&gt;500,E322,0)))),IF(F210=C323,IF($F$211&lt;50,E323,IF($F$211&lt;100,E324,IF($F$211&lt;500,E325,IF($F$211&gt;500,E326,0)))),IF(F210=C327,IF($F$211&lt;50,E327,IF($F$211&lt;100,E328,IF($F$211&lt;500,E329,IF($F$211&gt;500,E330,0)))),0))))))))))))))))))))))))))</f>
        <v>290000</v>
      </c>
      <c r="G216" s="2090">
        <f t="shared" ref="G216:G220" si="48">F216/$F$211/1000</f>
        <v>0.72405872365924306</v>
      </c>
      <c r="K216" s="755"/>
      <c r="L216" s="760"/>
      <c r="M216" s="760"/>
      <c r="O216" s="288"/>
    </row>
    <row r="217" spans="2:42" s="173" customFormat="1" ht="18">
      <c r="D217" s="3014" t="s">
        <v>950</v>
      </c>
      <c r="E217" s="3015"/>
      <c r="F217" s="737">
        <f>IF(F210=C225,IF($F$211&lt;100,I225,IF($F$211&lt;250,I226,IF($F$211&lt;500,I227,IF($F$211&gt;500,I228,0)))),IF(F210=C229,IF($G$211&lt;50,I229,IF($G$211&lt;100,I230,IF($G$211&lt;500,I231,IF($G$211&gt;500,I232,0)))),IF(F210=C233,IF($G$211&lt;200,I233,IF($G$211&lt;500,I234,IF($G$211&lt;750,I235,IF($G$211&gt;750,I236,0)))),IF(F210=C238,IF($G$211&lt;50,I238,IF($G$211&lt;100,I239,IF($G$211&lt;500,I240,IF($G$211&gt;500,I241,0)))),IF(F210=C242,IF($F$211&lt;50,I242,IF($F$211&lt;100,I243,IF($F$211&lt;500,I244,IF($F$211&gt;500,I245,0)))),IF(F210=C246,IF($F$211&lt;50,I246,IF($F$211&lt;100,I247,IF($F$211&lt;500,I248,IF($F$211&gt;500,I249,0)))),IF(F210=C250,IF($F$211&lt;50,I250,IF($F$211&lt;100,I251,IF($F$211&lt;500,I252,IF($F$211&gt;500,I253,0)))),IF(F210=C254,IF($F$211&lt;50,I254,IF($F$211&lt;100,I255,IF($F$211&lt;500,I256,IF($F$211&gt;500,I257,0)))),IF(F210=C258,IF($F$211&lt;50,I258,IF($F$211&lt;100,I259,IF($F$211&lt;500,I260,IF($F$211&gt;500,I261,0)))),IF(F210=C262,IF($F$211&lt;50,I262,IF($F$211&lt;100,I263,IF($F$211&lt;500,I264,IF($F$211&gt;500,I265,0)))),IF(F210=C266,IF($G$211&lt;50,I266,IF($G$211&lt;100,I267,IF($G$211&lt;500,I268,IF($G$211&gt;500,I269,0)))),IF(F210=C271,IF($F$211&lt;50,I271,IF($F$211&lt;100,I272,IF($F$211&lt;500,I273,IF($F$211&gt;500,I274,0)))),IF(F210=C275,IF($F$211&lt;50,I275,IF($F$211&lt;100,I276,IF($F$211&lt;500,I277,IF($F$211&gt;500,I278,0)))),IF(F210=C279,IF($F$211&lt;50,I279,IF($F$211&lt;100,I280,IF($F$211&lt;500,I281,IF($F$211&gt;500,I282,0)))),IF(F210=C283,IF($F$211&lt;50,I283,IF($F$211&lt;100,I284,IF($F$211&lt;500,I285,IF($F$211&gt;500,I286,0)))),IF(F210=C287,IF($F$211&lt;50,I287,IF($F$211&lt;100,I288,IF($F$211&lt;500,I289,IF($F$211&gt;500,I290,0)))),IF(F210=C291,IF($F$211&lt;50,I291,IF($F$211&lt;100,I292,IF($F$211&lt;500,I293,IF($F$211&gt;500,I294,0)))),IF(F210=C295,IF($F$211&lt;50,I295,IF($F$211&lt;100,I296,IF($F$211&lt;500,I297,IF($F$211&gt;500,I298,0)))),IF(F210=C299,IF($G$211&lt;50,I299,IF($G$211&lt;100,I300,IF($G$211&lt;500,I301,IF($G$105&gt;500,I302,0)))),IF(F210=C303,IF($F$211&lt;50,I303,IF($F$211&lt;100,I304,IF($F$211&lt;500,I305,IF($F$211&gt;500,I306,0)))),IF(F210=C307,IF($F$211&lt;50,I307,IF($F$211&lt;100,I308,IF($F$211&lt;500,I309,IF($F$211&gt;500,I310,0)))),IF(F210=C311,IF($F$211&lt;50,I311,IF($F$211&lt;100,I312,IF($F$211&lt;500,I313,IF($F$211&gt;500,I314,0)))),IF(F210=C315,IF($F$211&lt;50,I315,IF($F$211&lt;100,I316,IF($F$211&lt;500,I317,IF($F$211&gt;500,I318,0)))),IF(F210=C319,IF($F$211&lt;50,I319,IF($F$211&lt;100,I320,IF($F$211&lt;500,I321,IF($F$211&gt;500,I322,0)))),IF(F210=C323,IF($F$211&lt;50,I323,IF($F$211&lt;100,I324,IF($F$211&lt;500,I325,IF($F$211&gt;500,I326,0)))),IF(F210=C327,IF($F$211&lt;50,I327,IF($F$211&lt;100,I328,IF($F$211&lt;500,I329,IF($F$211&gt;500,I330,0)))),0))))))))))))))))))))))))))</f>
        <v>200000</v>
      </c>
      <c r="G217" s="736">
        <f t="shared" si="48"/>
        <v>0.49935084390292622</v>
      </c>
      <c r="H217" s="292"/>
      <c r="K217" s="755"/>
      <c r="L217" s="3135"/>
      <c r="M217" s="3135"/>
      <c r="O217" s="288"/>
      <c r="R217" s="288"/>
    </row>
    <row r="218" spans="2:42" s="173" customFormat="1" ht="18">
      <c r="D218" s="3014" t="s">
        <v>951</v>
      </c>
      <c r="E218" s="3015"/>
      <c r="F218" s="737">
        <f>IF(F210=C225,IF($F$211&lt;50,P225,IF($F$211&lt;100,P226,IF($F$211&lt;500,P227,IF($F$211&gt;500,P228,0)))),IF(F210=C229,IF($G$211&lt;50,P229,IF($G$211&lt;100,P230,IF($G$211&lt;500,P231,IF($G$211&gt;500,P232,0)))),IF(F210=C233,IF($G$211&lt;200,P233,IF($G$211&lt;500,P234,IF($G$211&lt;750,P235,IF($G$211&gt;750,P236,0)))),IF(F210=C238,IF($G$211&lt;50,P238,IF($G$211&lt;100,P239,IF($G$211&lt;500,P240,IF($G$211&gt;500,P241,0)))),IF(F210=C242,IF($F$211&lt;50,P242,IF($F$211&lt;100,P243,IF($F$211&lt;500,P244,IF($F$211&gt;500,P245,0)))),IF(F210=C246,IF($F$211&lt;50,P246,IF($F$211&lt;100,P247,IF($F$211&lt;500,P248,IF($F$211&gt;500,P249,0)))),IF(F210=C250,IF($F$211&lt;50,P250,IF($F$211&lt;100,P251,IF($F$211&lt;500,P252,IF($F$211&gt;500,P253,0)))),IF(F210=C254,IF($F$211&lt;50,P254,IF($F$211&lt;100,P255,IF($F$211&lt;500,P256,IF($F$211&gt;500,P257,0)))),IF(F210=C258,IF($F$211&lt;50,P258,IF($F$211&lt;100,P259,IF($F$211&lt;500,P260,IF($F$211&gt;500,P261,0)))),IF(F210=C262,IF($F$211&lt;50,P262,IF($F$211&lt;100,P263,IF($F$211&lt;500,P264,IF($F$211&gt;500,P265,0)))),IF(F210=C266,IF($G$211&lt;50,P266,IF($G$211&lt;101,P267,IF($G$211&lt;501,P268,IF($G$211&gt;500,P269,0)))),IF(F210=C271,IF($F$211&lt;50,P271,IF($F$211&lt;100,P272,IF($F$211&lt;500,P273,IF($F$211&gt;500,P274,0)))),IF(F210=C275,IF($F$211&lt;50,P275,IF($F$211&lt;100,P276,IF($F$211&lt;500,P277,IF($F$211&gt;500,P278,0)))),IF(F210=C279,IF($F$211&lt;50,P279,IF($F$211&lt;100,P280,IF($F$211&lt;500,P281,IF($F$211&gt;500,P282,0)))),IF(F210=C283,IF($F$211&lt;50,P283,IF($F$211&lt;100,P284,IF($F$211&lt;500,P285,IF($F$211&gt;500,P286,0)))),IF(F210=C287,IF($F$211&lt;50,P287,IF($F$211&lt;100,P288,IF($F$211&lt;500,P289,IF($F$211&gt;500,P290,0)))),IF(F210=C291,IF($F$211&lt;50,P291,IF($F$211&lt;100,P292,IF($F$211&lt;500,P293,IF($F$211&gt;500,P294,0)))),IF(F210=C295,IF($F$211&lt;50,P295,IF($F$211&lt;100,P296,IF($F$211&lt;500,P297,IF($F$211&gt;500,P298,0)))),IF(F210=C299,IF($F$211&lt;50,P299,IF($F$211&lt;100,P300,IF($F$211&lt;500,P301,IF($F$211&gt;500,P302,0)))),IF(F210=C303,IF($F$211&lt;50,P303,IF($F$211&lt;100,P304,IF($F$211&lt;500,P305,IF($F$211&gt;500,P306,0)))),IF(F210=C307,IF($F$211&lt;50,P307,IF($F$211&lt;100,P308,IF($F$211&lt;500,P309,IF($F$211&gt;500,P310,0)))),IF(F210=C311,IF($F$211&lt;50,P311,IF($F$211&lt;100,P312,IF($F$211&lt;500,P313,IF($F$211&gt;500,P314,0)))),IF(F210=C315,IF($F$211&lt;50,P315,IF($F$211&lt;100,P316,IF($F$211&lt;500,P317,IF($F$211&gt;500,P318,0)))),IF(F210=C319,IF($F$211&lt;50,P319,IF($F$211&lt;100,P320,IF($F$211&lt;500,P321,IF($F$211&gt;500,P322,0)))),IF(F210=C323,IF($F$211&lt;50,P323,IF($F$211&lt;100,P324,IF($F$211&lt;500,P325,IF($F$211,P326,0)))),IF(F210=C327,IF($F$211&lt;50,P327,IF($F$211&lt;100,P328,IF($F$211&lt;500,P329,IF($F$211&gt;500,P330,0)))),0))))))))))))))))))))))))))</f>
        <v>300000</v>
      </c>
      <c r="G218" s="736">
        <f t="shared" si="48"/>
        <v>0.74902626585438925</v>
      </c>
      <c r="H218" s="292"/>
      <c r="L218" s="3135"/>
      <c r="M218" s="3135"/>
      <c r="O218" s="288"/>
      <c r="AH218" s="296"/>
      <c r="AI218" s="296"/>
    </row>
    <row r="219" spans="2:42" s="173" customFormat="1" ht="18">
      <c r="D219" s="3014" t="s">
        <v>952</v>
      </c>
      <c r="E219" s="3015"/>
      <c r="F219" s="737">
        <f>IF(F210=C225,IF($F$211&lt;100,H225,IF($F$211&lt;250,H226,IF($F$211&lt;500,H227,IF($F$211&gt;500,H228,0)))),IF(F210=C229,IF($G$211&lt;50,H229,IF($G$211&lt;101,H230,IF($G$211&lt;501,H231,IF($G$211&gt;500,H232,0)))),IF(F210=C233,IF($G$211&lt;200,H233,IF($G$211&lt;500,H234,IF($G$211&lt;750,H235,IF($G$211&gt;750,H236,0)))),IF(F210=C238,IF($G$211&lt;50,H238,IF($G$211&lt;100,H239,IF($G$211&lt;500,H240,IF($G$211&gt;500,H241,0)))),IF(F210=C242,IF($F$211&lt;50,H242,IF($F$211&lt;100,H243,IF($F$211&lt;500,H244,IF($F$211&gt;500,H245,0)))),IF(F210=C246,IF($F$211&lt;50,H246,IF($F$211&lt;100,H247,IF($F$211&lt;500,H248,IF($F$211&gt;500,H249,0)))),IF(F210=C250,IF($F$211&lt;50,H250,IF($F$211&lt;100,H251,IF($F$211&lt;500,H252,IF($F$211&gt;500,H253,0)))),IF(F210=C254,IF($F$211&lt;50,H254,IF($F$211&lt;100,H255,IF($F$211&lt;500,H256,IF($F$211&gt;500,H257,0)))),IF(F210=C258,IF($F$211&lt;50,H258,IF($F$211&lt;100,H259,IF($F$211&lt;500,H260,IF($F$211&gt;500,H261,0)))),IF(F210=C262,IF($F$211&lt;50,H262,IF($F$211&lt;100,H263,IF($F$211&lt;500,H264,IF($F$211&gt;500,H265,0)))),IF(F210=C266,IF($G$211&lt;50,H266,IF($G$211&lt;100,H267,IF($G$211&lt;500,H268,IF($G$211&gt;500,H269,0)))),IF(F210=C271,IF($F$211&lt;50,H271,IF($F$211&lt;100,H272,IF($F$211&lt;500,H273,IF($F$211&gt;500,H274,0)))),IF(F210=C275,IF($G$211&lt;50,H275,IF($G$211&lt;100,H276,IF($G$211&lt;500,H277,IF($G$211&gt;500,H278,0)))),IF(F210=C279,IF($F$211&lt;50,H279,IF($F$211&lt;100,H280,IF($F$211&lt;500,H281,IF($F$211&gt;500,H282,0)))),IF(F210=C283,IF($F$211&lt;50,H283,IF($F$211&lt;100,H284,IF($F$211&lt;500,H285,IF($F$211&gt;500,H286,0)))),IF(F210=C287,IF($F$211&lt;50,H287,IF($F$211&lt;100,H288,IF($F$211&lt;500,H289,IF($F$211&gt;500,H290,0)))),IF(F210=C291,IF($F$211&lt;50,H291,IF($F$211&lt;100,H292,IF($F$211&lt;500,H293,IF($F$211&gt;500,H294,0)))),IF(F210=C295,IF($F$211&lt;50,H295,IF($F$211&lt;100,H296,IF($F$211&lt;500,H297,IF($F$211&gt;500,H298,0)))),IF(F210=C299,IF($F$211&lt;50,H299,IF($F$211&lt;100,H300,IF($F$211&lt;500,H301,IF($F$211&gt;500,H302,0)))),IF(F210=C303,IF($F$211&lt;50,H303,IF($F$211&lt;100,H304,IF($F$211&lt;500,H305,IF($F$211&gt;500,H306,0)))),IF(F210=C307,IF($F$211&lt;50,H307,IF($F$211&lt;100,H308,IF($F$211&lt;500,H309,IF($F$211&gt;500,H310,0)))),IF(F210=C311,IF($F$211&lt;50,H311,IF($F$211&lt;100,H312,IF($F$211&lt;500,H313,IF($F$211&gt;500,H314,0)))),IF(F210=C315,IF($F$211&lt;50,H315,IF($F$211&lt;101,H316,IF($F$211&lt;501,H317,IF($F$211&gt;500,H318,0)))),IF(F210=C319,IF($F$211&lt;50,H319,IF($F$211&lt;101,H320,IF($F$211&lt;501,H321,IF($F$211&gt;500,H322,0)))),IF(F210=C323,IF($F$211&lt;50,H323,IF($F$211&lt;101,H324,IF($F$211&lt;501,H325,IF($F$211&gt;500,H326,0)))),IF(F210=C327,IF($F$211&lt;50,H327,IF($F$211&lt;101,H328,IF($F$211&lt;501,H329,IF($F$211&gt;500,H330,0)))),0))))))))))))))))))))))))))</f>
        <v>40000</v>
      </c>
      <c r="G219" s="736">
        <f t="shared" si="48"/>
        <v>9.9870168780585244E-2</v>
      </c>
      <c r="H219" s="292"/>
    </row>
    <row r="220" spans="2:42" s="173" customFormat="1" ht="18.600000000000001" thickBot="1">
      <c r="D220" s="3016" t="s">
        <v>953</v>
      </c>
      <c r="E220" s="3017"/>
      <c r="F220" s="738">
        <f>IF(F210=C225,IF($F$211&lt;100,R226,IF($F$211&lt;500,R227,IF($F$211&gt;500,R228,0))),IF(F210=C229,IF($G$211&lt;100,R230,IF($G$211&lt;500,R231,IF($G$211&gt;500,R232,0))),IF(F210=C233,IF($G$211&lt;200,R233,IF($G$211&lt;750,R235,IF($G$211&gt;750,R236,0))),IF(F210=C238,IF($G$211&lt;100,R239,IF($G$211&lt;500,R240,IF($G$211&gt;500,R241,0))),IF(F210=C242,IF($F$211&lt;100,R243,IF($F$211&lt;500,R244,IF($F$211&gt;500,R245,0))),IF(F210=C246,IF($F$211&lt;100,R247,IF($F$211&lt;500,R248,IF($F$211&gt;500,R249,0))),IF(F210=C250,IF($F$211&lt;100,R251,IF($F$211&lt;500,R252,IF($F$211&gt;500,R253,0))),IF(F210=C254,IF($F$211&lt;100,R255,IF($F$211&lt;500,R256,IF($F$211&gt;500,R257,0))),IF(F210=C258,IF($F$211&lt;100,R259,IF($F$211&lt;500,R260,IF($F$211&gt;500,R261,0))),IF(F210=C262,IF($F$211&lt;101,R263,IF($F$211&lt;501,R264,IF($F$211&gt;500,R265,0))),IF(F210=C266,IF($G$211&lt;100,R267,IF($G$211&lt;500,R268,IF($G$211&gt;500,R269,0))),IF(F210=C271,IF($F$211&lt;100,R272,IF($F$211&lt;500,R273,IF($F$211&gt;500,R274,0))),IF(F210=C275,IF($F$211&lt;100,R276,IF($F$211&lt;500,R277,IF($F$211&gt;500,R278,0))),IF(F210=C279,IF($F$211&lt;100,R280,IF($F$211&lt;500,R281,IF($F$211&gt;500,R282,0))),IF(F210=C283,IF($F$211&lt;100,R284,IF($F$211&lt;500,R285,IF($F$211&gt;500,R286,0))),IF(F210=C287,IF($F$211&lt;100,R288,IF($F$211&lt;500,R289,IF($F$211&gt;500,R290,0))),IF(F210=C291,IF($F$211&lt;100,R292,IF($F$211&lt;500,R293,IF($F$211&gt;500,R294,0))),IF(F210=C295,IF($F$211&lt;100,R296,IF($F$211&lt;500,R297,IF($F$211&gt;500,R298,0))),IF(F210=C299,IF($G$211&lt;100,R300,IF($G$211&lt;500,R301,IF($G$211&gt;500,R302,0))),IF(F210=C303,IF($F$211&lt;100,R304,IF($F$211&lt;500,R305,IF($F$211&gt;500,R306,0))),IF(F210=C307,IF($F$211&lt;100,R308,IF($F$211&lt;500,R309,IF($F$211&gt;500,R310,0))),IF(F210=C311,IF($F$211&lt;100,R312,IF($F$211&lt;500,R313,IF($F$211&gt;500,R314,0))),IF(F210=C315,IF($F$211&lt;100,R316,IF($F$211&lt;500,R317,IF($F$211&gt;500,R318,0))),IF(F210=C319,IF($F$211&lt;100,R320,IF($F$211&lt;500,R321,IF($F$211&gt;500,R322,0))),IF(F210=C323,IF($F$211&lt;100,R324,IF($F$211&lt;500,R325,IF($F$211&gt;500,R326,0))),IF(F210=C327,IF($F$211&lt;100,R328,IF($F$211&lt;500,R329,IF($F$211&gt;500,R330,0))),0))))))))))))))))))))))))))</f>
        <v>0</v>
      </c>
      <c r="G220" s="739">
        <f t="shared" si="48"/>
        <v>0</v>
      </c>
      <c r="H220" s="288"/>
      <c r="O220" s="288"/>
      <c r="AG220" s="296"/>
      <c r="AH220" s="154"/>
      <c r="AI220" s="154"/>
      <c r="AJ220" s="296"/>
      <c r="AK220" s="296"/>
      <c r="AL220" s="296"/>
      <c r="AM220" s="296"/>
      <c r="AN220" s="296"/>
      <c r="AO220" s="296"/>
      <c r="AP220" s="296"/>
    </row>
    <row r="221" spans="2:42" s="173" customFormat="1" ht="18.600000000000001" hidden="1" thickBot="1">
      <c r="F221" s="288"/>
      <c r="H221" s="288"/>
      <c r="O221" s="288"/>
    </row>
    <row r="222" spans="2:42" s="296" customFormat="1" ht="54.6" hidden="1" thickBot="1">
      <c r="B222" s="3024"/>
      <c r="C222" s="2852"/>
      <c r="D222" s="2852"/>
      <c r="E222" s="2852" t="s">
        <v>954</v>
      </c>
      <c r="F222" s="2852"/>
      <c r="G222" s="2852"/>
      <c r="H222" s="2852"/>
      <c r="I222" s="2852"/>
      <c r="J222" s="293" t="s">
        <v>955</v>
      </c>
      <c r="K222" s="293" t="s">
        <v>216</v>
      </c>
      <c r="L222" s="293" t="s">
        <v>956</v>
      </c>
      <c r="M222" s="294" t="s">
        <v>957</v>
      </c>
      <c r="N222" s="293" t="s">
        <v>958</v>
      </c>
      <c r="O222" s="293"/>
      <c r="P222" s="293"/>
      <c r="Q222" s="293"/>
      <c r="R222" s="295" t="s">
        <v>959</v>
      </c>
      <c r="AG222" s="154"/>
      <c r="AH222" s="173"/>
      <c r="AI222" s="173"/>
      <c r="AJ222" s="154"/>
      <c r="AK222" s="154"/>
      <c r="AL222" s="154"/>
      <c r="AM222" s="154"/>
      <c r="AN222" s="154"/>
      <c r="AO222" s="154"/>
      <c r="AP222" s="154"/>
    </row>
    <row r="223" spans="2:42" s="173" customFormat="1" ht="18.600000000000001" hidden="1" thickBot="1">
      <c r="B223" s="3006"/>
      <c r="C223" s="3007"/>
      <c r="D223" s="3008"/>
      <c r="E223" s="297" t="s">
        <v>960</v>
      </c>
      <c r="F223" s="297" t="s">
        <v>961</v>
      </c>
      <c r="G223" s="297" t="s">
        <v>962</v>
      </c>
      <c r="H223" s="297" t="s">
        <v>952</v>
      </c>
      <c r="I223" s="297" t="s">
        <v>963</v>
      </c>
      <c r="J223" s="298" t="s">
        <v>964</v>
      </c>
      <c r="K223" s="298" t="s">
        <v>965</v>
      </c>
      <c r="L223" s="298" t="s">
        <v>966</v>
      </c>
      <c r="M223" s="299" t="s">
        <v>967</v>
      </c>
      <c r="N223" s="300" t="s">
        <v>968</v>
      </c>
      <c r="O223" s="300" t="s">
        <v>969</v>
      </c>
      <c r="P223" s="300" t="s">
        <v>970</v>
      </c>
      <c r="Q223" s="300" t="s">
        <v>971</v>
      </c>
      <c r="R223" s="301"/>
    </row>
    <row r="224" spans="2:42" s="154" customFormat="1" ht="234.6" hidden="1" thickBot="1">
      <c r="B224" s="302" t="s">
        <v>972</v>
      </c>
      <c r="C224" s="303" t="s">
        <v>21</v>
      </c>
      <c r="D224" s="304" t="s">
        <v>973</v>
      </c>
      <c r="E224" s="305" t="s">
        <v>974</v>
      </c>
      <c r="F224" s="305" t="s">
        <v>975</v>
      </c>
      <c r="G224" s="305" t="s">
        <v>976</v>
      </c>
      <c r="H224" s="305" t="s">
        <v>977</v>
      </c>
      <c r="I224" s="305" t="s">
        <v>978</v>
      </c>
      <c r="J224" s="305" t="s">
        <v>979</v>
      </c>
      <c r="K224" s="305" t="s">
        <v>980</v>
      </c>
      <c r="L224" s="305" t="s">
        <v>981</v>
      </c>
      <c r="M224" s="305" t="s">
        <v>982</v>
      </c>
      <c r="N224" s="305" t="s">
        <v>983</v>
      </c>
      <c r="O224" s="306" t="s">
        <v>984</v>
      </c>
      <c r="P224" s="307" t="s">
        <v>216</v>
      </c>
      <c r="Q224" s="307" t="s">
        <v>985</v>
      </c>
      <c r="R224" s="308" t="s">
        <v>986</v>
      </c>
      <c r="AG224" s="173"/>
      <c r="AH224" s="173"/>
      <c r="AI224" s="173"/>
      <c r="AJ224" s="173"/>
      <c r="AK224" s="173"/>
      <c r="AL224" s="173"/>
      <c r="AM224" s="173"/>
      <c r="AN224" s="173"/>
      <c r="AO224" s="173"/>
      <c r="AP224" s="173"/>
    </row>
    <row r="225" spans="2:19" s="173" customFormat="1" ht="18" hidden="1">
      <c r="B225" s="2982">
        <v>1</v>
      </c>
      <c r="C225" s="3011" t="s">
        <v>189</v>
      </c>
      <c r="D225" s="817" t="s">
        <v>987</v>
      </c>
      <c r="E225" s="353">
        <v>125000</v>
      </c>
      <c r="F225" s="311">
        <v>80000</v>
      </c>
      <c r="G225" s="311">
        <v>15000</v>
      </c>
      <c r="H225" s="826">
        <v>40000</v>
      </c>
      <c r="I225" s="2050">
        <f t="shared" ref="I225:I257" si="49">SUM(F225:G225)</f>
        <v>95000</v>
      </c>
      <c r="J225" s="2047">
        <v>0</v>
      </c>
      <c r="K225" s="313">
        <f t="shared" ref="K225:K257" si="50">E225+J225</f>
        <v>125000</v>
      </c>
      <c r="L225" s="314">
        <f t="shared" ref="L225:L257" si="51">I225+J225</f>
        <v>95000</v>
      </c>
      <c r="M225" s="828">
        <f>L225/50/1000</f>
        <v>1.9</v>
      </c>
      <c r="N225" s="314">
        <v>550000</v>
      </c>
      <c r="O225" s="314">
        <v>100000</v>
      </c>
      <c r="P225" s="316">
        <f t="shared" ref="P225:P257" si="52">N225+O225</f>
        <v>650000</v>
      </c>
      <c r="Q225" s="317">
        <f t="shared" ref="Q225:Q257" si="53">L225+P225</f>
        <v>745000</v>
      </c>
      <c r="R225" s="829"/>
    </row>
    <row r="226" spans="2:19" s="173" customFormat="1" ht="18" hidden="1">
      <c r="B226" s="2983"/>
      <c r="C226" s="3012"/>
      <c r="D226" s="819" t="s">
        <v>988</v>
      </c>
      <c r="E226" s="355">
        <v>150000</v>
      </c>
      <c r="F226" s="320">
        <v>100000</v>
      </c>
      <c r="G226" s="320">
        <v>30000</v>
      </c>
      <c r="H226" s="830">
        <v>40000</v>
      </c>
      <c r="I226" s="2051">
        <f t="shared" si="49"/>
        <v>130000</v>
      </c>
      <c r="J226" s="2048">
        <v>150000</v>
      </c>
      <c r="K226" s="322">
        <f t="shared" si="50"/>
        <v>300000</v>
      </c>
      <c r="L226" s="323">
        <f t="shared" si="51"/>
        <v>280000</v>
      </c>
      <c r="M226" s="832">
        <f>L226/100/1000</f>
        <v>2.8</v>
      </c>
      <c r="N226" s="323">
        <v>550000</v>
      </c>
      <c r="O226" s="323">
        <v>100000</v>
      </c>
      <c r="P226" s="325">
        <f t="shared" si="52"/>
        <v>650000</v>
      </c>
      <c r="Q226" s="326">
        <f t="shared" si="53"/>
        <v>930000</v>
      </c>
      <c r="R226" s="344"/>
    </row>
    <row r="227" spans="2:19" s="173" customFormat="1" ht="18" hidden="1">
      <c r="B227" s="2983"/>
      <c r="C227" s="3012"/>
      <c r="D227" s="819" t="s">
        <v>989</v>
      </c>
      <c r="E227" s="355">
        <v>200000</v>
      </c>
      <c r="F227" s="320">
        <v>100000</v>
      </c>
      <c r="G227" s="320">
        <v>30000</v>
      </c>
      <c r="H227" s="830">
        <v>100000</v>
      </c>
      <c r="I227" s="2051">
        <f t="shared" si="49"/>
        <v>130000</v>
      </c>
      <c r="J227" s="2048">
        <v>250000</v>
      </c>
      <c r="K227" s="322">
        <f t="shared" si="50"/>
        <v>450000</v>
      </c>
      <c r="L227" s="323">
        <f t="shared" si="51"/>
        <v>380000</v>
      </c>
      <c r="M227" s="832">
        <f>L227/500/1000</f>
        <v>0.76</v>
      </c>
      <c r="N227" s="323">
        <v>550000</v>
      </c>
      <c r="O227" s="323">
        <v>100000</v>
      </c>
      <c r="P227" s="325">
        <f t="shared" si="52"/>
        <v>650000</v>
      </c>
      <c r="Q227" s="326">
        <f t="shared" si="53"/>
        <v>1030000</v>
      </c>
      <c r="R227" s="344"/>
    </row>
    <row r="228" spans="2:19" s="173" customFormat="1" ht="18.600000000000001" hidden="1" thickBot="1">
      <c r="B228" s="2984"/>
      <c r="C228" s="3013"/>
      <c r="D228" s="820" t="s">
        <v>990</v>
      </c>
      <c r="E228" s="356">
        <v>500000</v>
      </c>
      <c r="F228" s="329">
        <v>100000</v>
      </c>
      <c r="G228" s="329">
        <v>50000</v>
      </c>
      <c r="H228" s="329">
        <v>300000</v>
      </c>
      <c r="I228" s="2052">
        <f>SUM(F228:G228)</f>
        <v>150000</v>
      </c>
      <c r="J228" s="2049">
        <v>350000</v>
      </c>
      <c r="K228" s="331">
        <f t="shared" si="50"/>
        <v>850000</v>
      </c>
      <c r="L228" s="332">
        <f t="shared" si="51"/>
        <v>500000</v>
      </c>
      <c r="M228" s="835">
        <f>L228/1000/1000</f>
        <v>0.5</v>
      </c>
      <c r="N228" s="332">
        <v>550000</v>
      </c>
      <c r="O228" s="332">
        <v>100000</v>
      </c>
      <c r="P228" s="351">
        <f t="shared" si="52"/>
        <v>650000</v>
      </c>
      <c r="Q228" s="335">
        <f t="shared" si="53"/>
        <v>1150000</v>
      </c>
      <c r="R228" s="361">
        <v>400000</v>
      </c>
      <c r="S228" s="173" t="s">
        <v>991</v>
      </c>
    </row>
    <row r="229" spans="2:19" s="173" customFormat="1" ht="18" hidden="1">
      <c r="B229" s="336"/>
      <c r="C229" s="3178" t="s">
        <v>178</v>
      </c>
      <c r="D229" s="309" t="s">
        <v>992</v>
      </c>
      <c r="E229" s="338">
        <v>50000</v>
      </c>
      <c r="F229" s="339">
        <v>150000</v>
      </c>
      <c r="G229" s="339">
        <v>10000</v>
      </c>
      <c r="H229" s="836">
        <f>50000</f>
        <v>50000</v>
      </c>
      <c r="I229" s="886">
        <f t="shared" si="49"/>
        <v>160000</v>
      </c>
      <c r="J229" s="340">
        <v>100000</v>
      </c>
      <c r="K229" s="342">
        <f t="shared" si="50"/>
        <v>150000</v>
      </c>
      <c r="L229" s="342">
        <f t="shared" si="51"/>
        <v>260000</v>
      </c>
      <c r="M229" s="837">
        <f>L229/50/1000</f>
        <v>5.2</v>
      </c>
      <c r="N229" s="354">
        <v>225000</v>
      </c>
      <c r="O229" s="342">
        <v>100000</v>
      </c>
      <c r="P229" s="838">
        <f t="shared" si="52"/>
        <v>325000</v>
      </c>
      <c r="Q229" s="317">
        <f t="shared" si="53"/>
        <v>585000</v>
      </c>
      <c r="R229" s="829">
        <v>0</v>
      </c>
      <c r="S229" s="826">
        <f>84000</f>
        <v>84000</v>
      </c>
    </row>
    <row r="230" spans="2:19" s="173" customFormat="1" ht="18" hidden="1">
      <c r="B230" s="2983">
        <v>2</v>
      </c>
      <c r="C230" s="3179"/>
      <c r="D230" s="337" t="s">
        <v>993</v>
      </c>
      <c r="E230" s="338">
        <v>150000</v>
      </c>
      <c r="F230" s="339">
        <v>200000</v>
      </c>
      <c r="G230" s="339">
        <v>15000</v>
      </c>
      <c r="H230" s="830">
        <f>50000</f>
        <v>50000</v>
      </c>
      <c r="I230" s="831">
        <f t="shared" si="49"/>
        <v>215000</v>
      </c>
      <c r="J230" s="340">
        <v>150000</v>
      </c>
      <c r="K230" s="323">
        <f t="shared" si="50"/>
        <v>300000</v>
      </c>
      <c r="L230" s="323">
        <f t="shared" si="51"/>
        <v>365000</v>
      </c>
      <c r="M230" s="832">
        <f>L230/100/1000</f>
        <v>3.65</v>
      </c>
      <c r="N230" s="324">
        <v>350000</v>
      </c>
      <c r="O230" s="323">
        <v>100000</v>
      </c>
      <c r="P230" s="839">
        <f t="shared" si="52"/>
        <v>450000</v>
      </c>
      <c r="Q230" s="326">
        <f t="shared" si="53"/>
        <v>815000</v>
      </c>
      <c r="R230" s="343"/>
      <c r="S230" s="830">
        <v>333750</v>
      </c>
    </row>
    <row r="231" spans="2:19" s="173" customFormat="1" ht="18" hidden="1">
      <c r="B231" s="2983"/>
      <c r="C231" s="3179"/>
      <c r="D231" s="318" t="s">
        <v>994</v>
      </c>
      <c r="E231" s="319">
        <v>200000</v>
      </c>
      <c r="F231" s="320">
        <v>250000</v>
      </c>
      <c r="G231" s="320">
        <v>20000</v>
      </c>
      <c r="H231" s="830">
        <f>50000</f>
        <v>50000</v>
      </c>
      <c r="I231" s="831">
        <f t="shared" si="49"/>
        <v>270000</v>
      </c>
      <c r="J231" s="321">
        <v>300000</v>
      </c>
      <c r="K231" s="323">
        <f t="shared" si="50"/>
        <v>500000</v>
      </c>
      <c r="L231" s="323">
        <f t="shared" si="51"/>
        <v>570000</v>
      </c>
      <c r="M231" s="832">
        <f>L231/500/1000</f>
        <v>1.1399999999999999</v>
      </c>
      <c r="N231" s="324">
        <v>350000</v>
      </c>
      <c r="O231" s="323">
        <v>100000</v>
      </c>
      <c r="P231" s="839">
        <f t="shared" si="52"/>
        <v>450000</v>
      </c>
      <c r="Q231" s="326">
        <f t="shared" si="53"/>
        <v>1020000</v>
      </c>
      <c r="R231" s="344">
        <v>350000</v>
      </c>
      <c r="S231" s="830">
        <v>834375</v>
      </c>
    </row>
    <row r="232" spans="2:19" s="173" customFormat="1" ht="18.600000000000001" hidden="1" thickBot="1">
      <c r="B232" s="2984"/>
      <c r="C232" s="3180"/>
      <c r="D232" s="345" t="s">
        <v>995</v>
      </c>
      <c r="E232" s="346">
        <v>300000</v>
      </c>
      <c r="F232" s="347">
        <v>300000</v>
      </c>
      <c r="G232" s="347">
        <v>30000</v>
      </c>
      <c r="H232" s="833">
        <f>50000</f>
        <v>50000</v>
      </c>
      <c r="I232" s="834">
        <f t="shared" si="49"/>
        <v>330000</v>
      </c>
      <c r="J232" s="348">
        <v>450000</v>
      </c>
      <c r="K232" s="332">
        <f t="shared" si="50"/>
        <v>750000</v>
      </c>
      <c r="L232" s="332">
        <f t="shared" si="51"/>
        <v>780000</v>
      </c>
      <c r="M232" s="835">
        <f>L232/1000/1000</f>
        <v>0.78</v>
      </c>
      <c r="N232" s="350">
        <v>350000</v>
      </c>
      <c r="O232" s="332">
        <v>100000</v>
      </c>
      <c r="P232" s="840">
        <f>N232+O232</f>
        <v>450000</v>
      </c>
      <c r="Q232" s="335">
        <f t="shared" si="53"/>
        <v>1230000</v>
      </c>
      <c r="R232" s="352">
        <v>450000</v>
      </c>
      <c r="S232" s="833">
        <v>1668750</v>
      </c>
    </row>
    <row r="233" spans="2:19" s="173" customFormat="1" ht="18" hidden="1">
      <c r="B233" s="2982">
        <v>3</v>
      </c>
      <c r="C233" s="3021" t="s">
        <v>22</v>
      </c>
      <c r="D233" s="817" t="s">
        <v>996</v>
      </c>
      <c r="E233" s="353">
        <v>230000</v>
      </c>
      <c r="F233" s="1905">
        <v>180000</v>
      </c>
      <c r="G233" s="1905">
        <v>20000</v>
      </c>
      <c r="H233" s="311">
        <v>40000</v>
      </c>
      <c r="I233" s="827">
        <f t="shared" si="49"/>
        <v>200000</v>
      </c>
      <c r="J233" s="312">
        <v>150000</v>
      </c>
      <c r="K233" s="314">
        <f t="shared" si="50"/>
        <v>380000</v>
      </c>
      <c r="L233" s="314">
        <f t="shared" si="51"/>
        <v>350000</v>
      </c>
      <c r="M233" s="828">
        <f>L233/50/1000</f>
        <v>7</v>
      </c>
      <c r="N233" s="315">
        <v>200000</v>
      </c>
      <c r="O233" s="314">
        <v>100000</v>
      </c>
      <c r="P233" s="838">
        <f t="shared" si="52"/>
        <v>300000</v>
      </c>
      <c r="Q233" s="317">
        <f t="shared" si="53"/>
        <v>650000</v>
      </c>
      <c r="R233" s="317">
        <v>0</v>
      </c>
    </row>
    <row r="234" spans="2:19" s="173" customFormat="1" ht="18" hidden="1">
      <c r="B234" s="2983"/>
      <c r="C234" s="3022"/>
      <c r="D234" s="819" t="s">
        <v>997</v>
      </c>
      <c r="E234" s="355">
        <v>290000</v>
      </c>
      <c r="F234" s="320">
        <v>180000</v>
      </c>
      <c r="G234" s="320">
        <v>20000</v>
      </c>
      <c r="H234" s="320">
        <v>40000</v>
      </c>
      <c r="I234" s="831">
        <f t="shared" si="49"/>
        <v>200000</v>
      </c>
      <c r="J234" s="321">
        <v>190000</v>
      </c>
      <c r="K234" s="323">
        <f t="shared" si="50"/>
        <v>480000</v>
      </c>
      <c r="L234" s="323">
        <f t="shared" si="51"/>
        <v>390000</v>
      </c>
      <c r="M234" s="832">
        <f>L234/100/1000</f>
        <v>3.9</v>
      </c>
      <c r="N234" s="324">
        <v>200000</v>
      </c>
      <c r="O234" s="323">
        <v>100000</v>
      </c>
      <c r="P234" s="839">
        <f t="shared" si="52"/>
        <v>300000</v>
      </c>
      <c r="Q234" s="326">
        <f t="shared" si="53"/>
        <v>690000</v>
      </c>
      <c r="R234" s="326">
        <v>0</v>
      </c>
    </row>
    <row r="235" spans="2:19" s="173" customFormat="1" ht="18" hidden="1">
      <c r="B235" s="2983"/>
      <c r="C235" s="3022"/>
      <c r="D235" s="819" t="s">
        <v>998</v>
      </c>
      <c r="E235" s="355">
        <v>340000</v>
      </c>
      <c r="F235" s="320">
        <v>260000</v>
      </c>
      <c r="G235" s="320">
        <v>40000</v>
      </c>
      <c r="H235" s="320">
        <v>40000</v>
      </c>
      <c r="I235" s="831">
        <f t="shared" si="49"/>
        <v>300000</v>
      </c>
      <c r="J235" s="321">
        <v>250000</v>
      </c>
      <c r="K235" s="323">
        <f t="shared" si="50"/>
        <v>590000</v>
      </c>
      <c r="L235" s="323">
        <f t="shared" si="51"/>
        <v>550000</v>
      </c>
      <c r="M235" s="832">
        <f>L235/500/1000</f>
        <v>1.1000000000000001</v>
      </c>
      <c r="N235" s="324">
        <v>200000</v>
      </c>
      <c r="O235" s="323">
        <v>100000</v>
      </c>
      <c r="P235" s="839">
        <f t="shared" si="52"/>
        <v>300000</v>
      </c>
      <c r="Q235" s="326">
        <f t="shared" si="53"/>
        <v>850000</v>
      </c>
      <c r="R235" s="326">
        <v>0</v>
      </c>
    </row>
    <row r="236" spans="2:19" s="173" customFormat="1" ht="18" hidden="1">
      <c r="B236" s="2983"/>
      <c r="C236" s="3022"/>
      <c r="D236" s="889" t="s">
        <v>999</v>
      </c>
      <c r="E236" s="890">
        <v>400000</v>
      </c>
      <c r="F236" s="347">
        <v>260000</v>
      </c>
      <c r="G236" s="347">
        <v>40000</v>
      </c>
      <c r="H236" s="347">
        <v>40000</v>
      </c>
      <c r="I236" s="882">
        <f t="shared" si="49"/>
        <v>300000</v>
      </c>
      <c r="J236" s="348">
        <v>390000</v>
      </c>
      <c r="K236" s="334">
        <f t="shared" si="50"/>
        <v>790000</v>
      </c>
      <c r="L236" s="334">
        <f t="shared" si="51"/>
        <v>690000</v>
      </c>
      <c r="M236" s="883">
        <f>L236/1000/1000</f>
        <v>0.69</v>
      </c>
      <c r="N236" s="333">
        <v>200000</v>
      </c>
      <c r="O236" s="334">
        <v>100000</v>
      </c>
      <c r="P236" s="884">
        <f t="shared" si="52"/>
        <v>300000</v>
      </c>
      <c r="Q236" s="885">
        <f t="shared" si="53"/>
        <v>990000</v>
      </c>
      <c r="R236" s="885">
        <v>0</v>
      </c>
    </row>
    <row r="237" spans="2:19" s="173" customFormat="1" ht="18.600000000000001" hidden="1" thickBot="1">
      <c r="B237" s="2984"/>
      <c r="C237" s="3023"/>
      <c r="D237" s="820" t="s">
        <v>1000</v>
      </c>
      <c r="E237" s="356">
        <f>380000+50000</f>
        <v>430000</v>
      </c>
      <c r="F237" s="329">
        <f>300000+50000</f>
        <v>350000</v>
      </c>
      <c r="G237" s="329">
        <v>30000</v>
      </c>
      <c r="H237" s="329">
        <f>40000+10000</f>
        <v>50000</v>
      </c>
      <c r="I237" s="834">
        <f t="shared" ref="I237" si="54">SUM(F237:G237)</f>
        <v>380000</v>
      </c>
      <c r="J237" s="330">
        <v>390000</v>
      </c>
      <c r="K237" s="332">
        <f t="shared" ref="K237" si="55">E237+J237</f>
        <v>820000</v>
      </c>
      <c r="L237" s="332">
        <f t="shared" ref="L237" si="56">I237+J237</f>
        <v>770000</v>
      </c>
      <c r="M237" s="835">
        <f>L237/1000/1000</f>
        <v>0.77</v>
      </c>
      <c r="N237" s="350">
        <v>200000</v>
      </c>
      <c r="O237" s="332">
        <v>100000</v>
      </c>
      <c r="P237" s="840">
        <f t="shared" ref="P237" si="57">N237+O237</f>
        <v>300000</v>
      </c>
      <c r="Q237" s="335">
        <f t="shared" ref="Q237" si="58">L237+P237</f>
        <v>1070000</v>
      </c>
      <c r="R237" s="335">
        <v>0</v>
      </c>
    </row>
    <row r="238" spans="2:19" s="173" customFormat="1" ht="18" hidden="1">
      <c r="B238" s="2982">
        <v>4</v>
      </c>
      <c r="C238" s="3018" t="s">
        <v>172</v>
      </c>
      <c r="D238" s="337" t="s">
        <v>992</v>
      </c>
      <c r="E238" s="338">
        <v>60000</v>
      </c>
      <c r="F238" s="339">
        <v>50000</v>
      </c>
      <c r="G238" s="339">
        <v>10000</v>
      </c>
      <c r="H238" s="357">
        <v>30000</v>
      </c>
      <c r="I238" s="886">
        <f t="shared" si="49"/>
        <v>60000</v>
      </c>
      <c r="J238" s="340">
        <v>50000</v>
      </c>
      <c r="K238" s="342">
        <f t="shared" si="50"/>
        <v>110000</v>
      </c>
      <c r="L238" s="342">
        <f t="shared" si="51"/>
        <v>110000</v>
      </c>
      <c r="M238" s="837">
        <f>L238/50/1000</f>
        <v>2.2000000000000002</v>
      </c>
      <c r="N238" s="354">
        <v>225000</v>
      </c>
      <c r="O238" s="342">
        <v>100000</v>
      </c>
      <c r="P238" s="887">
        <f t="shared" si="52"/>
        <v>325000</v>
      </c>
      <c r="Q238" s="888">
        <f t="shared" si="53"/>
        <v>435000</v>
      </c>
      <c r="R238" s="343">
        <v>0</v>
      </c>
    </row>
    <row r="239" spans="2:19" s="173" customFormat="1" ht="18" hidden="1">
      <c r="B239" s="2983"/>
      <c r="C239" s="3019"/>
      <c r="D239" s="841" t="s">
        <v>1001</v>
      </c>
      <c r="E239" s="338">
        <v>80000</v>
      </c>
      <c r="F239" s="339">
        <v>64000</v>
      </c>
      <c r="G239" s="339">
        <v>25000</v>
      </c>
      <c r="H239" s="357">
        <v>30000</v>
      </c>
      <c r="I239" s="831">
        <f t="shared" si="49"/>
        <v>89000</v>
      </c>
      <c r="J239" s="340">
        <v>80000</v>
      </c>
      <c r="K239" s="323">
        <f t="shared" si="50"/>
        <v>160000</v>
      </c>
      <c r="L239" s="323">
        <f t="shared" si="51"/>
        <v>169000</v>
      </c>
      <c r="M239" s="832">
        <f>L239/100/1000</f>
        <v>1.69</v>
      </c>
      <c r="N239" s="324">
        <v>225000</v>
      </c>
      <c r="O239" s="323">
        <v>100000</v>
      </c>
      <c r="P239" s="839">
        <f t="shared" si="52"/>
        <v>325000</v>
      </c>
      <c r="Q239" s="326">
        <f t="shared" si="53"/>
        <v>494000</v>
      </c>
      <c r="R239" s="343">
        <v>0</v>
      </c>
    </row>
    <row r="240" spans="2:19" s="173" customFormat="1" ht="18" hidden="1">
      <c r="B240" s="2983"/>
      <c r="C240" s="3019"/>
      <c r="D240" s="842" t="s">
        <v>1002</v>
      </c>
      <c r="E240" s="319">
        <v>100000</v>
      </c>
      <c r="F240" s="320">
        <v>68000</v>
      </c>
      <c r="G240" s="320">
        <v>30000</v>
      </c>
      <c r="H240" s="358">
        <v>30000</v>
      </c>
      <c r="I240" s="831">
        <f t="shared" si="49"/>
        <v>98000</v>
      </c>
      <c r="J240" s="321">
        <v>100000</v>
      </c>
      <c r="K240" s="323">
        <f t="shared" si="50"/>
        <v>200000</v>
      </c>
      <c r="L240" s="323">
        <f t="shared" si="51"/>
        <v>198000</v>
      </c>
      <c r="M240" s="832">
        <f>L240/500/1000</f>
        <v>0.39600000000000002</v>
      </c>
      <c r="N240" s="324">
        <v>225000</v>
      </c>
      <c r="O240" s="323">
        <v>100000</v>
      </c>
      <c r="P240" s="839">
        <f t="shared" si="52"/>
        <v>325000</v>
      </c>
      <c r="Q240" s="326">
        <f t="shared" si="53"/>
        <v>523000</v>
      </c>
      <c r="R240" s="344">
        <v>280000</v>
      </c>
    </row>
    <row r="241" spans="2:18" s="173" customFormat="1" ht="18.600000000000001" hidden="1" thickBot="1">
      <c r="B241" s="2984"/>
      <c r="C241" s="3020"/>
      <c r="D241" s="843" t="s">
        <v>1003</v>
      </c>
      <c r="E241" s="346">
        <v>150000</v>
      </c>
      <c r="F241" s="347">
        <v>75000</v>
      </c>
      <c r="G241" s="347">
        <v>35000</v>
      </c>
      <c r="H241" s="359">
        <v>30000</v>
      </c>
      <c r="I241" s="834">
        <f t="shared" si="49"/>
        <v>110000</v>
      </c>
      <c r="J241" s="348">
        <v>150000</v>
      </c>
      <c r="K241" s="332">
        <f t="shared" si="50"/>
        <v>300000</v>
      </c>
      <c r="L241" s="332">
        <f t="shared" si="51"/>
        <v>260000</v>
      </c>
      <c r="M241" s="835">
        <f>L241/1000/1000</f>
        <v>0.26</v>
      </c>
      <c r="N241" s="350">
        <v>225000</v>
      </c>
      <c r="O241" s="332">
        <v>100000</v>
      </c>
      <c r="P241" s="840">
        <f t="shared" si="52"/>
        <v>325000</v>
      </c>
      <c r="Q241" s="335">
        <f t="shared" si="53"/>
        <v>585000</v>
      </c>
      <c r="R241" s="352">
        <v>350000</v>
      </c>
    </row>
    <row r="242" spans="2:18" s="173" customFormat="1" ht="18" hidden="1">
      <c r="B242" s="2982">
        <v>5</v>
      </c>
      <c r="C242" s="2982" t="s">
        <v>173</v>
      </c>
      <c r="D242" s="309" t="s">
        <v>1004</v>
      </c>
      <c r="E242" s="310">
        <v>50000</v>
      </c>
      <c r="F242" s="311">
        <v>64000</v>
      </c>
      <c r="G242" s="311">
        <v>10000</v>
      </c>
      <c r="H242" s="311">
        <v>30000</v>
      </c>
      <c r="I242" s="827">
        <f t="shared" si="49"/>
        <v>74000</v>
      </c>
      <c r="J242" s="312">
        <v>50000</v>
      </c>
      <c r="K242" s="314">
        <f t="shared" si="50"/>
        <v>100000</v>
      </c>
      <c r="L242" s="314">
        <f t="shared" si="51"/>
        <v>124000</v>
      </c>
      <c r="M242" s="828">
        <f>L242/50/1000</f>
        <v>2.48</v>
      </c>
      <c r="N242" s="313">
        <v>225000</v>
      </c>
      <c r="O242" s="314">
        <v>100000</v>
      </c>
      <c r="P242" s="838">
        <f t="shared" si="52"/>
        <v>325000</v>
      </c>
      <c r="Q242" s="317">
        <f t="shared" si="53"/>
        <v>449000</v>
      </c>
      <c r="R242" s="317">
        <v>0</v>
      </c>
    </row>
    <row r="243" spans="2:18" s="173" customFormat="1" ht="18" hidden="1">
      <c r="B243" s="2983"/>
      <c r="C243" s="2983"/>
      <c r="D243" s="318" t="s">
        <v>1005</v>
      </c>
      <c r="E243" s="319">
        <v>50000</v>
      </c>
      <c r="F243" s="320">
        <v>64000</v>
      </c>
      <c r="G243" s="320">
        <v>25000</v>
      </c>
      <c r="H243" s="320">
        <v>30000</v>
      </c>
      <c r="I243" s="831">
        <f t="shared" si="49"/>
        <v>89000</v>
      </c>
      <c r="J243" s="321">
        <v>50000</v>
      </c>
      <c r="K243" s="323">
        <f t="shared" si="50"/>
        <v>100000</v>
      </c>
      <c r="L243" s="323">
        <f t="shared" si="51"/>
        <v>139000</v>
      </c>
      <c r="M243" s="832">
        <f>L243/100/1000</f>
        <v>1.39</v>
      </c>
      <c r="N243" s="341">
        <v>225000</v>
      </c>
      <c r="O243" s="342">
        <v>100000</v>
      </c>
      <c r="P243" s="839">
        <f t="shared" si="52"/>
        <v>325000</v>
      </c>
      <c r="Q243" s="326">
        <f t="shared" si="53"/>
        <v>464000</v>
      </c>
      <c r="R243" s="326">
        <v>0</v>
      </c>
    </row>
    <row r="244" spans="2:18" s="173" customFormat="1" ht="18" hidden="1">
      <c r="B244" s="2983"/>
      <c r="C244" s="2983"/>
      <c r="D244" s="318" t="s">
        <v>1006</v>
      </c>
      <c r="E244" s="319">
        <v>100000</v>
      </c>
      <c r="F244" s="320">
        <v>68000</v>
      </c>
      <c r="G244" s="320">
        <v>30000</v>
      </c>
      <c r="H244" s="320">
        <v>30000</v>
      </c>
      <c r="I244" s="831">
        <f t="shared" si="49"/>
        <v>98000</v>
      </c>
      <c r="J244" s="321">
        <v>110000</v>
      </c>
      <c r="K244" s="323">
        <f t="shared" si="50"/>
        <v>210000</v>
      </c>
      <c r="L244" s="323">
        <f t="shared" si="51"/>
        <v>208000</v>
      </c>
      <c r="M244" s="832">
        <f>L244/500/1000</f>
        <v>0.41599999999999998</v>
      </c>
      <c r="N244" s="322">
        <v>225000</v>
      </c>
      <c r="O244" s="323">
        <v>100000</v>
      </c>
      <c r="P244" s="839">
        <f t="shared" si="52"/>
        <v>325000</v>
      </c>
      <c r="Q244" s="326">
        <f t="shared" si="53"/>
        <v>533000</v>
      </c>
      <c r="R244" s="326">
        <v>280000</v>
      </c>
    </row>
    <row r="245" spans="2:18" s="173" customFormat="1" ht="18.600000000000001" hidden="1" thickBot="1">
      <c r="B245" s="2984"/>
      <c r="C245" s="2984"/>
      <c r="D245" s="345" t="s">
        <v>1007</v>
      </c>
      <c r="E245" s="346">
        <v>100000</v>
      </c>
      <c r="F245" s="347">
        <v>75000</v>
      </c>
      <c r="G245" s="347">
        <v>35000</v>
      </c>
      <c r="H245" s="347">
        <v>30000</v>
      </c>
      <c r="I245" s="834">
        <f t="shared" si="49"/>
        <v>110000</v>
      </c>
      <c r="J245" s="330">
        <v>150000</v>
      </c>
      <c r="K245" s="332">
        <f t="shared" si="50"/>
        <v>250000</v>
      </c>
      <c r="L245" s="332">
        <f t="shared" si="51"/>
        <v>260000</v>
      </c>
      <c r="M245" s="835">
        <f>L245/1000/1000</f>
        <v>0.26</v>
      </c>
      <c r="N245" s="349">
        <v>225000</v>
      </c>
      <c r="O245" s="334">
        <v>100000</v>
      </c>
      <c r="P245" s="840">
        <f t="shared" si="52"/>
        <v>325000</v>
      </c>
      <c r="Q245" s="335">
        <f t="shared" si="53"/>
        <v>585000</v>
      </c>
      <c r="R245" s="335">
        <v>350000</v>
      </c>
    </row>
    <row r="246" spans="2:18" s="173" customFormat="1" ht="18" hidden="1">
      <c r="B246" s="2982">
        <v>6</v>
      </c>
      <c r="C246" s="3021" t="s">
        <v>176</v>
      </c>
      <c r="D246" s="309" t="s">
        <v>1004</v>
      </c>
      <c r="E246" s="310">
        <v>60000</v>
      </c>
      <c r="F246" s="311">
        <v>100000</v>
      </c>
      <c r="G246" s="311">
        <v>10000</v>
      </c>
      <c r="H246" s="311">
        <v>30000</v>
      </c>
      <c r="I246" s="827">
        <f t="shared" si="49"/>
        <v>110000</v>
      </c>
      <c r="J246" s="312">
        <v>50000</v>
      </c>
      <c r="K246" s="314">
        <f>E246+J246</f>
        <v>110000</v>
      </c>
      <c r="L246" s="314">
        <f t="shared" si="51"/>
        <v>160000</v>
      </c>
      <c r="M246" s="828">
        <f>L246/50/1000</f>
        <v>3.2</v>
      </c>
      <c r="N246" s="315">
        <v>225000</v>
      </c>
      <c r="O246" s="314">
        <v>100000</v>
      </c>
      <c r="P246" s="838">
        <f t="shared" si="52"/>
        <v>325000</v>
      </c>
      <c r="Q246" s="317">
        <f t="shared" si="53"/>
        <v>485000</v>
      </c>
      <c r="R246" s="829">
        <v>0</v>
      </c>
    </row>
    <row r="247" spans="2:18" s="173" customFormat="1" ht="18" hidden="1">
      <c r="B247" s="2983"/>
      <c r="C247" s="3022"/>
      <c r="D247" s="318" t="s">
        <v>1005</v>
      </c>
      <c r="E247" s="319">
        <v>100000</v>
      </c>
      <c r="F247" s="320">
        <v>150000</v>
      </c>
      <c r="G247" s="320">
        <v>25000</v>
      </c>
      <c r="H247" s="320">
        <v>30000</v>
      </c>
      <c r="I247" s="831">
        <f t="shared" si="49"/>
        <v>175000</v>
      </c>
      <c r="J247" s="340">
        <v>60000</v>
      </c>
      <c r="K247" s="323">
        <f t="shared" si="50"/>
        <v>160000</v>
      </c>
      <c r="L247" s="323">
        <f t="shared" si="51"/>
        <v>235000</v>
      </c>
      <c r="M247" s="832">
        <f>L247/100/1000</f>
        <v>2.35</v>
      </c>
      <c r="N247" s="324">
        <v>225000</v>
      </c>
      <c r="O247" s="323">
        <v>100000</v>
      </c>
      <c r="P247" s="839">
        <f t="shared" si="52"/>
        <v>325000</v>
      </c>
      <c r="Q247" s="326">
        <f t="shared" si="53"/>
        <v>560000</v>
      </c>
      <c r="R247" s="343">
        <v>0</v>
      </c>
    </row>
    <row r="248" spans="2:18" s="173" customFormat="1" ht="18" hidden="1">
      <c r="B248" s="2983"/>
      <c r="C248" s="3022"/>
      <c r="D248" s="318" t="s">
        <v>1006</v>
      </c>
      <c r="E248" s="319">
        <v>140000</v>
      </c>
      <c r="F248" s="320">
        <v>200000</v>
      </c>
      <c r="G248" s="320">
        <v>30000</v>
      </c>
      <c r="H248" s="320">
        <v>30000</v>
      </c>
      <c r="I248" s="831">
        <f t="shared" si="49"/>
        <v>230000</v>
      </c>
      <c r="J248" s="321">
        <v>150000</v>
      </c>
      <c r="K248" s="323">
        <f t="shared" si="50"/>
        <v>290000</v>
      </c>
      <c r="L248" s="323">
        <f t="shared" si="51"/>
        <v>380000</v>
      </c>
      <c r="M248" s="832">
        <f>L248/500/1000</f>
        <v>0.76</v>
      </c>
      <c r="N248" s="324">
        <v>225000</v>
      </c>
      <c r="O248" s="323">
        <v>100000</v>
      </c>
      <c r="P248" s="839">
        <f t="shared" si="52"/>
        <v>325000</v>
      </c>
      <c r="Q248" s="326">
        <f t="shared" si="53"/>
        <v>705000</v>
      </c>
      <c r="R248" s="344">
        <v>300000</v>
      </c>
    </row>
    <row r="249" spans="2:18" s="173" customFormat="1" ht="18.600000000000001" hidden="1" thickBot="1">
      <c r="B249" s="2984"/>
      <c r="C249" s="3023"/>
      <c r="D249" s="327" t="s">
        <v>1007</v>
      </c>
      <c r="E249" s="328">
        <v>200000</v>
      </c>
      <c r="F249" s="329">
        <v>250000</v>
      </c>
      <c r="G249" s="329">
        <v>35000</v>
      </c>
      <c r="H249" s="329">
        <v>30000</v>
      </c>
      <c r="I249" s="834">
        <f t="shared" si="49"/>
        <v>285000</v>
      </c>
      <c r="J249" s="330">
        <v>200000</v>
      </c>
      <c r="K249" s="332">
        <f t="shared" si="50"/>
        <v>400000</v>
      </c>
      <c r="L249" s="332">
        <f t="shared" si="51"/>
        <v>485000</v>
      </c>
      <c r="M249" s="835">
        <f>L249/1000/1000</f>
        <v>0.48499999999999999</v>
      </c>
      <c r="N249" s="350">
        <v>225000</v>
      </c>
      <c r="O249" s="332">
        <v>100000</v>
      </c>
      <c r="P249" s="840">
        <f t="shared" si="52"/>
        <v>325000</v>
      </c>
      <c r="Q249" s="335">
        <f t="shared" si="53"/>
        <v>810000</v>
      </c>
      <c r="R249" s="361">
        <v>380000</v>
      </c>
    </row>
    <row r="250" spans="2:18" s="173" customFormat="1" ht="18" hidden="1">
      <c r="B250" s="2982">
        <v>7</v>
      </c>
      <c r="C250" s="3026" t="s">
        <v>186</v>
      </c>
      <c r="D250" s="309" t="s">
        <v>1004</v>
      </c>
      <c r="E250" s="310">
        <v>75000</v>
      </c>
      <c r="F250" s="311">
        <v>70000</v>
      </c>
      <c r="G250" s="311">
        <v>15000</v>
      </c>
      <c r="H250" s="311">
        <v>20000</v>
      </c>
      <c r="I250" s="827">
        <f t="shared" si="49"/>
        <v>85000</v>
      </c>
      <c r="J250" s="312">
        <v>50000</v>
      </c>
      <c r="K250" s="314">
        <f t="shared" si="50"/>
        <v>125000</v>
      </c>
      <c r="L250" s="314">
        <f t="shared" si="51"/>
        <v>135000</v>
      </c>
      <c r="M250" s="828">
        <f>L250/50/1000</f>
        <v>2.7</v>
      </c>
      <c r="N250" s="313">
        <v>225000</v>
      </c>
      <c r="O250" s="314">
        <v>100000</v>
      </c>
      <c r="P250" s="838">
        <f t="shared" si="52"/>
        <v>325000</v>
      </c>
      <c r="Q250" s="317">
        <f t="shared" si="53"/>
        <v>460000</v>
      </c>
      <c r="R250" s="317">
        <v>0</v>
      </c>
    </row>
    <row r="251" spans="2:18" s="173" customFormat="1" ht="18" hidden="1">
      <c r="B251" s="2983"/>
      <c r="C251" s="3027"/>
      <c r="D251" s="337" t="s">
        <v>1005</v>
      </c>
      <c r="E251" s="338">
        <v>100000</v>
      </c>
      <c r="F251" s="339">
        <v>70000</v>
      </c>
      <c r="G251" s="339">
        <v>20000</v>
      </c>
      <c r="H251" s="357">
        <v>20000</v>
      </c>
      <c r="I251" s="831">
        <f t="shared" si="49"/>
        <v>90000</v>
      </c>
      <c r="J251" s="321">
        <v>50000</v>
      </c>
      <c r="K251" s="323">
        <f t="shared" si="50"/>
        <v>150000</v>
      </c>
      <c r="L251" s="323">
        <f t="shared" si="51"/>
        <v>140000</v>
      </c>
      <c r="M251" s="832">
        <f>L251/100/1000</f>
        <v>1.4</v>
      </c>
      <c r="N251" s="341">
        <v>225000</v>
      </c>
      <c r="O251" s="342">
        <v>100000</v>
      </c>
      <c r="P251" s="839">
        <f t="shared" si="52"/>
        <v>325000</v>
      </c>
      <c r="Q251" s="326">
        <f t="shared" si="53"/>
        <v>465000</v>
      </c>
      <c r="R251" s="343">
        <v>0</v>
      </c>
    </row>
    <row r="252" spans="2:18" s="173" customFormat="1" ht="18" hidden="1">
      <c r="B252" s="2983"/>
      <c r="C252" s="3027"/>
      <c r="D252" s="318" t="s">
        <v>1006</v>
      </c>
      <c r="E252" s="319">
        <v>150000</v>
      </c>
      <c r="F252" s="320">
        <v>70000</v>
      </c>
      <c r="G252" s="320">
        <v>25000</v>
      </c>
      <c r="H252" s="358">
        <v>30000</v>
      </c>
      <c r="I252" s="831">
        <f t="shared" si="49"/>
        <v>95000</v>
      </c>
      <c r="J252" s="321">
        <v>90000</v>
      </c>
      <c r="K252" s="323">
        <f t="shared" si="50"/>
        <v>240000</v>
      </c>
      <c r="L252" s="323">
        <f t="shared" si="51"/>
        <v>185000</v>
      </c>
      <c r="M252" s="832">
        <f>L252/500/1000</f>
        <v>0.37</v>
      </c>
      <c r="N252" s="322">
        <v>225000</v>
      </c>
      <c r="O252" s="323">
        <v>100000</v>
      </c>
      <c r="P252" s="839">
        <f t="shared" si="52"/>
        <v>325000</v>
      </c>
      <c r="Q252" s="326">
        <f t="shared" si="53"/>
        <v>510000</v>
      </c>
      <c r="R252" s="344">
        <v>200000</v>
      </c>
    </row>
    <row r="253" spans="2:18" s="173" customFormat="1" ht="18.600000000000001" hidden="1" thickBot="1">
      <c r="B253" s="2984"/>
      <c r="C253" s="3028"/>
      <c r="D253" s="327" t="s">
        <v>1007</v>
      </c>
      <c r="E253" s="328">
        <v>210000</v>
      </c>
      <c r="F253" s="329">
        <v>70000</v>
      </c>
      <c r="G253" s="329">
        <v>25000</v>
      </c>
      <c r="H253" s="360">
        <v>30000</v>
      </c>
      <c r="I253" s="834">
        <f t="shared" si="49"/>
        <v>95000</v>
      </c>
      <c r="J253" s="330">
        <v>115000</v>
      </c>
      <c r="K253" s="332">
        <f t="shared" si="50"/>
        <v>325000</v>
      </c>
      <c r="L253" s="332">
        <f t="shared" si="51"/>
        <v>210000</v>
      </c>
      <c r="M253" s="835">
        <f>L253/1000/1000</f>
        <v>0.21</v>
      </c>
      <c r="N253" s="349">
        <v>225000</v>
      </c>
      <c r="O253" s="334">
        <v>100000</v>
      </c>
      <c r="P253" s="840">
        <f t="shared" si="52"/>
        <v>325000</v>
      </c>
      <c r="Q253" s="335">
        <f t="shared" si="53"/>
        <v>535000</v>
      </c>
      <c r="R253" s="361">
        <v>300000</v>
      </c>
    </row>
    <row r="254" spans="2:18" s="173" customFormat="1" ht="18" hidden="1">
      <c r="B254" s="2982">
        <v>8</v>
      </c>
      <c r="C254" s="3011" t="s">
        <v>196</v>
      </c>
      <c r="D254" s="309" t="s">
        <v>1004</v>
      </c>
      <c r="E254" s="310">
        <v>80000</v>
      </c>
      <c r="F254" s="311">
        <v>90000</v>
      </c>
      <c r="G254" s="311">
        <v>10000</v>
      </c>
      <c r="H254" s="311">
        <v>20000</v>
      </c>
      <c r="I254" s="827">
        <f t="shared" si="49"/>
        <v>100000</v>
      </c>
      <c r="J254" s="844">
        <v>70000</v>
      </c>
      <c r="K254" s="314">
        <f t="shared" si="50"/>
        <v>150000</v>
      </c>
      <c r="L254" s="314">
        <f t="shared" si="51"/>
        <v>170000</v>
      </c>
      <c r="M254" s="828">
        <f>L254/50/1000</f>
        <v>3.4</v>
      </c>
      <c r="N254" s="313">
        <v>225000</v>
      </c>
      <c r="O254" s="314">
        <v>100000</v>
      </c>
      <c r="P254" s="838">
        <f t="shared" si="52"/>
        <v>325000</v>
      </c>
      <c r="Q254" s="317">
        <f t="shared" si="53"/>
        <v>495000</v>
      </c>
      <c r="R254" s="829">
        <v>0</v>
      </c>
    </row>
    <row r="255" spans="2:18" s="173" customFormat="1" ht="18" hidden="1">
      <c r="B255" s="2983"/>
      <c r="C255" s="3012"/>
      <c r="D255" s="337" t="s">
        <v>1005</v>
      </c>
      <c r="E255" s="338">
        <v>150000</v>
      </c>
      <c r="F255" s="339">
        <v>100000</v>
      </c>
      <c r="G255" s="339">
        <v>20000</v>
      </c>
      <c r="H255" s="357">
        <v>30000</v>
      </c>
      <c r="I255" s="831">
        <f t="shared" si="49"/>
        <v>120000</v>
      </c>
      <c r="J255" s="845">
        <v>130000</v>
      </c>
      <c r="K255" s="323">
        <f t="shared" si="50"/>
        <v>280000</v>
      </c>
      <c r="L255" s="323">
        <f t="shared" si="51"/>
        <v>250000</v>
      </c>
      <c r="M255" s="832">
        <f>L255/100/1000</f>
        <v>2.5</v>
      </c>
      <c r="N255" s="322">
        <v>225000</v>
      </c>
      <c r="O255" s="323">
        <v>100000</v>
      </c>
      <c r="P255" s="839">
        <f t="shared" si="52"/>
        <v>325000</v>
      </c>
      <c r="Q255" s="326">
        <f t="shared" si="53"/>
        <v>575000</v>
      </c>
      <c r="R255" s="343">
        <v>0</v>
      </c>
    </row>
    <row r="256" spans="2:18" s="173" customFormat="1" ht="18" hidden="1">
      <c r="B256" s="2983"/>
      <c r="C256" s="3012"/>
      <c r="D256" s="318" t="s">
        <v>1006</v>
      </c>
      <c r="E256" s="319">
        <v>150000</v>
      </c>
      <c r="F256" s="320">
        <v>100000</v>
      </c>
      <c r="G256" s="320">
        <v>20000</v>
      </c>
      <c r="H256" s="358">
        <v>50000</v>
      </c>
      <c r="I256" s="831">
        <f t="shared" si="49"/>
        <v>120000</v>
      </c>
      <c r="J256" s="846">
        <v>200000</v>
      </c>
      <c r="K256" s="323">
        <f t="shared" si="50"/>
        <v>350000</v>
      </c>
      <c r="L256" s="323">
        <f t="shared" si="51"/>
        <v>320000</v>
      </c>
      <c r="M256" s="832">
        <f>L256/500/1000</f>
        <v>0.64</v>
      </c>
      <c r="N256" s="322">
        <v>225000</v>
      </c>
      <c r="O256" s="323">
        <v>100000</v>
      </c>
      <c r="P256" s="839">
        <f t="shared" si="52"/>
        <v>325000</v>
      </c>
      <c r="Q256" s="326">
        <f t="shared" si="53"/>
        <v>645000</v>
      </c>
      <c r="R256" s="344">
        <v>300000</v>
      </c>
    </row>
    <row r="257" spans="2:18" s="173" customFormat="1" ht="18.600000000000001" hidden="1" thickBot="1">
      <c r="B257" s="2984"/>
      <c r="C257" s="3013"/>
      <c r="D257" s="327" t="s">
        <v>1007</v>
      </c>
      <c r="E257" s="346">
        <v>180000</v>
      </c>
      <c r="F257" s="347">
        <v>150000</v>
      </c>
      <c r="G257" s="347">
        <v>30000</v>
      </c>
      <c r="H257" s="359">
        <v>100000</v>
      </c>
      <c r="I257" s="834">
        <f t="shared" si="49"/>
        <v>180000</v>
      </c>
      <c r="J257" s="847">
        <v>225000</v>
      </c>
      <c r="K257" s="332">
        <f t="shared" si="50"/>
        <v>405000</v>
      </c>
      <c r="L257" s="332">
        <f t="shared" si="51"/>
        <v>405000</v>
      </c>
      <c r="M257" s="835">
        <f>L257/1000/1000</f>
        <v>0.40500000000000003</v>
      </c>
      <c r="N257" s="331">
        <v>225000</v>
      </c>
      <c r="O257" s="332">
        <v>100000</v>
      </c>
      <c r="P257" s="840">
        <f t="shared" si="52"/>
        <v>325000</v>
      </c>
      <c r="Q257" s="335">
        <f t="shared" si="53"/>
        <v>730000</v>
      </c>
      <c r="R257" s="352">
        <v>400000</v>
      </c>
    </row>
    <row r="258" spans="2:18" s="173" customFormat="1" ht="18" hidden="1">
      <c r="B258" s="2982">
        <v>9</v>
      </c>
      <c r="C258" s="3011" t="s">
        <v>200</v>
      </c>
      <c r="D258" s="309" t="s">
        <v>1004</v>
      </c>
      <c r="E258" s="310">
        <v>50000</v>
      </c>
      <c r="F258" s="311">
        <v>60000</v>
      </c>
      <c r="G258" s="311">
        <v>10000</v>
      </c>
      <c r="H258" s="311">
        <v>30000</v>
      </c>
      <c r="I258" s="827">
        <f t="shared" ref="I258:I290" si="59">SUM(F258:G258)</f>
        <v>70000</v>
      </c>
      <c r="J258" s="312">
        <v>50000</v>
      </c>
      <c r="K258" s="314">
        <f t="shared" ref="K258:K290" si="60">E258+J258</f>
        <v>100000</v>
      </c>
      <c r="L258" s="314">
        <f t="shared" ref="L258:L290" si="61">I258+J258</f>
        <v>120000</v>
      </c>
      <c r="M258" s="828">
        <f>L258/50/1000</f>
        <v>2.4</v>
      </c>
      <c r="N258" s="313">
        <v>225000</v>
      </c>
      <c r="O258" s="314">
        <v>100000</v>
      </c>
      <c r="P258" s="838">
        <f t="shared" ref="P258:P290" si="62">N258+O258</f>
        <v>325000</v>
      </c>
      <c r="Q258" s="317">
        <f t="shared" ref="Q258:Q290" si="63">L258+P258</f>
        <v>445000</v>
      </c>
      <c r="R258" s="317">
        <v>0</v>
      </c>
    </row>
    <row r="259" spans="2:18" s="173" customFormat="1" ht="18" hidden="1">
      <c r="B259" s="2983"/>
      <c r="C259" s="3012"/>
      <c r="D259" s="337" t="s">
        <v>1005</v>
      </c>
      <c r="E259" s="319">
        <v>65000</v>
      </c>
      <c r="F259" s="320">
        <v>94000</v>
      </c>
      <c r="G259" s="320">
        <v>30000</v>
      </c>
      <c r="H259" s="320">
        <v>30000</v>
      </c>
      <c r="I259" s="831">
        <f t="shared" si="59"/>
        <v>124000</v>
      </c>
      <c r="J259" s="321">
        <v>80000</v>
      </c>
      <c r="K259" s="323">
        <f t="shared" si="60"/>
        <v>145000</v>
      </c>
      <c r="L259" s="323">
        <f t="shared" si="61"/>
        <v>204000</v>
      </c>
      <c r="M259" s="832">
        <f>L259/100/1000</f>
        <v>2.04</v>
      </c>
      <c r="N259" s="341">
        <v>225000</v>
      </c>
      <c r="O259" s="342">
        <v>100000</v>
      </c>
      <c r="P259" s="839">
        <f t="shared" si="62"/>
        <v>325000</v>
      </c>
      <c r="Q259" s="326">
        <f t="shared" si="63"/>
        <v>529000</v>
      </c>
      <c r="R259" s="343">
        <v>0</v>
      </c>
    </row>
    <row r="260" spans="2:18" s="173" customFormat="1" ht="18" hidden="1">
      <c r="B260" s="2983"/>
      <c r="C260" s="3012"/>
      <c r="D260" s="318" t="s">
        <v>1006</v>
      </c>
      <c r="E260" s="319">
        <v>120000</v>
      </c>
      <c r="F260" s="320">
        <v>98000</v>
      </c>
      <c r="G260" s="320">
        <v>35000</v>
      </c>
      <c r="H260" s="320">
        <v>30000</v>
      </c>
      <c r="I260" s="831">
        <f t="shared" si="59"/>
        <v>133000</v>
      </c>
      <c r="J260" s="321">
        <v>180000</v>
      </c>
      <c r="K260" s="323">
        <f t="shared" si="60"/>
        <v>300000</v>
      </c>
      <c r="L260" s="323">
        <f t="shared" si="61"/>
        <v>313000</v>
      </c>
      <c r="M260" s="832">
        <f>L260/500/1000</f>
        <v>0.626</v>
      </c>
      <c r="N260" s="322">
        <v>225000</v>
      </c>
      <c r="O260" s="323">
        <v>100000</v>
      </c>
      <c r="P260" s="839">
        <f t="shared" si="62"/>
        <v>325000</v>
      </c>
      <c r="Q260" s="326">
        <f t="shared" si="63"/>
        <v>638000</v>
      </c>
      <c r="R260" s="344">
        <v>350000</v>
      </c>
    </row>
    <row r="261" spans="2:18" s="173" customFormat="1" ht="18.600000000000001" hidden="1" thickBot="1">
      <c r="B261" s="2984"/>
      <c r="C261" s="3013"/>
      <c r="D261" s="327" t="s">
        <v>1007</v>
      </c>
      <c r="E261" s="328">
        <v>120000</v>
      </c>
      <c r="F261" s="329">
        <v>105000</v>
      </c>
      <c r="G261" s="329">
        <v>40000</v>
      </c>
      <c r="H261" s="329">
        <v>30000</v>
      </c>
      <c r="I261" s="834">
        <f t="shared" si="59"/>
        <v>145000</v>
      </c>
      <c r="J261" s="330">
        <v>280000</v>
      </c>
      <c r="K261" s="332">
        <f t="shared" si="60"/>
        <v>400000</v>
      </c>
      <c r="L261" s="332">
        <f t="shared" si="61"/>
        <v>425000</v>
      </c>
      <c r="M261" s="835">
        <f>L261/1000/1000</f>
        <v>0.42499999999999999</v>
      </c>
      <c r="N261" s="331">
        <v>225000</v>
      </c>
      <c r="O261" s="332">
        <v>100000</v>
      </c>
      <c r="P261" s="840">
        <f t="shared" si="62"/>
        <v>325000</v>
      </c>
      <c r="Q261" s="335">
        <f t="shared" si="63"/>
        <v>750000</v>
      </c>
      <c r="R261" s="361">
        <v>420000</v>
      </c>
    </row>
    <row r="262" spans="2:18" s="173" customFormat="1" ht="18" hidden="1">
      <c r="B262" s="2982">
        <v>10</v>
      </c>
      <c r="C262" s="3011" t="s">
        <v>180</v>
      </c>
      <c r="D262" s="309" t="s">
        <v>1004</v>
      </c>
      <c r="E262" s="310">
        <v>50000</v>
      </c>
      <c r="F262" s="311">
        <v>94000</v>
      </c>
      <c r="G262" s="311">
        <v>15000</v>
      </c>
      <c r="H262" s="311">
        <v>30000</v>
      </c>
      <c r="I262" s="827">
        <f t="shared" si="59"/>
        <v>109000</v>
      </c>
      <c r="J262" s="312">
        <v>50000</v>
      </c>
      <c r="K262" s="314">
        <f t="shared" si="60"/>
        <v>100000</v>
      </c>
      <c r="L262" s="314">
        <f t="shared" si="61"/>
        <v>159000</v>
      </c>
      <c r="M262" s="828">
        <f>L262/50/1000</f>
        <v>3.18</v>
      </c>
      <c r="N262" s="315">
        <v>225000</v>
      </c>
      <c r="O262" s="314">
        <v>100000</v>
      </c>
      <c r="P262" s="838">
        <f t="shared" si="62"/>
        <v>325000</v>
      </c>
      <c r="Q262" s="317">
        <f t="shared" si="63"/>
        <v>484000</v>
      </c>
      <c r="R262" s="317">
        <v>0</v>
      </c>
    </row>
    <row r="263" spans="2:18" s="173" customFormat="1" ht="18" hidden="1">
      <c r="B263" s="2983"/>
      <c r="C263" s="3012"/>
      <c r="D263" s="337" t="s">
        <v>1005</v>
      </c>
      <c r="E263" s="338">
        <v>70000</v>
      </c>
      <c r="F263" s="339">
        <v>94000</v>
      </c>
      <c r="G263" s="339">
        <v>30000</v>
      </c>
      <c r="H263" s="357">
        <v>30000</v>
      </c>
      <c r="I263" s="831">
        <f t="shared" si="59"/>
        <v>124000</v>
      </c>
      <c r="J263" s="340">
        <v>60000</v>
      </c>
      <c r="K263" s="323">
        <f t="shared" si="60"/>
        <v>130000</v>
      </c>
      <c r="L263" s="323">
        <f t="shared" si="61"/>
        <v>184000</v>
      </c>
      <c r="M263" s="832">
        <f>L263/100/1000</f>
        <v>1.84</v>
      </c>
      <c r="N263" s="354">
        <v>225000</v>
      </c>
      <c r="O263" s="342">
        <v>100000</v>
      </c>
      <c r="P263" s="839">
        <f t="shared" si="62"/>
        <v>325000</v>
      </c>
      <c r="Q263" s="326">
        <f t="shared" si="63"/>
        <v>509000</v>
      </c>
      <c r="R263" s="343">
        <v>0</v>
      </c>
    </row>
    <row r="264" spans="2:18" s="173" customFormat="1" ht="18" hidden="1">
      <c r="B264" s="2983"/>
      <c r="C264" s="3012"/>
      <c r="D264" s="318" t="s">
        <v>1006</v>
      </c>
      <c r="E264" s="319">
        <v>125000</v>
      </c>
      <c r="F264" s="320">
        <v>125000</v>
      </c>
      <c r="G264" s="320">
        <v>35000</v>
      </c>
      <c r="H264" s="358">
        <v>30000</v>
      </c>
      <c r="I264" s="831">
        <f t="shared" si="59"/>
        <v>160000</v>
      </c>
      <c r="J264" s="321">
        <v>150000</v>
      </c>
      <c r="K264" s="323">
        <f t="shared" si="60"/>
        <v>275000</v>
      </c>
      <c r="L264" s="323">
        <f t="shared" si="61"/>
        <v>310000</v>
      </c>
      <c r="M264" s="832">
        <f>L264/500/1000</f>
        <v>0.62</v>
      </c>
      <c r="N264" s="324">
        <v>225000</v>
      </c>
      <c r="O264" s="323">
        <v>100000</v>
      </c>
      <c r="P264" s="839">
        <f t="shared" si="62"/>
        <v>325000</v>
      </c>
      <c r="Q264" s="326">
        <f t="shared" si="63"/>
        <v>635000</v>
      </c>
      <c r="R264" s="344">
        <v>280000</v>
      </c>
    </row>
    <row r="265" spans="2:18" s="173" customFormat="1" ht="18.600000000000001" hidden="1" thickBot="1">
      <c r="B265" s="2984"/>
      <c r="C265" s="3013"/>
      <c r="D265" s="327" t="s">
        <v>1007</v>
      </c>
      <c r="E265" s="346">
        <v>150000</v>
      </c>
      <c r="F265" s="347">
        <v>150000</v>
      </c>
      <c r="G265" s="347">
        <v>35000</v>
      </c>
      <c r="H265" s="359">
        <v>30000</v>
      </c>
      <c r="I265" s="834">
        <f t="shared" si="59"/>
        <v>185000</v>
      </c>
      <c r="J265" s="348">
        <v>200000</v>
      </c>
      <c r="K265" s="332">
        <f t="shared" si="60"/>
        <v>350000</v>
      </c>
      <c r="L265" s="332">
        <f t="shared" si="61"/>
        <v>385000</v>
      </c>
      <c r="M265" s="835">
        <f>L265/1000/1000</f>
        <v>0.38500000000000001</v>
      </c>
      <c r="N265" s="350">
        <v>0</v>
      </c>
      <c r="O265" s="332">
        <v>0</v>
      </c>
      <c r="P265" s="840">
        <f t="shared" si="62"/>
        <v>0</v>
      </c>
      <c r="Q265" s="335">
        <f t="shared" si="63"/>
        <v>385000</v>
      </c>
      <c r="R265" s="352">
        <v>0</v>
      </c>
    </row>
    <row r="266" spans="2:18" s="173" customFormat="1" ht="18" hidden="1">
      <c r="B266" s="2982">
        <v>11</v>
      </c>
      <c r="C266" s="3011" t="s">
        <v>188</v>
      </c>
      <c r="D266" s="309" t="s">
        <v>1008</v>
      </c>
      <c r="E266" s="353">
        <v>100000</v>
      </c>
      <c r="F266" s="311">
        <v>170000</v>
      </c>
      <c r="G266" s="311">
        <v>30000</v>
      </c>
      <c r="H266" s="311">
        <v>50000</v>
      </c>
      <c r="I266" s="827">
        <f t="shared" si="59"/>
        <v>200000</v>
      </c>
      <c r="J266" s="312">
        <v>172500</v>
      </c>
      <c r="K266" s="314">
        <f t="shared" si="60"/>
        <v>272500</v>
      </c>
      <c r="L266" s="314">
        <f t="shared" si="61"/>
        <v>372500</v>
      </c>
      <c r="M266" s="828">
        <f>L266/50/1000</f>
        <v>7.45</v>
      </c>
      <c r="N266" s="315">
        <v>225000</v>
      </c>
      <c r="O266" s="314">
        <v>100000</v>
      </c>
      <c r="P266" s="838">
        <f t="shared" si="62"/>
        <v>325000</v>
      </c>
      <c r="Q266" s="317">
        <f t="shared" si="63"/>
        <v>697500</v>
      </c>
      <c r="R266" s="317">
        <v>0</v>
      </c>
    </row>
    <row r="267" spans="2:18" s="173" customFormat="1" ht="18" hidden="1">
      <c r="B267" s="2983"/>
      <c r="C267" s="3012"/>
      <c r="D267" s="337" t="s">
        <v>1009</v>
      </c>
      <c r="E267" s="355">
        <v>200000</v>
      </c>
      <c r="F267" s="320">
        <v>170000</v>
      </c>
      <c r="G267" s="320">
        <v>30000</v>
      </c>
      <c r="H267" s="320">
        <v>50000</v>
      </c>
      <c r="I267" s="831">
        <f t="shared" si="59"/>
        <v>200000</v>
      </c>
      <c r="J267" s="731">
        <v>395000</v>
      </c>
      <c r="K267" s="323">
        <f t="shared" si="60"/>
        <v>595000</v>
      </c>
      <c r="L267" s="323">
        <f t="shared" si="61"/>
        <v>595000</v>
      </c>
      <c r="M267" s="832">
        <f>L267/100/1000</f>
        <v>5.95</v>
      </c>
      <c r="N267" s="354">
        <v>225000</v>
      </c>
      <c r="O267" s="342">
        <v>100000</v>
      </c>
      <c r="P267" s="839">
        <f t="shared" si="62"/>
        <v>325000</v>
      </c>
      <c r="Q267" s="326">
        <f t="shared" si="63"/>
        <v>920000</v>
      </c>
      <c r="R267" s="343">
        <v>0</v>
      </c>
    </row>
    <row r="268" spans="2:18" s="173" customFormat="1" ht="18" hidden="1">
      <c r="B268" s="2983"/>
      <c r="C268" s="3012"/>
      <c r="D268" s="318" t="s">
        <v>1010</v>
      </c>
      <c r="E268" s="355">
        <v>250000</v>
      </c>
      <c r="F268" s="320">
        <v>170000</v>
      </c>
      <c r="G268" s="320">
        <v>30000</v>
      </c>
      <c r="H268" s="320">
        <v>50000</v>
      </c>
      <c r="I268" s="831">
        <f t="shared" si="59"/>
        <v>200000</v>
      </c>
      <c r="J268" s="321">
        <v>1300000</v>
      </c>
      <c r="K268" s="323">
        <f t="shared" si="60"/>
        <v>1550000</v>
      </c>
      <c r="L268" s="323">
        <f t="shared" si="61"/>
        <v>1500000</v>
      </c>
      <c r="M268" s="832">
        <f>L268/500/1000</f>
        <v>3</v>
      </c>
      <c r="N268" s="324">
        <v>225000</v>
      </c>
      <c r="O268" s="323">
        <v>100000</v>
      </c>
      <c r="P268" s="839">
        <f t="shared" si="62"/>
        <v>325000</v>
      </c>
      <c r="Q268" s="326">
        <f t="shared" si="63"/>
        <v>1825000</v>
      </c>
      <c r="R268" s="344">
        <v>0</v>
      </c>
    </row>
    <row r="269" spans="2:18" s="173" customFormat="1" ht="18.600000000000001" hidden="1" thickBot="1">
      <c r="B269" s="2984"/>
      <c r="C269" s="3030"/>
      <c r="D269" s="318" t="s">
        <v>1011</v>
      </c>
      <c r="E269" s="355">
        <v>250000</v>
      </c>
      <c r="F269" s="320">
        <v>170000</v>
      </c>
      <c r="G269" s="320">
        <v>40000</v>
      </c>
      <c r="H269" s="320">
        <v>50000</v>
      </c>
      <c r="I269" s="831">
        <f t="shared" si="59"/>
        <v>210000</v>
      </c>
      <c r="J269" s="321">
        <v>2350000</v>
      </c>
      <c r="K269" s="323">
        <f t="shared" si="60"/>
        <v>2600000</v>
      </c>
      <c r="L269" s="323">
        <f t="shared" si="61"/>
        <v>2560000</v>
      </c>
      <c r="M269" s="832">
        <f>L269/1000/1000</f>
        <v>2.56</v>
      </c>
      <c r="N269" s="324">
        <v>225000</v>
      </c>
      <c r="O269" s="323">
        <v>100000</v>
      </c>
      <c r="P269" s="839">
        <f t="shared" si="62"/>
        <v>325000</v>
      </c>
      <c r="Q269" s="326">
        <f t="shared" si="63"/>
        <v>2885000</v>
      </c>
      <c r="R269" s="344">
        <v>0</v>
      </c>
    </row>
    <row r="270" spans="2:18" s="173" customFormat="1" ht="18.600000000000001" hidden="1" thickBot="1">
      <c r="B270" s="868"/>
      <c r="C270" s="3013"/>
      <c r="D270" s="2053" t="s">
        <v>1012</v>
      </c>
      <c r="E270" s="2054">
        <v>0</v>
      </c>
      <c r="F270" s="2055">
        <v>0</v>
      </c>
      <c r="G270" s="2055">
        <v>0</v>
      </c>
      <c r="H270" s="2055">
        <v>0</v>
      </c>
      <c r="I270" s="2056">
        <f t="shared" ref="I270" si="64">SUM(F270:G270)</f>
        <v>0</v>
      </c>
      <c r="J270" s="732">
        <f>2600*R55</f>
        <v>780000</v>
      </c>
      <c r="K270" s="2057">
        <f t="shared" ref="K270" si="65">E270+J270</f>
        <v>780000</v>
      </c>
      <c r="L270" s="2057">
        <f t="shared" ref="L270" si="66">I270+J270</f>
        <v>780000</v>
      </c>
      <c r="M270" s="2058">
        <f>L270/1000/1000</f>
        <v>0.78</v>
      </c>
      <c r="N270" s="2059">
        <v>225000</v>
      </c>
      <c r="O270" s="2057">
        <v>100000</v>
      </c>
      <c r="P270" s="2060">
        <f t="shared" ref="P270" si="67">N270+O270</f>
        <v>325000</v>
      </c>
      <c r="Q270" s="2061">
        <f t="shared" ref="Q270" si="68">L270+P270</f>
        <v>1105000</v>
      </c>
      <c r="R270" s="2062">
        <v>0</v>
      </c>
    </row>
    <row r="271" spans="2:18" s="173" customFormat="1" ht="18" hidden="1">
      <c r="B271" s="2982">
        <v>12</v>
      </c>
      <c r="C271" s="3011" t="s">
        <v>193</v>
      </c>
      <c r="D271" s="309" t="s">
        <v>1004</v>
      </c>
      <c r="E271" s="338">
        <v>70000</v>
      </c>
      <c r="F271" s="339">
        <v>94000</v>
      </c>
      <c r="G271" s="339">
        <v>10000</v>
      </c>
      <c r="H271" s="339">
        <v>30000</v>
      </c>
      <c r="I271" s="827">
        <f t="shared" si="59"/>
        <v>104000</v>
      </c>
      <c r="J271" s="312">
        <v>60000</v>
      </c>
      <c r="K271" s="314">
        <f t="shared" si="60"/>
        <v>130000</v>
      </c>
      <c r="L271" s="314">
        <f t="shared" si="61"/>
        <v>164000</v>
      </c>
      <c r="M271" s="828">
        <f>L271/50/1000</f>
        <v>3.28</v>
      </c>
      <c r="N271" s="315">
        <v>225000</v>
      </c>
      <c r="O271" s="314">
        <v>100000</v>
      </c>
      <c r="P271" s="838">
        <f t="shared" si="62"/>
        <v>325000</v>
      </c>
      <c r="Q271" s="317">
        <f t="shared" si="63"/>
        <v>489000</v>
      </c>
      <c r="R271" s="317">
        <v>0</v>
      </c>
    </row>
    <row r="272" spans="2:18" s="173" customFormat="1" ht="18" hidden="1">
      <c r="B272" s="2983"/>
      <c r="C272" s="3012"/>
      <c r="D272" s="337" t="s">
        <v>1005</v>
      </c>
      <c r="E272" s="338">
        <v>70000</v>
      </c>
      <c r="F272" s="339">
        <v>94000</v>
      </c>
      <c r="G272" s="339">
        <v>30000</v>
      </c>
      <c r="H272" s="357">
        <v>30000</v>
      </c>
      <c r="I272" s="831">
        <f t="shared" si="59"/>
        <v>124000</v>
      </c>
      <c r="J272" s="340">
        <v>70000</v>
      </c>
      <c r="K272" s="323">
        <f t="shared" si="60"/>
        <v>140000</v>
      </c>
      <c r="L272" s="323">
        <f t="shared" si="61"/>
        <v>194000</v>
      </c>
      <c r="M272" s="832">
        <f>L272/100/1000</f>
        <v>1.94</v>
      </c>
      <c r="N272" s="354">
        <v>225000</v>
      </c>
      <c r="O272" s="342">
        <v>100000</v>
      </c>
      <c r="P272" s="839">
        <f t="shared" si="62"/>
        <v>325000</v>
      </c>
      <c r="Q272" s="326">
        <f t="shared" si="63"/>
        <v>519000</v>
      </c>
      <c r="R272" s="343">
        <v>0</v>
      </c>
    </row>
    <row r="273" spans="1:18" s="173" customFormat="1" ht="18" hidden="1">
      <c r="A273" s="173" t="s">
        <v>134</v>
      </c>
      <c r="B273" s="2983"/>
      <c r="C273" s="3012"/>
      <c r="D273" s="318" t="s">
        <v>1006</v>
      </c>
      <c r="E273" s="319">
        <v>125000</v>
      </c>
      <c r="F273" s="320">
        <v>110000</v>
      </c>
      <c r="G273" s="320">
        <v>35000</v>
      </c>
      <c r="H273" s="358">
        <v>30000</v>
      </c>
      <c r="I273" s="831">
        <f t="shared" si="59"/>
        <v>145000</v>
      </c>
      <c r="J273" s="321">
        <v>150000</v>
      </c>
      <c r="K273" s="323">
        <f t="shared" si="60"/>
        <v>275000</v>
      </c>
      <c r="L273" s="323">
        <f t="shared" si="61"/>
        <v>295000</v>
      </c>
      <c r="M273" s="832">
        <f>L273/500/1000</f>
        <v>0.59</v>
      </c>
      <c r="N273" s="324">
        <v>225000</v>
      </c>
      <c r="O273" s="323">
        <v>100000</v>
      </c>
      <c r="P273" s="839">
        <f>N273+O273</f>
        <v>325000</v>
      </c>
      <c r="Q273" s="326">
        <f t="shared" si="63"/>
        <v>620000</v>
      </c>
      <c r="R273" s="344">
        <v>280000</v>
      </c>
    </row>
    <row r="274" spans="1:18" s="173" customFormat="1" ht="18.600000000000001" hidden="1" thickBot="1">
      <c r="B274" s="2984"/>
      <c r="C274" s="3013"/>
      <c r="D274" s="327" t="s">
        <v>1007</v>
      </c>
      <c r="E274" s="346">
        <v>150000</v>
      </c>
      <c r="F274" s="347">
        <v>150000</v>
      </c>
      <c r="G274" s="347">
        <v>35000</v>
      </c>
      <c r="H274" s="359">
        <v>30000</v>
      </c>
      <c r="I274" s="834">
        <f t="shared" ref="I274" si="69">SUM(F274:G274)</f>
        <v>185000</v>
      </c>
      <c r="J274" s="348">
        <v>200000</v>
      </c>
      <c r="K274" s="332">
        <f t="shared" si="60"/>
        <v>350000</v>
      </c>
      <c r="L274" s="332">
        <f t="shared" si="61"/>
        <v>385000</v>
      </c>
      <c r="M274" s="835">
        <f>L274/1000/1000</f>
        <v>0.38500000000000001</v>
      </c>
      <c r="N274" s="350">
        <v>0</v>
      </c>
      <c r="O274" s="332">
        <v>0</v>
      </c>
      <c r="P274" s="840">
        <f t="shared" si="62"/>
        <v>0</v>
      </c>
      <c r="Q274" s="335">
        <f t="shared" si="63"/>
        <v>385000</v>
      </c>
      <c r="R274" s="352">
        <v>0</v>
      </c>
    </row>
    <row r="275" spans="1:18" s="173" customFormat="1" ht="18" hidden="1">
      <c r="B275" s="2982">
        <v>13</v>
      </c>
      <c r="C275" s="3011" t="s">
        <v>182</v>
      </c>
      <c r="D275" s="309" t="s">
        <v>992</v>
      </c>
      <c r="E275" s="310">
        <v>50000</v>
      </c>
      <c r="F275" s="311">
        <v>94000</v>
      </c>
      <c r="G275" s="311">
        <v>10000</v>
      </c>
      <c r="H275" s="311">
        <v>30000</v>
      </c>
      <c r="I275" s="827">
        <f t="shared" si="59"/>
        <v>104000</v>
      </c>
      <c r="J275" s="312">
        <v>60000</v>
      </c>
      <c r="K275" s="314">
        <f t="shared" si="60"/>
        <v>110000</v>
      </c>
      <c r="L275" s="314">
        <f t="shared" si="61"/>
        <v>164000</v>
      </c>
      <c r="M275" s="828">
        <f>L275/50/1000</f>
        <v>3.28</v>
      </c>
      <c r="N275" s="315">
        <v>225000</v>
      </c>
      <c r="O275" s="314">
        <v>100000</v>
      </c>
      <c r="P275" s="838">
        <f t="shared" si="62"/>
        <v>325000</v>
      </c>
      <c r="Q275" s="317">
        <f t="shared" si="63"/>
        <v>489000</v>
      </c>
      <c r="R275" s="317">
        <v>0</v>
      </c>
    </row>
    <row r="276" spans="1:18" s="173" customFormat="1" ht="18" hidden="1">
      <c r="B276" s="2983"/>
      <c r="C276" s="3012"/>
      <c r="D276" s="337" t="s">
        <v>1001</v>
      </c>
      <c r="E276" s="338">
        <v>50000</v>
      </c>
      <c r="F276" s="339">
        <v>94000</v>
      </c>
      <c r="G276" s="339">
        <v>20000</v>
      </c>
      <c r="H276" s="357">
        <v>30000</v>
      </c>
      <c r="I276" s="831">
        <f t="shared" si="59"/>
        <v>114000</v>
      </c>
      <c r="J276" s="340">
        <v>80000</v>
      </c>
      <c r="K276" s="323">
        <f t="shared" si="60"/>
        <v>130000</v>
      </c>
      <c r="L276" s="323">
        <f t="shared" si="61"/>
        <v>194000</v>
      </c>
      <c r="M276" s="832">
        <f>L276/100/1000</f>
        <v>1.94</v>
      </c>
      <c r="N276" s="354">
        <v>225000</v>
      </c>
      <c r="O276" s="342">
        <v>100000</v>
      </c>
      <c r="P276" s="839">
        <f t="shared" si="62"/>
        <v>325000</v>
      </c>
      <c r="Q276" s="326">
        <f t="shared" si="63"/>
        <v>519000</v>
      </c>
      <c r="R276" s="343">
        <v>0</v>
      </c>
    </row>
    <row r="277" spans="1:18" s="173" customFormat="1" ht="18" hidden="1">
      <c r="B277" s="2983"/>
      <c r="C277" s="3012"/>
      <c r="D277" s="318" t="s">
        <v>1002</v>
      </c>
      <c r="E277" s="319">
        <v>150000</v>
      </c>
      <c r="F277" s="320">
        <v>98000</v>
      </c>
      <c r="G277" s="320">
        <v>30000</v>
      </c>
      <c r="H277" s="358">
        <v>30000</v>
      </c>
      <c r="I277" s="831">
        <f t="shared" si="59"/>
        <v>128000</v>
      </c>
      <c r="J277" s="321">
        <v>180000</v>
      </c>
      <c r="K277" s="323">
        <f t="shared" si="60"/>
        <v>330000</v>
      </c>
      <c r="L277" s="323">
        <f t="shared" si="61"/>
        <v>308000</v>
      </c>
      <c r="M277" s="832">
        <f>L277/500/1000</f>
        <v>0.61599999999999999</v>
      </c>
      <c r="N277" s="324">
        <v>225000</v>
      </c>
      <c r="O277" s="323">
        <v>100000</v>
      </c>
      <c r="P277" s="839">
        <f t="shared" si="62"/>
        <v>325000</v>
      </c>
      <c r="Q277" s="326">
        <f t="shared" si="63"/>
        <v>633000</v>
      </c>
      <c r="R277" s="344">
        <v>300000</v>
      </c>
    </row>
    <row r="278" spans="1:18" s="173" customFormat="1" ht="18.600000000000001" hidden="1" thickBot="1">
      <c r="B278" s="2984"/>
      <c r="C278" s="3013"/>
      <c r="D278" s="327" t="s">
        <v>1003</v>
      </c>
      <c r="E278" s="328">
        <v>200000</v>
      </c>
      <c r="F278" s="329">
        <v>105000</v>
      </c>
      <c r="G278" s="329">
        <v>40000</v>
      </c>
      <c r="H278" s="360">
        <v>30000</v>
      </c>
      <c r="I278" s="834">
        <f t="shared" si="59"/>
        <v>145000</v>
      </c>
      <c r="J278" s="330">
        <v>200000</v>
      </c>
      <c r="K278" s="332">
        <f t="shared" si="60"/>
        <v>400000</v>
      </c>
      <c r="L278" s="332">
        <f t="shared" si="61"/>
        <v>345000</v>
      </c>
      <c r="M278" s="835">
        <f>L278/1000/1000</f>
        <v>0.34499999999999997</v>
      </c>
      <c r="N278" s="350">
        <v>225000</v>
      </c>
      <c r="O278" s="332">
        <v>100000</v>
      </c>
      <c r="P278" s="840">
        <f t="shared" si="62"/>
        <v>325000</v>
      </c>
      <c r="Q278" s="335">
        <f t="shared" si="63"/>
        <v>670000</v>
      </c>
      <c r="R278" s="361">
        <v>380000</v>
      </c>
    </row>
    <row r="279" spans="1:18" s="173" customFormat="1" ht="18" hidden="1">
      <c r="B279" s="2982">
        <v>14</v>
      </c>
      <c r="C279" s="3011" t="s">
        <v>194</v>
      </c>
      <c r="D279" s="309" t="s">
        <v>1004</v>
      </c>
      <c r="E279" s="310">
        <v>80000</v>
      </c>
      <c r="F279" s="311">
        <v>75000</v>
      </c>
      <c r="G279" s="311">
        <v>10000</v>
      </c>
      <c r="H279" s="311">
        <v>20000</v>
      </c>
      <c r="I279" s="827">
        <f t="shared" si="59"/>
        <v>85000</v>
      </c>
      <c r="J279" s="312">
        <v>60000</v>
      </c>
      <c r="K279" s="314">
        <f t="shared" si="60"/>
        <v>140000</v>
      </c>
      <c r="L279" s="314">
        <f t="shared" si="61"/>
        <v>145000</v>
      </c>
      <c r="M279" s="828">
        <f>L279/50/1000</f>
        <v>2.9</v>
      </c>
      <c r="N279" s="354">
        <v>275000</v>
      </c>
      <c r="O279" s="314">
        <v>100000</v>
      </c>
      <c r="P279" s="838">
        <f t="shared" si="62"/>
        <v>375000</v>
      </c>
      <c r="Q279" s="317">
        <f t="shared" si="63"/>
        <v>520000</v>
      </c>
      <c r="R279" s="317">
        <v>0</v>
      </c>
    </row>
    <row r="280" spans="1:18" s="173" customFormat="1" ht="18" hidden="1">
      <c r="B280" s="2983"/>
      <c r="C280" s="3012"/>
      <c r="D280" s="337" t="s">
        <v>1005</v>
      </c>
      <c r="E280" s="338">
        <v>90000</v>
      </c>
      <c r="F280" s="339">
        <v>75000</v>
      </c>
      <c r="G280" s="339">
        <v>20000</v>
      </c>
      <c r="H280" s="357">
        <v>30000</v>
      </c>
      <c r="I280" s="831">
        <f t="shared" si="59"/>
        <v>95000</v>
      </c>
      <c r="J280" s="340">
        <v>80000</v>
      </c>
      <c r="K280" s="323">
        <f t="shared" si="60"/>
        <v>170000</v>
      </c>
      <c r="L280" s="323">
        <f t="shared" si="61"/>
        <v>175000</v>
      </c>
      <c r="M280" s="832">
        <f>L280/100/1000</f>
        <v>1.75</v>
      </c>
      <c r="N280" s="354">
        <v>275000</v>
      </c>
      <c r="O280" s="342">
        <v>100000</v>
      </c>
      <c r="P280" s="839">
        <f t="shared" si="62"/>
        <v>375000</v>
      </c>
      <c r="Q280" s="326">
        <f t="shared" si="63"/>
        <v>550000</v>
      </c>
      <c r="R280" s="343">
        <v>0</v>
      </c>
    </row>
    <row r="281" spans="1:18" s="173" customFormat="1" ht="18" hidden="1">
      <c r="B281" s="2983"/>
      <c r="C281" s="3012"/>
      <c r="D281" s="318" t="s">
        <v>1006</v>
      </c>
      <c r="E281" s="319">
        <v>140000</v>
      </c>
      <c r="F281" s="320">
        <v>115000</v>
      </c>
      <c r="G281" s="320">
        <v>20000</v>
      </c>
      <c r="H281" s="358">
        <v>30000</v>
      </c>
      <c r="I281" s="831">
        <f t="shared" si="59"/>
        <v>135000</v>
      </c>
      <c r="J281" s="321">
        <v>160000</v>
      </c>
      <c r="K281" s="323">
        <f t="shared" si="60"/>
        <v>300000</v>
      </c>
      <c r="L281" s="323">
        <f t="shared" si="61"/>
        <v>295000</v>
      </c>
      <c r="M281" s="832">
        <f>L281/500/1000</f>
        <v>0.59</v>
      </c>
      <c r="N281" s="324">
        <v>275000</v>
      </c>
      <c r="O281" s="323">
        <v>100000</v>
      </c>
      <c r="P281" s="839">
        <f t="shared" si="62"/>
        <v>375000</v>
      </c>
      <c r="Q281" s="326">
        <f t="shared" si="63"/>
        <v>670000</v>
      </c>
      <c r="R281" s="344">
        <v>300000</v>
      </c>
    </row>
    <row r="282" spans="1:18" s="173" customFormat="1" ht="18.600000000000001" hidden="1" thickBot="1">
      <c r="B282" s="2984"/>
      <c r="C282" s="3013"/>
      <c r="D282" s="345" t="s">
        <v>1007</v>
      </c>
      <c r="E282" s="346">
        <v>200000</v>
      </c>
      <c r="F282" s="347">
        <v>120000</v>
      </c>
      <c r="G282" s="347">
        <v>20000</v>
      </c>
      <c r="H282" s="359">
        <v>30000</v>
      </c>
      <c r="I282" s="882">
        <f t="shared" si="59"/>
        <v>140000</v>
      </c>
      <c r="J282" s="348">
        <v>200000</v>
      </c>
      <c r="K282" s="334">
        <f t="shared" si="60"/>
        <v>400000</v>
      </c>
      <c r="L282" s="334">
        <f t="shared" si="61"/>
        <v>340000</v>
      </c>
      <c r="M282" s="883">
        <f>L282/1000/1000</f>
        <v>0.34</v>
      </c>
      <c r="N282" s="333">
        <v>0</v>
      </c>
      <c r="O282" s="334">
        <v>0</v>
      </c>
      <c r="P282" s="884">
        <f t="shared" si="62"/>
        <v>0</v>
      </c>
      <c r="Q282" s="885">
        <f t="shared" si="63"/>
        <v>340000</v>
      </c>
      <c r="R282" s="352">
        <v>0</v>
      </c>
    </row>
    <row r="283" spans="1:18" s="174" customFormat="1" ht="15.6" hidden="1">
      <c r="B283" s="2982">
        <v>15</v>
      </c>
      <c r="C283" s="3031" t="s">
        <v>190</v>
      </c>
      <c r="D283" s="1467" t="s">
        <v>1004</v>
      </c>
      <c r="E283" s="311">
        <v>75000</v>
      </c>
      <c r="F283" s="311">
        <v>45000</v>
      </c>
      <c r="G283" s="311">
        <v>15000</v>
      </c>
      <c r="H283" s="311">
        <v>30000</v>
      </c>
      <c r="I283" s="1472">
        <f>F283+G283</f>
        <v>60000</v>
      </c>
      <c r="J283" s="1473">
        <v>75000</v>
      </c>
      <c r="K283" s="314">
        <f>E283+J283</f>
        <v>150000</v>
      </c>
      <c r="L283" s="314">
        <f>I283+J283</f>
        <v>135000</v>
      </c>
      <c r="M283" s="828">
        <f>K283/50000</f>
        <v>3</v>
      </c>
      <c r="N283" s="314">
        <v>225000</v>
      </c>
      <c r="O283" s="314">
        <v>100000</v>
      </c>
      <c r="P283" s="314">
        <f>N283+O283</f>
        <v>325000</v>
      </c>
      <c r="Q283" s="314">
        <f>L283+P283</f>
        <v>460000</v>
      </c>
      <c r="R283" s="838">
        <v>0</v>
      </c>
    </row>
    <row r="284" spans="1:18" s="174" customFormat="1" ht="15.6" hidden="1">
      <c r="B284" s="2983"/>
      <c r="C284" s="3032"/>
      <c r="D284" s="1468" t="s">
        <v>1005</v>
      </c>
      <c r="E284" s="320">
        <v>100000</v>
      </c>
      <c r="F284" s="320">
        <v>55000</v>
      </c>
      <c r="G284" s="320">
        <v>20000</v>
      </c>
      <c r="H284" s="320">
        <v>30000</v>
      </c>
      <c r="I284" s="1474">
        <f>F284+G284</f>
        <v>75000</v>
      </c>
      <c r="J284" s="1475">
        <v>85000</v>
      </c>
      <c r="K284" s="323">
        <f>E284+J284</f>
        <v>185000</v>
      </c>
      <c r="L284" s="323">
        <f>I284+J284</f>
        <v>160000</v>
      </c>
      <c r="M284" s="832">
        <f>K284/100000</f>
        <v>1.85</v>
      </c>
      <c r="N284" s="323">
        <v>225000</v>
      </c>
      <c r="O284" s="323">
        <v>100000</v>
      </c>
      <c r="P284" s="323">
        <f>N284+O284</f>
        <v>325000</v>
      </c>
      <c r="Q284" s="323">
        <f>L284+P284</f>
        <v>485000</v>
      </c>
      <c r="R284" s="839">
        <v>0</v>
      </c>
    </row>
    <row r="285" spans="1:18" s="174" customFormat="1" ht="15.6" hidden="1">
      <c r="B285" s="2983"/>
      <c r="C285" s="3032"/>
      <c r="D285" s="1468" t="s">
        <v>1006</v>
      </c>
      <c r="E285" s="320">
        <v>200000</v>
      </c>
      <c r="F285" s="320">
        <v>80000</v>
      </c>
      <c r="G285" s="320">
        <v>25000</v>
      </c>
      <c r="H285" s="320">
        <v>30000</v>
      </c>
      <c r="I285" s="1474">
        <f>F285+G285</f>
        <v>105000</v>
      </c>
      <c r="J285" s="1475">
        <v>185000</v>
      </c>
      <c r="K285" s="323">
        <f>E285+J285</f>
        <v>385000</v>
      </c>
      <c r="L285" s="323">
        <f>I285+J285</f>
        <v>290000</v>
      </c>
      <c r="M285" s="832">
        <f>K285/500000</f>
        <v>0.77</v>
      </c>
      <c r="N285" s="323">
        <v>250000</v>
      </c>
      <c r="O285" s="323">
        <v>100000</v>
      </c>
      <c r="P285" s="323">
        <f>N285+O285</f>
        <v>350000</v>
      </c>
      <c r="Q285" s="323">
        <f>L285+P285</f>
        <v>640000</v>
      </c>
      <c r="R285" s="839">
        <v>280000</v>
      </c>
    </row>
    <row r="286" spans="1:18" s="174" customFormat="1" ht="16.2" hidden="1" thickBot="1">
      <c r="B286" s="2984"/>
      <c r="C286" s="3033"/>
      <c r="D286" s="1469" t="s">
        <v>1007</v>
      </c>
      <c r="E286" s="329">
        <v>250000</v>
      </c>
      <c r="F286" s="329">
        <v>80000</v>
      </c>
      <c r="G286" s="329">
        <v>25000</v>
      </c>
      <c r="H286" s="329">
        <v>30000</v>
      </c>
      <c r="I286" s="1476">
        <f>F286+G286</f>
        <v>105000</v>
      </c>
      <c r="J286" s="1477">
        <v>200000</v>
      </c>
      <c r="K286" s="332">
        <f>E286+J286</f>
        <v>450000</v>
      </c>
      <c r="L286" s="332">
        <f>I286+J286</f>
        <v>305000</v>
      </c>
      <c r="M286" s="835">
        <f>K286/1000000</f>
        <v>0.45</v>
      </c>
      <c r="N286" s="332">
        <v>250000</v>
      </c>
      <c r="O286" s="332">
        <v>100000</v>
      </c>
      <c r="P286" s="332">
        <f>N286+O286</f>
        <v>350000</v>
      </c>
      <c r="Q286" s="332">
        <f>L286+P286</f>
        <v>655000</v>
      </c>
      <c r="R286" s="840">
        <v>350000</v>
      </c>
    </row>
    <row r="287" spans="1:18" s="173" customFormat="1" ht="18" hidden="1">
      <c r="B287" s="2982">
        <v>16</v>
      </c>
      <c r="C287" s="3026" t="s">
        <v>191</v>
      </c>
      <c r="D287" s="337" t="s">
        <v>1004</v>
      </c>
      <c r="E287" s="338">
        <v>60000</v>
      </c>
      <c r="F287" s="339">
        <v>64000</v>
      </c>
      <c r="G287" s="339">
        <v>30000</v>
      </c>
      <c r="H287" s="339">
        <v>30000</v>
      </c>
      <c r="I287" s="886">
        <f t="shared" si="59"/>
        <v>94000</v>
      </c>
      <c r="J287" s="340">
        <v>60000</v>
      </c>
      <c r="K287" s="342">
        <f t="shared" si="60"/>
        <v>120000</v>
      </c>
      <c r="L287" s="342">
        <f t="shared" si="61"/>
        <v>154000</v>
      </c>
      <c r="M287" s="837">
        <f>L287/50/1000</f>
        <v>3.08</v>
      </c>
      <c r="N287" s="354">
        <v>225000</v>
      </c>
      <c r="O287" s="342">
        <v>100000</v>
      </c>
      <c r="P287" s="887">
        <f t="shared" si="62"/>
        <v>325000</v>
      </c>
      <c r="Q287" s="888">
        <f t="shared" si="63"/>
        <v>479000</v>
      </c>
      <c r="R287" s="888">
        <v>0</v>
      </c>
    </row>
    <row r="288" spans="1:18" s="173" customFormat="1" ht="18" hidden="1">
      <c r="B288" s="2983"/>
      <c r="C288" s="3027"/>
      <c r="D288" s="337" t="s">
        <v>1005</v>
      </c>
      <c r="E288" s="338">
        <v>80000</v>
      </c>
      <c r="F288" s="339">
        <v>64000</v>
      </c>
      <c r="G288" s="339">
        <v>30000</v>
      </c>
      <c r="H288" s="357">
        <v>30000</v>
      </c>
      <c r="I288" s="831">
        <f t="shared" si="59"/>
        <v>94000</v>
      </c>
      <c r="J288" s="340">
        <v>80000</v>
      </c>
      <c r="K288" s="323">
        <f t="shared" si="60"/>
        <v>160000</v>
      </c>
      <c r="L288" s="323">
        <f t="shared" si="61"/>
        <v>174000</v>
      </c>
      <c r="M288" s="832">
        <f>L288/100/1000</f>
        <v>1.74</v>
      </c>
      <c r="N288" s="354">
        <v>225000</v>
      </c>
      <c r="O288" s="342">
        <v>100000</v>
      </c>
      <c r="P288" s="839">
        <f t="shared" si="62"/>
        <v>325000</v>
      </c>
      <c r="Q288" s="326">
        <f t="shared" si="63"/>
        <v>499000</v>
      </c>
      <c r="R288" s="343">
        <v>0</v>
      </c>
    </row>
    <row r="289" spans="1:23" s="173" customFormat="1" ht="18" hidden="1">
      <c r="B289" s="2983"/>
      <c r="C289" s="3027"/>
      <c r="D289" s="318" t="s">
        <v>1006</v>
      </c>
      <c r="E289" s="319">
        <v>100000</v>
      </c>
      <c r="F289" s="320">
        <v>68000</v>
      </c>
      <c r="G289" s="320">
        <v>40000</v>
      </c>
      <c r="H289" s="358">
        <v>30000</v>
      </c>
      <c r="I289" s="831">
        <f t="shared" si="59"/>
        <v>108000</v>
      </c>
      <c r="J289" s="321">
        <v>100000</v>
      </c>
      <c r="K289" s="323">
        <f t="shared" si="60"/>
        <v>200000</v>
      </c>
      <c r="L289" s="323">
        <f t="shared" si="61"/>
        <v>208000</v>
      </c>
      <c r="M289" s="832">
        <f>L289/500/1000</f>
        <v>0.41599999999999998</v>
      </c>
      <c r="N289" s="324">
        <v>225000</v>
      </c>
      <c r="O289" s="323">
        <v>100000</v>
      </c>
      <c r="P289" s="839">
        <f t="shared" si="62"/>
        <v>325000</v>
      </c>
      <c r="Q289" s="326">
        <f t="shared" si="63"/>
        <v>533000</v>
      </c>
      <c r="R289" s="344">
        <v>280000</v>
      </c>
    </row>
    <row r="290" spans="1:23" s="173" customFormat="1" ht="18.600000000000001" hidden="1" thickBot="1">
      <c r="B290" s="2984"/>
      <c r="C290" s="3028"/>
      <c r="D290" s="327" t="s">
        <v>1007</v>
      </c>
      <c r="E290" s="346">
        <v>170000</v>
      </c>
      <c r="F290" s="347">
        <v>75000</v>
      </c>
      <c r="G290" s="347">
        <v>40000</v>
      </c>
      <c r="H290" s="359">
        <v>30000</v>
      </c>
      <c r="I290" s="834">
        <f t="shared" si="59"/>
        <v>115000</v>
      </c>
      <c r="J290" s="348">
        <v>170000</v>
      </c>
      <c r="K290" s="332">
        <f t="shared" si="60"/>
        <v>340000</v>
      </c>
      <c r="L290" s="332">
        <f t="shared" si="61"/>
        <v>285000</v>
      </c>
      <c r="M290" s="835">
        <f>L290/1000/1000</f>
        <v>0.28499999999999998</v>
      </c>
      <c r="N290" s="350">
        <v>225000</v>
      </c>
      <c r="O290" s="332">
        <v>100000</v>
      </c>
      <c r="P290" s="840">
        <f t="shared" si="62"/>
        <v>325000</v>
      </c>
      <c r="Q290" s="335">
        <f t="shared" si="63"/>
        <v>610000</v>
      </c>
      <c r="R290" s="352">
        <v>350000</v>
      </c>
    </row>
    <row r="291" spans="1:23" s="173" customFormat="1" ht="18" hidden="1">
      <c r="B291" s="2982">
        <v>17</v>
      </c>
      <c r="C291" s="3011" t="s">
        <v>175</v>
      </c>
      <c r="D291" s="817" t="s">
        <v>1004</v>
      </c>
      <c r="E291" s="353">
        <f>G55*1300</f>
        <v>520676</v>
      </c>
      <c r="F291" s="1905">
        <v>100000</v>
      </c>
      <c r="G291" s="311">
        <v>50000</v>
      </c>
      <c r="H291" s="311">
        <v>45000</v>
      </c>
      <c r="I291" s="827">
        <f t="shared" ref="I291:I322" si="70">SUM(F291:G291)</f>
        <v>150000</v>
      </c>
      <c r="J291" s="821">
        <f>G55*1500</f>
        <v>600780</v>
      </c>
      <c r="K291" s="314">
        <f t="shared" ref="K291:K322" si="71">E291+J291</f>
        <v>1121456</v>
      </c>
      <c r="L291" s="314">
        <f t="shared" ref="L291:L322" si="72">I291+J291</f>
        <v>750780</v>
      </c>
      <c r="M291" s="828">
        <f>L291/50/1000</f>
        <v>15.015600000000001</v>
      </c>
      <c r="N291" s="315">
        <v>125000</v>
      </c>
      <c r="O291" s="314">
        <v>100000</v>
      </c>
      <c r="P291" s="838">
        <f t="shared" ref="P291:P322" si="73">N291+O291</f>
        <v>225000</v>
      </c>
      <c r="Q291" s="317">
        <f t="shared" ref="Q291:Q322" si="74">L291+P291</f>
        <v>975780</v>
      </c>
      <c r="R291" s="317">
        <v>0</v>
      </c>
    </row>
    <row r="292" spans="1:23" s="173" customFormat="1" ht="18" hidden="1">
      <c r="B292" s="2983"/>
      <c r="C292" s="3012"/>
      <c r="D292" s="818" t="s">
        <v>1005</v>
      </c>
      <c r="E292" s="355">
        <f>G55*1300</f>
        <v>520676</v>
      </c>
      <c r="F292" s="320">
        <v>100000</v>
      </c>
      <c r="G292" s="320">
        <v>50000</v>
      </c>
      <c r="H292" s="320">
        <v>45000</v>
      </c>
      <c r="I292" s="831">
        <f t="shared" si="70"/>
        <v>150000</v>
      </c>
      <c r="J292" s="822">
        <f>G55*1500</f>
        <v>600780</v>
      </c>
      <c r="K292" s="323">
        <f t="shared" si="71"/>
        <v>1121456</v>
      </c>
      <c r="L292" s="323">
        <f t="shared" si="72"/>
        <v>750780</v>
      </c>
      <c r="M292" s="832">
        <f>L292/100/1000</f>
        <v>7.5078000000000005</v>
      </c>
      <c r="N292" s="354">
        <v>125000</v>
      </c>
      <c r="O292" s="342">
        <v>100000</v>
      </c>
      <c r="P292" s="839">
        <f t="shared" si="73"/>
        <v>225000</v>
      </c>
      <c r="Q292" s="326">
        <f t="shared" si="74"/>
        <v>975780</v>
      </c>
      <c r="R292" s="343">
        <v>0</v>
      </c>
    </row>
    <row r="293" spans="1:23" s="173" customFormat="1" ht="18" hidden="1">
      <c r="B293" s="2983"/>
      <c r="C293" s="3012"/>
      <c r="D293" s="819" t="s">
        <v>1006</v>
      </c>
      <c r="E293" s="355">
        <f>G55*1300</f>
        <v>520676</v>
      </c>
      <c r="F293" s="320">
        <v>100000</v>
      </c>
      <c r="G293" s="320">
        <v>50000</v>
      </c>
      <c r="H293" s="320">
        <v>100000</v>
      </c>
      <c r="I293" s="831">
        <f t="shared" si="70"/>
        <v>150000</v>
      </c>
      <c r="J293" s="822">
        <f>G55*1500</f>
        <v>600780</v>
      </c>
      <c r="K293" s="323">
        <f t="shared" si="71"/>
        <v>1121456</v>
      </c>
      <c r="L293" s="323">
        <f t="shared" si="72"/>
        <v>750780</v>
      </c>
      <c r="M293" s="832">
        <f>L293/500/1000</f>
        <v>1.50156</v>
      </c>
      <c r="N293" s="324">
        <v>125000</v>
      </c>
      <c r="O293" s="323">
        <v>100000</v>
      </c>
      <c r="P293" s="839">
        <f t="shared" si="73"/>
        <v>225000</v>
      </c>
      <c r="Q293" s="326">
        <f t="shared" si="74"/>
        <v>975780</v>
      </c>
      <c r="R293" s="344">
        <v>0</v>
      </c>
      <c r="V293" s="173" t="s">
        <v>1013</v>
      </c>
      <c r="W293" s="173" t="s">
        <v>955</v>
      </c>
    </row>
    <row r="294" spans="1:23" s="173" customFormat="1" ht="18.600000000000001" hidden="1" thickBot="1">
      <c r="A294" s="173" t="s">
        <v>1014</v>
      </c>
      <c r="B294" s="2984"/>
      <c r="C294" s="3013"/>
      <c r="D294" s="889" t="s">
        <v>1007</v>
      </c>
      <c r="E294" s="890">
        <f>G55*1000</f>
        <v>400520</v>
      </c>
      <c r="F294" s="339">
        <v>100000</v>
      </c>
      <c r="G294" s="347">
        <v>50000</v>
      </c>
      <c r="H294" s="347">
        <v>100000</v>
      </c>
      <c r="I294" s="882">
        <f t="shared" si="70"/>
        <v>150000</v>
      </c>
      <c r="J294" s="891">
        <f>G55*1500</f>
        <v>600780</v>
      </c>
      <c r="K294" s="334">
        <f t="shared" si="71"/>
        <v>1001300</v>
      </c>
      <c r="L294" s="334">
        <f t="shared" si="72"/>
        <v>750780</v>
      </c>
      <c r="M294" s="883">
        <f>L294/1000/1000</f>
        <v>0.75078</v>
      </c>
      <c r="N294" s="333">
        <v>125000</v>
      </c>
      <c r="O294" s="334">
        <v>100000</v>
      </c>
      <c r="P294" s="884">
        <f t="shared" si="73"/>
        <v>225000</v>
      </c>
      <c r="Q294" s="885">
        <f t="shared" si="74"/>
        <v>975780</v>
      </c>
      <c r="R294" s="352">
        <v>0</v>
      </c>
      <c r="S294" s="173" t="s">
        <v>1015</v>
      </c>
    </row>
    <row r="295" spans="1:23" s="173" customFormat="1" ht="18" hidden="1">
      <c r="B295" s="2982">
        <v>18</v>
      </c>
      <c r="C295" s="3031" t="s">
        <v>169</v>
      </c>
      <c r="D295" s="1478" t="s">
        <v>1004</v>
      </c>
      <c r="E295" s="311">
        <v>75000</v>
      </c>
      <c r="F295" s="311">
        <f>180000</f>
        <v>180000</v>
      </c>
      <c r="G295" s="311">
        <v>15000</v>
      </c>
      <c r="H295" s="311">
        <v>20000</v>
      </c>
      <c r="I295" s="1472">
        <f>F295+G295</f>
        <v>195000</v>
      </c>
      <c r="J295" s="1473">
        <v>75000</v>
      </c>
      <c r="K295" s="314">
        <f>E295+J295</f>
        <v>150000</v>
      </c>
      <c r="L295" s="314">
        <f>I295+J295</f>
        <v>270000</v>
      </c>
      <c r="M295" s="828">
        <f>K295/50000</f>
        <v>3</v>
      </c>
      <c r="N295" s="314">
        <v>225000</v>
      </c>
      <c r="O295" s="314">
        <v>100000</v>
      </c>
      <c r="P295" s="314">
        <f>N295+O295</f>
        <v>325000</v>
      </c>
      <c r="Q295" s="314">
        <f>L295+P295</f>
        <v>595000</v>
      </c>
      <c r="R295" s="838">
        <v>0</v>
      </c>
    </row>
    <row r="296" spans="1:23" s="173" customFormat="1" ht="18" hidden="1">
      <c r="B296" s="2983"/>
      <c r="C296" s="3032"/>
      <c r="D296" s="1479" t="s">
        <v>1005</v>
      </c>
      <c r="E296" s="320">
        <v>100000</v>
      </c>
      <c r="F296" s="320">
        <v>180000</v>
      </c>
      <c r="G296" s="320">
        <v>20000</v>
      </c>
      <c r="H296" s="320">
        <v>20000</v>
      </c>
      <c r="I296" s="1474">
        <f>F296+G296</f>
        <v>200000</v>
      </c>
      <c r="J296" s="1475">
        <v>85000</v>
      </c>
      <c r="K296" s="323">
        <f>E296+J296</f>
        <v>185000</v>
      </c>
      <c r="L296" s="323">
        <f>I296+J296</f>
        <v>285000</v>
      </c>
      <c r="M296" s="832">
        <f>K296/100000</f>
        <v>1.85</v>
      </c>
      <c r="N296" s="323">
        <v>225000</v>
      </c>
      <c r="O296" s="323">
        <v>100000</v>
      </c>
      <c r="P296" s="323">
        <f>N296+O296</f>
        <v>325000</v>
      </c>
      <c r="Q296" s="323">
        <f>L296+P296</f>
        <v>610000</v>
      </c>
      <c r="R296" s="839">
        <v>0</v>
      </c>
    </row>
    <row r="297" spans="1:23" s="173" customFormat="1" ht="18" hidden="1">
      <c r="B297" s="2983"/>
      <c r="C297" s="3032"/>
      <c r="D297" s="1479" t="s">
        <v>1006</v>
      </c>
      <c r="E297" s="320">
        <v>200000</v>
      </c>
      <c r="F297" s="320">
        <v>200000</v>
      </c>
      <c r="G297" s="320">
        <v>25000</v>
      </c>
      <c r="H297" s="320">
        <v>30000</v>
      </c>
      <c r="I297" s="1474">
        <f>F297+G297</f>
        <v>225000</v>
      </c>
      <c r="J297" s="1475">
        <v>185000</v>
      </c>
      <c r="K297" s="323">
        <f>E297+J297</f>
        <v>385000</v>
      </c>
      <c r="L297" s="323">
        <f>I297+J297</f>
        <v>410000</v>
      </c>
      <c r="M297" s="832">
        <f>K297/500000</f>
        <v>0.77</v>
      </c>
      <c r="N297" s="323">
        <v>250000</v>
      </c>
      <c r="O297" s="323">
        <v>100000</v>
      </c>
      <c r="P297" s="323">
        <f>N297+O297</f>
        <v>350000</v>
      </c>
      <c r="Q297" s="323">
        <f>L297+P297</f>
        <v>760000</v>
      </c>
      <c r="R297" s="839">
        <v>280000</v>
      </c>
    </row>
    <row r="298" spans="1:23" s="173" customFormat="1" ht="18.600000000000001" hidden="1" thickBot="1">
      <c r="B298" s="2984"/>
      <c r="C298" s="3033"/>
      <c r="D298" s="1480" t="s">
        <v>1007</v>
      </c>
      <c r="E298" s="329">
        <v>250000</v>
      </c>
      <c r="F298" s="329">
        <v>200000</v>
      </c>
      <c r="G298" s="329">
        <v>25000</v>
      </c>
      <c r="H298" s="329">
        <v>30000</v>
      </c>
      <c r="I298" s="1476">
        <f>F298+G298</f>
        <v>225000</v>
      </c>
      <c r="J298" s="1477">
        <v>200000</v>
      </c>
      <c r="K298" s="332">
        <f>E298+J298</f>
        <v>450000</v>
      </c>
      <c r="L298" s="332">
        <f>I298+J298</f>
        <v>425000</v>
      </c>
      <c r="M298" s="835">
        <f>K298/1000000</f>
        <v>0.45</v>
      </c>
      <c r="N298" s="332">
        <v>250000</v>
      </c>
      <c r="O298" s="332">
        <v>100000</v>
      </c>
      <c r="P298" s="332">
        <f>N298+O298</f>
        <v>350000</v>
      </c>
      <c r="Q298" s="332">
        <f>L298+P298</f>
        <v>775000</v>
      </c>
      <c r="R298" s="840">
        <v>350000</v>
      </c>
    </row>
    <row r="299" spans="1:23" s="173" customFormat="1" ht="18" hidden="1">
      <c r="B299" s="2982">
        <v>19</v>
      </c>
      <c r="C299" s="3018" t="s">
        <v>177</v>
      </c>
      <c r="D299" s="337" t="s">
        <v>992</v>
      </c>
      <c r="E299" s="338">
        <v>100000</v>
      </c>
      <c r="F299" s="339">
        <v>100000</v>
      </c>
      <c r="G299" s="339">
        <v>30000</v>
      </c>
      <c r="H299" s="339">
        <v>30000</v>
      </c>
      <c r="I299" s="886">
        <f t="shared" si="70"/>
        <v>130000</v>
      </c>
      <c r="J299" s="340">
        <v>100000</v>
      </c>
      <c r="K299" s="342">
        <f t="shared" si="71"/>
        <v>200000</v>
      </c>
      <c r="L299" s="342">
        <f t="shared" si="72"/>
        <v>230000</v>
      </c>
      <c r="M299" s="837">
        <f>L299/50/1000</f>
        <v>4.5999999999999996</v>
      </c>
      <c r="N299" s="354">
        <v>225000</v>
      </c>
      <c r="O299" s="342">
        <v>100000</v>
      </c>
      <c r="P299" s="887">
        <f t="shared" si="73"/>
        <v>325000</v>
      </c>
      <c r="Q299" s="888">
        <f t="shared" si="74"/>
        <v>555000</v>
      </c>
      <c r="R299" s="888">
        <v>0</v>
      </c>
    </row>
    <row r="300" spans="1:23" s="173" customFormat="1" ht="18" hidden="1">
      <c r="B300" s="2983"/>
      <c r="C300" s="3019"/>
      <c r="D300" s="337" t="s">
        <v>1001</v>
      </c>
      <c r="E300" s="338">
        <v>150000</v>
      </c>
      <c r="F300" s="339">
        <v>100000</v>
      </c>
      <c r="G300" s="339">
        <v>30000</v>
      </c>
      <c r="H300" s="357">
        <v>30000</v>
      </c>
      <c r="I300" s="831">
        <f t="shared" si="70"/>
        <v>130000</v>
      </c>
      <c r="J300" s="340">
        <v>175000</v>
      </c>
      <c r="K300" s="323">
        <f t="shared" si="71"/>
        <v>325000</v>
      </c>
      <c r="L300" s="323">
        <f t="shared" si="72"/>
        <v>305000</v>
      </c>
      <c r="M300" s="832">
        <f>L300/100/1000</f>
        <v>3.05</v>
      </c>
      <c r="N300" s="354">
        <v>225000</v>
      </c>
      <c r="O300" s="342">
        <v>100000</v>
      </c>
      <c r="P300" s="839">
        <f t="shared" si="73"/>
        <v>325000</v>
      </c>
      <c r="Q300" s="326">
        <f t="shared" si="74"/>
        <v>630000</v>
      </c>
      <c r="R300" s="343">
        <v>0</v>
      </c>
    </row>
    <row r="301" spans="1:23" s="173" customFormat="1" ht="18" hidden="1">
      <c r="B301" s="2983"/>
      <c r="C301" s="3019"/>
      <c r="D301" s="318" t="s">
        <v>1002</v>
      </c>
      <c r="E301" s="319">
        <v>250000</v>
      </c>
      <c r="F301" s="320">
        <v>100000</v>
      </c>
      <c r="G301" s="320">
        <v>40000</v>
      </c>
      <c r="H301" s="358">
        <v>30000</v>
      </c>
      <c r="I301" s="831">
        <f t="shared" si="70"/>
        <v>140000</v>
      </c>
      <c r="J301" s="321">
        <v>275000</v>
      </c>
      <c r="K301" s="323">
        <f t="shared" si="71"/>
        <v>525000</v>
      </c>
      <c r="L301" s="323">
        <f t="shared" si="72"/>
        <v>415000</v>
      </c>
      <c r="M301" s="832">
        <f>L301/500/1000</f>
        <v>0.83</v>
      </c>
      <c r="N301" s="324">
        <v>225000</v>
      </c>
      <c r="O301" s="323">
        <v>100000</v>
      </c>
      <c r="P301" s="839">
        <f t="shared" si="73"/>
        <v>325000</v>
      </c>
      <c r="Q301" s="326">
        <f t="shared" si="74"/>
        <v>740000</v>
      </c>
      <c r="R301" s="344">
        <v>0</v>
      </c>
    </row>
    <row r="302" spans="1:23" s="173" customFormat="1" ht="18.600000000000001" hidden="1" thickBot="1">
      <c r="B302" s="2984"/>
      <c r="C302" s="3020"/>
      <c r="D302" s="327" t="s">
        <v>1003</v>
      </c>
      <c r="E302" s="328">
        <v>350000</v>
      </c>
      <c r="F302" s="329">
        <v>100000</v>
      </c>
      <c r="G302" s="329">
        <v>40000</v>
      </c>
      <c r="H302" s="360">
        <v>30000</v>
      </c>
      <c r="I302" s="834">
        <f t="shared" si="70"/>
        <v>140000</v>
      </c>
      <c r="J302" s="330">
        <v>400000</v>
      </c>
      <c r="K302" s="332">
        <f t="shared" si="71"/>
        <v>750000</v>
      </c>
      <c r="L302" s="332">
        <f t="shared" si="72"/>
        <v>540000</v>
      </c>
      <c r="M302" s="835">
        <f>L302/1000/1000</f>
        <v>0.54</v>
      </c>
      <c r="N302" s="333">
        <v>225000</v>
      </c>
      <c r="O302" s="334">
        <v>100000</v>
      </c>
      <c r="P302" s="840">
        <f t="shared" si="73"/>
        <v>325000</v>
      </c>
      <c r="Q302" s="335">
        <f t="shared" si="74"/>
        <v>865000</v>
      </c>
      <c r="R302" s="361">
        <v>0</v>
      </c>
    </row>
    <row r="303" spans="1:23" s="173" customFormat="1" ht="18" hidden="1">
      <c r="B303" s="2982">
        <v>20</v>
      </c>
      <c r="C303" s="3011" t="s">
        <v>174</v>
      </c>
      <c r="D303" s="309" t="s">
        <v>1004</v>
      </c>
      <c r="E303" s="310">
        <v>70000</v>
      </c>
      <c r="F303" s="311">
        <v>94000</v>
      </c>
      <c r="G303" s="311">
        <v>25000</v>
      </c>
      <c r="H303" s="311">
        <v>30000</v>
      </c>
      <c r="I303" s="827">
        <f t="shared" si="70"/>
        <v>119000</v>
      </c>
      <c r="J303" s="312">
        <v>60000</v>
      </c>
      <c r="K303" s="314">
        <f t="shared" si="71"/>
        <v>130000</v>
      </c>
      <c r="L303" s="314">
        <f t="shared" si="72"/>
        <v>179000</v>
      </c>
      <c r="M303" s="828">
        <f>L303/50/1000</f>
        <v>3.58</v>
      </c>
      <c r="N303" s="315">
        <v>225000</v>
      </c>
      <c r="O303" s="314">
        <v>100000</v>
      </c>
      <c r="P303" s="838">
        <f t="shared" si="73"/>
        <v>325000</v>
      </c>
      <c r="Q303" s="317">
        <f t="shared" si="74"/>
        <v>504000</v>
      </c>
      <c r="R303" s="317">
        <v>0</v>
      </c>
    </row>
    <row r="304" spans="1:23" s="173" customFormat="1" ht="18" hidden="1">
      <c r="B304" s="2983"/>
      <c r="C304" s="3012"/>
      <c r="D304" s="337" t="s">
        <v>1005</v>
      </c>
      <c r="E304" s="338">
        <v>100000</v>
      </c>
      <c r="F304" s="339">
        <v>94000</v>
      </c>
      <c r="G304" s="339">
        <v>20000</v>
      </c>
      <c r="H304" s="357">
        <v>30000</v>
      </c>
      <c r="I304" s="831">
        <f t="shared" si="70"/>
        <v>114000</v>
      </c>
      <c r="J304" s="340">
        <v>70000</v>
      </c>
      <c r="K304" s="323">
        <f t="shared" si="71"/>
        <v>170000</v>
      </c>
      <c r="L304" s="323">
        <f t="shared" si="72"/>
        <v>184000</v>
      </c>
      <c r="M304" s="832">
        <f>L304/100/1000</f>
        <v>1.84</v>
      </c>
      <c r="N304" s="324">
        <v>225000</v>
      </c>
      <c r="O304" s="323">
        <v>100000</v>
      </c>
      <c r="P304" s="839">
        <f t="shared" si="73"/>
        <v>325000</v>
      </c>
      <c r="Q304" s="326">
        <f t="shared" si="74"/>
        <v>509000</v>
      </c>
      <c r="R304" s="343">
        <v>0</v>
      </c>
    </row>
    <row r="305" spans="2:23" s="173" customFormat="1" ht="18" hidden="1">
      <c r="B305" s="2983"/>
      <c r="C305" s="3012"/>
      <c r="D305" s="318" t="s">
        <v>1006</v>
      </c>
      <c r="E305" s="319">
        <v>150000</v>
      </c>
      <c r="F305" s="320">
        <v>98000</v>
      </c>
      <c r="G305" s="320">
        <v>20000</v>
      </c>
      <c r="H305" s="358">
        <v>30000</v>
      </c>
      <c r="I305" s="831">
        <f t="shared" si="70"/>
        <v>118000</v>
      </c>
      <c r="J305" s="321">
        <v>150000</v>
      </c>
      <c r="K305" s="323">
        <f t="shared" si="71"/>
        <v>300000</v>
      </c>
      <c r="L305" s="323">
        <f t="shared" si="72"/>
        <v>268000</v>
      </c>
      <c r="M305" s="832">
        <f>L305/500/1000</f>
        <v>0.53600000000000003</v>
      </c>
      <c r="N305" s="324">
        <v>225000</v>
      </c>
      <c r="O305" s="323">
        <v>100000</v>
      </c>
      <c r="P305" s="839">
        <f t="shared" si="73"/>
        <v>325000</v>
      </c>
      <c r="Q305" s="326">
        <f t="shared" si="74"/>
        <v>593000</v>
      </c>
      <c r="R305" s="344">
        <v>300000</v>
      </c>
    </row>
    <row r="306" spans="2:23" s="173" customFormat="1" ht="18.600000000000001" hidden="1" thickBot="1">
      <c r="B306" s="2984"/>
      <c r="C306" s="3013"/>
      <c r="D306" s="327" t="s">
        <v>1007</v>
      </c>
      <c r="E306" s="346">
        <v>0</v>
      </c>
      <c r="F306" s="347">
        <v>0</v>
      </c>
      <c r="G306" s="347">
        <v>0</v>
      </c>
      <c r="H306" s="359">
        <v>0</v>
      </c>
      <c r="I306" s="834">
        <f t="shared" si="70"/>
        <v>0</v>
      </c>
      <c r="J306" s="348">
        <v>0</v>
      </c>
      <c r="K306" s="332">
        <f t="shared" si="71"/>
        <v>0</v>
      </c>
      <c r="L306" s="332">
        <f t="shared" si="72"/>
        <v>0</v>
      </c>
      <c r="M306" s="835">
        <f>L306/1000/1000</f>
        <v>0</v>
      </c>
      <c r="N306" s="350">
        <v>0</v>
      </c>
      <c r="O306" s="332">
        <v>0</v>
      </c>
      <c r="P306" s="840">
        <f t="shared" si="73"/>
        <v>0</v>
      </c>
      <c r="Q306" s="335">
        <f t="shared" si="74"/>
        <v>0</v>
      </c>
      <c r="R306" s="352">
        <v>0</v>
      </c>
    </row>
    <row r="307" spans="2:23" s="173" customFormat="1" ht="18" hidden="1">
      <c r="B307" s="2982">
        <v>21</v>
      </c>
      <c r="C307" s="3011" t="s">
        <v>197</v>
      </c>
      <c r="D307" s="309" t="s">
        <v>1004</v>
      </c>
      <c r="E307" s="310">
        <v>80000</v>
      </c>
      <c r="F307" s="311">
        <v>94000</v>
      </c>
      <c r="G307" s="311">
        <v>20000</v>
      </c>
      <c r="H307" s="311">
        <v>30000</v>
      </c>
      <c r="I307" s="827">
        <f t="shared" si="70"/>
        <v>114000</v>
      </c>
      <c r="J307" s="312">
        <v>70000</v>
      </c>
      <c r="K307" s="314">
        <f t="shared" si="71"/>
        <v>150000</v>
      </c>
      <c r="L307" s="314">
        <f t="shared" si="72"/>
        <v>184000</v>
      </c>
      <c r="M307" s="828">
        <f>L307/50/1000</f>
        <v>3.68</v>
      </c>
      <c r="N307" s="354">
        <v>225000</v>
      </c>
      <c r="O307" s="342">
        <v>100000</v>
      </c>
      <c r="P307" s="838">
        <f t="shared" si="73"/>
        <v>325000</v>
      </c>
      <c r="Q307" s="317">
        <f t="shared" si="74"/>
        <v>509000</v>
      </c>
      <c r="R307" s="317">
        <v>0</v>
      </c>
    </row>
    <row r="308" spans="2:23" s="173" customFormat="1" ht="18" hidden="1">
      <c r="B308" s="2983"/>
      <c r="C308" s="3012"/>
      <c r="D308" s="337" t="s">
        <v>1005</v>
      </c>
      <c r="E308" s="338">
        <v>90000</v>
      </c>
      <c r="F308" s="339">
        <v>94000</v>
      </c>
      <c r="G308" s="339">
        <v>20000</v>
      </c>
      <c r="H308" s="357">
        <v>30000</v>
      </c>
      <c r="I308" s="831">
        <f t="shared" si="70"/>
        <v>114000</v>
      </c>
      <c r="J308" s="340">
        <v>80000</v>
      </c>
      <c r="K308" s="323">
        <f t="shared" si="71"/>
        <v>170000</v>
      </c>
      <c r="L308" s="323">
        <f t="shared" si="72"/>
        <v>194000</v>
      </c>
      <c r="M308" s="832">
        <f>L308/100/1000</f>
        <v>1.94</v>
      </c>
      <c r="N308" s="354">
        <v>225000</v>
      </c>
      <c r="O308" s="342">
        <v>100000</v>
      </c>
      <c r="P308" s="839">
        <f t="shared" si="73"/>
        <v>325000</v>
      </c>
      <c r="Q308" s="326">
        <f t="shared" si="74"/>
        <v>519000</v>
      </c>
      <c r="R308" s="343">
        <v>0</v>
      </c>
    </row>
    <row r="309" spans="2:23" s="173" customFormat="1" ht="18" hidden="1">
      <c r="B309" s="2983"/>
      <c r="C309" s="3012"/>
      <c r="D309" s="318" t="s">
        <v>1006</v>
      </c>
      <c r="E309" s="319">
        <v>150000</v>
      </c>
      <c r="F309" s="320">
        <v>110000</v>
      </c>
      <c r="G309" s="320">
        <v>30000</v>
      </c>
      <c r="H309" s="358">
        <v>30000</v>
      </c>
      <c r="I309" s="831">
        <f t="shared" si="70"/>
        <v>140000</v>
      </c>
      <c r="J309" s="321">
        <v>100000</v>
      </c>
      <c r="K309" s="323">
        <f t="shared" si="71"/>
        <v>250000</v>
      </c>
      <c r="L309" s="323">
        <f t="shared" si="72"/>
        <v>240000</v>
      </c>
      <c r="M309" s="832">
        <f>L309/500/1000</f>
        <v>0.48</v>
      </c>
      <c r="N309" s="324">
        <v>225000</v>
      </c>
      <c r="O309" s="323">
        <v>100000</v>
      </c>
      <c r="P309" s="839">
        <f t="shared" si="73"/>
        <v>325000</v>
      </c>
      <c r="Q309" s="326">
        <f t="shared" si="74"/>
        <v>565000</v>
      </c>
      <c r="R309" s="344">
        <v>280000</v>
      </c>
    </row>
    <row r="310" spans="2:23" s="173" customFormat="1" ht="18.600000000000001" hidden="1" thickBot="1">
      <c r="B310" s="2984"/>
      <c r="C310" s="3013"/>
      <c r="D310" s="327" t="s">
        <v>1007</v>
      </c>
      <c r="E310" s="328">
        <v>200000</v>
      </c>
      <c r="F310" s="329">
        <v>125000</v>
      </c>
      <c r="G310" s="329">
        <v>40000</v>
      </c>
      <c r="H310" s="360">
        <v>30000</v>
      </c>
      <c r="I310" s="834">
        <f t="shared" si="70"/>
        <v>165000</v>
      </c>
      <c r="J310" s="330">
        <v>150000</v>
      </c>
      <c r="K310" s="332">
        <f t="shared" si="71"/>
        <v>350000</v>
      </c>
      <c r="L310" s="332">
        <f t="shared" si="72"/>
        <v>315000</v>
      </c>
      <c r="M310" s="835">
        <f>L310/1000/1000</f>
        <v>0.315</v>
      </c>
      <c r="N310" s="350">
        <v>225000</v>
      </c>
      <c r="O310" s="332">
        <v>100000</v>
      </c>
      <c r="P310" s="840">
        <f t="shared" si="73"/>
        <v>325000</v>
      </c>
      <c r="Q310" s="335">
        <f t="shared" si="74"/>
        <v>640000</v>
      </c>
      <c r="R310" s="361">
        <v>350000</v>
      </c>
    </row>
    <row r="311" spans="2:23" s="173" customFormat="1" ht="18" hidden="1">
      <c r="B311" s="2982">
        <v>22</v>
      </c>
      <c r="C311" s="3034" t="s">
        <v>198</v>
      </c>
      <c r="D311" s="309" t="s">
        <v>1004</v>
      </c>
      <c r="E311" s="310">
        <v>50000</v>
      </c>
      <c r="F311" s="311">
        <v>50000</v>
      </c>
      <c r="G311" s="311">
        <v>10000</v>
      </c>
      <c r="H311" s="311">
        <v>30000</v>
      </c>
      <c r="I311" s="827">
        <f t="shared" si="70"/>
        <v>60000</v>
      </c>
      <c r="J311" s="312">
        <v>50000</v>
      </c>
      <c r="K311" s="314">
        <f t="shared" si="71"/>
        <v>100000</v>
      </c>
      <c r="L311" s="314">
        <f t="shared" si="72"/>
        <v>110000</v>
      </c>
      <c r="M311" s="828">
        <f>L311/50/1000</f>
        <v>2.2000000000000002</v>
      </c>
      <c r="N311" s="315">
        <v>225000</v>
      </c>
      <c r="O311" s="314">
        <v>100000</v>
      </c>
      <c r="P311" s="838">
        <f t="shared" si="73"/>
        <v>325000</v>
      </c>
      <c r="Q311" s="317">
        <f t="shared" si="74"/>
        <v>435000</v>
      </c>
      <c r="R311" s="317">
        <v>0</v>
      </c>
      <c r="S311"/>
      <c r="T311"/>
      <c r="U311"/>
      <c r="V311"/>
      <c r="W311"/>
    </row>
    <row r="312" spans="2:23" s="173" customFormat="1" ht="18" hidden="1">
      <c r="B312" s="2983"/>
      <c r="C312" s="3035"/>
      <c r="D312" s="337" t="s">
        <v>1005</v>
      </c>
      <c r="E312" s="338">
        <v>50000</v>
      </c>
      <c r="F312" s="339">
        <v>94000</v>
      </c>
      <c r="G312" s="339">
        <v>20000</v>
      </c>
      <c r="H312" s="357">
        <v>30000</v>
      </c>
      <c r="I312" s="831">
        <f t="shared" si="70"/>
        <v>114000</v>
      </c>
      <c r="J312" s="340">
        <v>50000</v>
      </c>
      <c r="K312" s="323">
        <f t="shared" si="71"/>
        <v>100000</v>
      </c>
      <c r="L312" s="323">
        <f t="shared" si="72"/>
        <v>164000</v>
      </c>
      <c r="M312" s="832">
        <f>L312/100/1000</f>
        <v>1.64</v>
      </c>
      <c r="N312" s="354">
        <v>225000</v>
      </c>
      <c r="O312" s="342">
        <v>100000</v>
      </c>
      <c r="P312" s="839">
        <f t="shared" si="73"/>
        <v>325000</v>
      </c>
      <c r="Q312" s="326">
        <f t="shared" si="74"/>
        <v>489000</v>
      </c>
      <c r="R312" s="343">
        <v>0</v>
      </c>
      <c r="S312"/>
      <c r="T312"/>
      <c r="U312"/>
      <c r="V312"/>
      <c r="W312"/>
    </row>
    <row r="313" spans="2:23" s="173" customFormat="1" ht="18" hidden="1">
      <c r="B313" s="2983"/>
      <c r="C313" s="3035"/>
      <c r="D313" s="318" t="s">
        <v>1006</v>
      </c>
      <c r="E313" s="319">
        <v>175000</v>
      </c>
      <c r="F313" s="320">
        <v>98000</v>
      </c>
      <c r="G313" s="320">
        <v>30000</v>
      </c>
      <c r="H313" s="358">
        <v>30000</v>
      </c>
      <c r="I313" s="831">
        <f t="shared" si="70"/>
        <v>128000</v>
      </c>
      <c r="J313" s="321">
        <v>200000</v>
      </c>
      <c r="K313" s="323">
        <f t="shared" si="71"/>
        <v>375000</v>
      </c>
      <c r="L313" s="323">
        <f t="shared" si="72"/>
        <v>328000</v>
      </c>
      <c r="M313" s="832">
        <f>L313/500/1000</f>
        <v>0.65600000000000003</v>
      </c>
      <c r="N313" s="324">
        <v>225000</v>
      </c>
      <c r="O313" s="323">
        <v>100000</v>
      </c>
      <c r="P313" s="839">
        <f t="shared" si="73"/>
        <v>325000</v>
      </c>
      <c r="Q313" s="326">
        <f t="shared" si="74"/>
        <v>653000</v>
      </c>
      <c r="R313" s="344">
        <v>300000</v>
      </c>
      <c r="S313"/>
      <c r="T313"/>
      <c r="U313"/>
      <c r="V313"/>
      <c r="W313"/>
    </row>
    <row r="314" spans="2:23" s="173" customFormat="1" ht="18.600000000000001" hidden="1" thickBot="1">
      <c r="B314" s="2984"/>
      <c r="C314" s="3036"/>
      <c r="D314" s="327" t="s">
        <v>1007</v>
      </c>
      <c r="E314" s="346">
        <v>200000</v>
      </c>
      <c r="F314" s="347">
        <v>105000</v>
      </c>
      <c r="G314" s="347">
        <v>40000</v>
      </c>
      <c r="H314" s="359">
        <v>30000</v>
      </c>
      <c r="I314" s="834">
        <f t="shared" si="70"/>
        <v>145000</v>
      </c>
      <c r="J314" s="348">
        <v>300000</v>
      </c>
      <c r="K314" s="332">
        <f t="shared" si="71"/>
        <v>500000</v>
      </c>
      <c r="L314" s="332">
        <f t="shared" si="72"/>
        <v>445000</v>
      </c>
      <c r="M314" s="835">
        <f>L314/1000/1000</f>
        <v>0.44500000000000001</v>
      </c>
      <c r="N314" s="350">
        <v>225000</v>
      </c>
      <c r="O314" s="332">
        <v>100000</v>
      </c>
      <c r="P314" s="840">
        <f t="shared" si="73"/>
        <v>325000</v>
      </c>
      <c r="Q314" s="335">
        <f t="shared" si="74"/>
        <v>770000</v>
      </c>
      <c r="R314" s="352">
        <v>400000</v>
      </c>
      <c r="S314"/>
      <c r="T314"/>
      <c r="U314"/>
      <c r="V314"/>
      <c r="W314"/>
    </row>
    <row r="315" spans="2:23" s="173" customFormat="1" ht="18" hidden="1">
      <c r="B315" s="2982">
        <v>23</v>
      </c>
      <c r="C315" s="3011" t="s">
        <v>184</v>
      </c>
      <c r="D315" s="309" t="s">
        <v>1004</v>
      </c>
      <c r="E315" s="310">
        <v>100000</v>
      </c>
      <c r="F315" s="311">
        <v>94000</v>
      </c>
      <c r="G315" s="311">
        <v>20000</v>
      </c>
      <c r="H315" s="311">
        <v>30000</v>
      </c>
      <c r="I315" s="827">
        <f t="shared" si="70"/>
        <v>114000</v>
      </c>
      <c r="J315" s="312">
        <v>80000</v>
      </c>
      <c r="K315" s="314">
        <f t="shared" si="71"/>
        <v>180000</v>
      </c>
      <c r="L315" s="314">
        <f t="shared" si="72"/>
        <v>194000</v>
      </c>
      <c r="M315" s="828">
        <f>L315/50/1000</f>
        <v>3.88</v>
      </c>
      <c r="N315" s="315">
        <v>225000</v>
      </c>
      <c r="O315" s="314">
        <v>100000</v>
      </c>
      <c r="P315" s="838">
        <f t="shared" si="73"/>
        <v>325000</v>
      </c>
      <c r="Q315" s="317">
        <f t="shared" si="74"/>
        <v>519000</v>
      </c>
      <c r="R315" s="317">
        <v>0</v>
      </c>
      <c r="S315"/>
      <c r="T315"/>
      <c r="U315"/>
      <c r="V315"/>
      <c r="W315"/>
    </row>
    <row r="316" spans="2:23" s="173" customFormat="1" ht="18" hidden="1">
      <c r="B316" s="2983"/>
      <c r="C316" s="3012"/>
      <c r="D316" s="337" t="s">
        <v>1005</v>
      </c>
      <c r="E316" s="338">
        <v>100000</v>
      </c>
      <c r="F316" s="339">
        <v>94000</v>
      </c>
      <c r="G316" s="339">
        <v>20000</v>
      </c>
      <c r="H316" s="357">
        <v>30000</v>
      </c>
      <c r="I316" s="831">
        <f t="shared" si="70"/>
        <v>114000</v>
      </c>
      <c r="J316" s="340">
        <v>80000</v>
      </c>
      <c r="K316" s="323">
        <f t="shared" si="71"/>
        <v>180000</v>
      </c>
      <c r="L316" s="323">
        <f t="shared" si="72"/>
        <v>194000</v>
      </c>
      <c r="M316" s="832">
        <f>L316/100/1000</f>
        <v>1.94</v>
      </c>
      <c r="N316" s="354">
        <v>225000</v>
      </c>
      <c r="O316" s="342">
        <v>100000</v>
      </c>
      <c r="P316" s="839">
        <f t="shared" si="73"/>
        <v>325000</v>
      </c>
      <c r="Q316" s="326">
        <f t="shared" si="74"/>
        <v>519000</v>
      </c>
      <c r="R316" s="343">
        <v>0</v>
      </c>
      <c r="S316"/>
      <c r="T316"/>
      <c r="U316"/>
      <c r="V316"/>
      <c r="W316"/>
    </row>
    <row r="317" spans="2:23" s="173" customFormat="1" ht="18" hidden="1">
      <c r="B317" s="2983"/>
      <c r="C317" s="3012"/>
      <c r="D317" s="318" t="s">
        <v>1006</v>
      </c>
      <c r="E317" s="319">
        <v>150000</v>
      </c>
      <c r="F317" s="320">
        <v>98000</v>
      </c>
      <c r="G317" s="320">
        <v>30000</v>
      </c>
      <c r="H317" s="358">
        <v>30000</v>
      </c>
      <c r="I317" s="831">
        <f t="shared" si="70"/>
        <v>128000</v>
      </c>
      <c r="J317" s="321">
        <v>150000</v>
      </c>
      <c r="K317" s="323">
        <f t="shared" si="71"/>
        <v>300000</v>
      </c>
      <c r="L317" s="323">
        <f t="shared" si="72"/>
        <v>278000</v>
      </c>
      <c r="M317" s="832">
        <f>L317/500/1000</f>
        <v>0.55600000000000005</v>
      </c>
      <c r="N317" s="324">
        <v>225000</v>
      </c>
      <c r="O317" s="323">
        <v>100000</v>
      </c>
      <c r="P317" s="839">
        <f t="shared" si="73"/>
        <v>325000</v>
      </c>
      <c r="Q317" s="326">
        <f t="shared" si="74"/>
        <v>603000</v>
      </c>
      <c r="R317" s="344">
        <v>300000</v>
      </c>
      <c r="S317"/>
      <c r="T317"/>
      <c r="U317"/>
      <c r="V317"/>
      <c r="W317"/>
    </row>
    <row r="318" spans="2:23" s="173" customFormat="1" ht="18.600000000000001" hidden="1" thickBot="1">
      <c r="B318" s="2984"/>
      <c r="C318" s="3013"/>
      <c r="D318" s="327" t="s">
        <v>1007</v>
      </c>
      <c r="E318" s="328">
        <v>200000</v>
      </c>
      <c r="F318" s="329">
        <v>105000</v>
      </c>
      <c r="G318" s="329">
        <v>40000</v>
      </c>
      <c r="H318" s="360">
        <v>30000</v>
      </c>
      <c r="I318" s="834">
        <f t="shared" si="70"/>
        <v>145000</v>
      </c>
      <c r="J318" s="330">
        <v>200000</v>
      </c>
      <c r="K318" s="332">
        <f t="shared" si="71"/>
        <v>400000</v>
      </c>
      <c r="L318" s="332">
        <f t="shared" si="72"/>
        <v>345000</v>
      </c>
      <c r="M318" s="835">
        <f>L318/1000/1000</f>
        <v>0.34499999999999997</v>
      </c>
      <c r="N318" s="350">
        <v>225000</v>
      </c>
      <c r="O318" s="332">
        <v>100000</v>
      </c>
      <c r="P318" s="840">
        <f t="shared" si="73"/>
        <v>325000</v>
      </c>
      <c r="Q318" s="335">
        <f t="shared" si="74"/>
        <v>670000</v>
      </c>
      <c r="R318" s="361">
        <v>400000</v>
      </c>
      <c r="S318"/>
      <c r="T318"/>
      <c r="U318"/>
      <c r="V318"/>
      <c r="W318"/>
    </row>
    <row r="319" spans="2:23" s="173" customFormat="1" ht="18" hidden="1">
      <c r="B319" s="2982">
        <v>24</v>
      </c>
      <c r="C319" s="2982" t="s">
        <v>181</v>
      </c>
      <c r="D319" s="309" t="s">
        <v>1004</v>
      </c>
      <c r="E319" s="310">
        <v>100000</v>
      </c>
      <c r="F319" s="311">
        <v>94000</v>
      </c>
      <c r="G319" s="311">
        <v>20000</v>
      </c>
      <c r="H319" s="311">
        <v>30000</v>
      </c>
      <c r="I319" s="827">
        <f t="shared" si="70"/>
        <v>114000</v>
      </c>
      <c r="J319" s="312">
        <v>100000</v>
      </c>
      <c r="K319" s="314">
        <f t="shared" si="71"/>
        <v>200000</v>
      </c>
      <c r="L319" s="314">
        <f t="shared" si="72"/>
        <v>214000</v>
      </c>
      <c r="M319" s="828">
        <f>L319/50/1000</f>
        <v>4.28</v>
      </c>
      <c r="N319" s="315">
        <v>225000</v>
      </c>
      <c r="O319" s="314">
        <v>100000</v>
      </c>
      <c r="P319" s="838">
        <f t="shared" si="73"/>
        <v>325000</v>
      </c>
      <c r="Q319" s="317">
        <f t="shared" si="74"/>
        <v>539000</v>
      </c>
      <c r="R319" s="317">
        <v>0</v>
      </c>
      <c r="S319"/>
      <c r="T319"/>
      <c r="U319"/>
      <c r="V319"/>
      <c r="W319"/>
    </row>
    <row r="320" spans="2:23" s="173" customFormat="1" ht="18" hidden="1">
      <c r="B320" s="2983"/>
      <c r="C320" s="2983"/>
      <c r="D320" s="337" t="s">
        <v>1005</v>
      </c>
      <c r="E320" s="338">
        <v>100000</v>
      </c>
      <c r="F320" s="339">
        <v>94000</v>
      </c>
      <c r="G320" s="339">
        <v>20000</v>
      </c>
      <c r="H320" s="357">
        <v>30000</v>
      </c>
      <c r="I320" s="831">
        <f t="shared" si="70"/>
        <v>114000</v>
      </c>
      <c r="J320" s="340">
        <v>100000</v>
      </c>
      <c r="K320" s="323">
        <f t="shared" si="71"/>
        <v>200000</v>
      </c>
      <c r="L320" s="323">
        <f t="shared" si="72"/>
        <v>214000</v>
      </c>
      <c r="M320" s="832">
        <f>L320/100/1000</f>
        <v>2.14</v>
      </c>
      <c r="N320" s="354">
        <v>225000</v>
      </c>
      <c r="O320" s="342">
        <v>100000</v>
      </c>
      <c r="P320" s="839">
        <f t="shared" si="73"/>
        <v>325000</v>
      </c>
      <c r="Q320" s="326">
        <f t="shared" si="74"/>
        <v>539000</v>
      </c>
      <c r="R320" s="343">
        <v>0</v>
      </c>
      <c r="S320"/>
      <c r="T320"/>
      <c r="U320"/>
      <c r="V320"/>
      <c r="W320"/>
    </row>
    <row r="321" spans="2:24" s="173" customFormat="1" ht="18" hidden="1">
      <c r="B321" s="2983"/>
      <c r="C321" s="2983"/>
      <c r="D321" s="318" t="s">
        <v>1006</v>
      </c>
      <c r="E321" s="319">
        <v>180000</v>
      </c>
      <c r="F321" s="320">
        <v>98000</v>
      </c>
      <c r="G321" s="320">
        <v>30000</v>
      </c>
      <c r="H321" s="358">
        <v>30000</v>
      </c>
      <c r="I321" s="831">
        <f t="shared" si="70"/>
        <v>128000</v>
      </c>
      <c r="J321" s="321">
        <v>150000</v>
      </c>
      <c r="K321" s="323">
        <f t="shared" si="71"/>
        <v>330000</v>
      </c>
      <c r="L321" s="323">
        <f t="shared" si="72"/>
        <v>278000</v>
      </c>
      <c r="M321" s="832">
        <f>L321/500/1000</f>
        <v>0.55600000000000005</v>
      </c>
      <c r="N321" s="324">
        <v>225000</v>
      </c>
      <c r="O321" s="323">
        <v>100000</v>
      </c>
      <c r="P321" s="839">
        <f t="shared" si="73"/>
        <v>325000</v>
      </c>
      <c r="Q321" s="326">
        <f t="shared" si="74"/>
        <v>603000</v>
      </c>
      <c r="R321" s="344">
        <v>300000</v>
      </c>
      <c r="S321"/>
      <c r="T321"/>
      <c r="U321"/>
      <c r="V321"/>
      <c r="W321"/>
    </row>
    <row r="322" spans="2:24" s="173" customFormat="1" ht="18.600000000000001" hidden="1" thickBot="1">
      <c r="B322" s="2984"/>
      <c r="C322" s="2984"/>
      <c r="D322" s="327" t="s">
        <v>1007</v>
      </c>
      <c r="E322" s="346">
        <v>250000</v>
      </c>
      <c r="F322" s="347">
        <v>105000</v>
      </c>
      <c r="G322" s="347">
        <v>40000</v>
      </c>
      <c r="H322" s="359">
        <v>30000</v>
      </c>
      <c r="I322" s="834">
        <f t="shared" si="70"/>
        <v>145000</v>
      </c>
      <c r="J322" s="348">
        <v>300000</v>
      </c>
      <c r="K322" s="332">
        <f t="shared" si="71"/>
        <v>550000</v>
      </c>
      <c r="L322" s="332">
        <f t="shared" si="72"/>
        <v>445000</v>
      </c>
      <c r="M322" s="835">
        <f>L322/1000/1000</f>
        <v>0.44500000000000001</v>
      </c>
      <c r="N322" s="350">
        <v>225000</v>
      </c>
      <c r="O322" s="332">
        <v>100000</v>
      </c>
      <c r="P322" s="840">
        <f t="shared" si="73"/>
        <v>325000</v>
      </c>
      <c r="Q322" s="335">
        <f t="shared" si="74"/>
        <v>770000</v>
      </c>
      <c r="R322" s="352">
        <v>380000</v>
      </c>
      <c r="S322"/>
      <c r="T322"/>
      <c r="U322"/>
      <c r="V322"/>
      <c r="W322"/>
    </row>
    <row r="323" spans="2:24" s="173" customFormat="1" ht="18" hidden="1">
      <c r="B323" s="2982">
        <v>25</v>
      </c>
      <c r="C323" s="2982" t="s">
        <v>171</v>
      </c>
      <c r="D323" s="309" t="s">
        <v>1004</v>
      </c>
      <c r="E323" s="310">
        <v>100000</v>
      </c>
      <c r="F323" s="311">
        <v>94000</v>
      </c>
      <c r="G323" s="311">
        <v>10000</v>
      </c>
      <c r="H323" s="311">
        <v>30000</v>
      </c>
      <c r="I323" s="827">
        <f t="shared" ref="I323:I330" si="75">SUM(F323:G323)</f>
        <v>104000</v>
      </c>
      <c r="J323" s="312">
        <v>100000</v>
      </c>
      <c r="K323" s="314">
        <f t="shared" ref="K323:K330" si="76">E323+J323</f>
        <v>200000</v>
      </c>
      <c r="L323" s="314">
        <f t="shared" ref="L323:L330" si="77">I323+J323</f>
        <v>204000</v>
      </c>
      <c r="M323" s="828">
        <f>L323/50/1000</f>
        <v>4.08</v>
      </c>
      <c r="N323" s="315">
        <v>225000</v>
      </c>
      <c r="O323" s="314">
        <v>100000</v>
      </c>
      <c r="P323" s="838">
        <f t="shared" ref="P323:P330" si="78">N323+O323</f>
        <v>325000</v>
      </c>
      <c r="Q323" s="317">
        <f t="shared" ref="Q323:Q330" si="79">L323+P323</f>
        <v>529000</v>
      </c>
      <c r="R323" s="317">
        <v>0</v>
      </c>
      <c r="S323"/>
      <c r="T323"/>
      <c r="U323"/>
      <c r="V323"/>
      <c r="W323"/>
    </row>
    <row r="324" spans="2:24" s="173" customFormat="1" ht="18" hidden="1">
      <c r="B324" s="2983"/>
      <c r="C324" s="2983"/>
      <c r="D324" s="337" t="s">
        <v>1005</v>
      </c>
      <c r="E324" s="338">
        <v>100000</v>
      </c>
      <c r="F324" s="339">
        <v>94000</v>
      </c>
      <c r="G324" s="339">
        <v>20000</v>
      </c>
      <c r="H324" s="357">
        <v>30000</v>
      </c>
      <c r="I324" s="831">
        <f t="shared" si="75"/>
        <v>114000</v>
      </c>
      <c r="J324" s="340">
        <v>100000</v>
      </c>
      <c r="K324" s="323">
        <f t="shared" si="76"/>
        <v>200000</v>
      </c>
      <c r="L324" s="323">
        <f t="shared" si="77"/>
        <v>214000</v>
      </c>
      <c r="M324" s="832">
        <f>L324/100/1000</f>
        <v>2.14</v>
      </c>
      <c r="N324" s="354">
        <v>225000</v>
      </c>
      <c r="O324" s="342">
        <v>100000</v>
      </c>
      <c r="P324" s="839">
        <f t="shared" si="78"/>
        <v>325000</v>
      </c>
      <c r="Q324" s="326">
        <f t="shared" si="79"/>
        <v>539000</v>
      </c>
      <c r="R324" s="343">
        <v>0</v>
      </c>
      <c r="S324"/>
      <c r="T324"/>
      <c r="U324"/>
      <c r="V324"/>
      <c r="W324"/>
    </row>
    <row r="325" spans="2:24" s="173" customFormat="1" ht="18" hidden="1">
      <c r="B325" s="2983"/>
      <c r="C325" s="2983"/>
      <c r="D325" s="318" t="s">
        <v>1006</v>
      </c>
      <c r="E325" s="319">
        <v>180000</v>
      </c>
      <c r="F325" s="320">
        <v>98000</v>
      </c>
      <c r="G325" s="320">
        <v>30000</v>
      </c>
      <c r="H325" s="358">
        <v>30000</v>
      </c>
      <c r="I325" s="831">
        <f t="shared" si="75"/>
        <v>128000</v>
      </c>
      <c r="J325" s="321">
        <v>150000</v>
      </c>
      <c r="K325" s="323">
        <f t="shared" si="76"/>
        <v>330000</v>
      </c>
      <c r="L325" s="323">
        <f t="shared" si="77"/>
        <v>278000</v>
      </c>
      <c r="M325" s="832">
        <f>L325/500/1000</f>
        <v>0.55600000000000005</v>
      </c>
      <c r="N325" s="324">
        <v>225000</v>
      </c>
      <c r="O325" s="323">
        <v>100000</v>
      </c>
      <c r="P325" s="839">
        <f t="shared" si="78"/>
        <v>325000</v>
      </c>
      <c r="Q325" s="326">
        <f t="shared" si="79"/>
        <v>603000</v>
      </c>
      <c r="R325" s="344">
        <v>300000</v>
      </c>
      <c r="S325" s="362"/>
      <c r="T325" s="362"/>
      <c r="U325" s="362"/>
      <c r="V325" s="362"/>
      <c r="W325" s="362"/>
    </row>
    <row r="326" spans="2:24" s="173" customFormat="1" ht="18.600000000000001" hidden="1" thickBot="1">
      <c r="B326" s="2984"/>
      <c r="C326" s="2984"/>
      <c r="D326" s="327" t="s">
        <v>1007</v>
      </c>
      <c r="E326" s="328">
        <v>250000</v>
      </c>
      <c r="F326" s="329">
        <v>105000</v>
      </c>
      <c r="G326" s="329">
        <v>40000</v>
      </c>
      <c r="H326" s="360">
        <v>30000</v>
      </c>
      <c r="I326" s="834">
        <f t="shared" si="75"/>
        <v>145000</v>
      </c>
      <c r="J326" s="330">
        <v>300000</v>
      </c>
      <c r="K326" s="332">
        <f t="shared" si="76"/>
        <v>550000</v>
      </c>
      <c r="L326" s="332">
        <f t="shared" si="77"/>
        <v>445000</v>
      </c>
      <c r="M326" s="835">
        <f>L326/1000/1000</f>
        <v>0.44500000000000001</v>
      </c>
      <c r="N326" s="350">
        <v>225000</v>
      </c>
      <c r="O326" s="332">
        <v>100000</v>
      </c>
      <c r="P326" s="840">
        <f t="shared" si="78"/>
        <v>325000</v>
      </c>
      <c r="Q326" s="335">
        <f t="shared" si="79"/>
        <v>770000</v>
      </c>
      <c r="R326" s="361">
        <v>380000</v>
      </c>
      <c r="S326" s="362"/>
      <c r="T326" s="362"/>
      <c r="U326" s="362"/>
      <c r="V326" s="362"/>
      <c r="W326" s="362"/>
    </row>
    <row r="327" spans="2:24" s="173" customFormat="1" ht="18" hidden="1">
      <c r="B327" s="2982">
        <v>26</v>
      </c>
      <c r="C327" s="2982" t="s">
        <v>199</v>
      </c>
      <c r="D327" s="309" t="s">
        <v>1004</v>
      </c>
      <c r="E327" s="310">
        <v>50000</v>
      </c>
      <c r="F327" s="311">
        <v>94000</v>
      </c>
      <c r="G327" s="311">
        <v>10000</v>
      </c>
      <c r="H327" s="311">
        <v>30000</v>
      </c>
      <c r="I327" s="827">
        <f t="shared" si="75"/>
        <v>104000</v>
      </c>
      <c r="J327" s="312">
        <v>50000</v>
      </c>
      <c r="K327" s="314">
        <f t="shared" si="76"/>
        <v>100000</v>
      </c>
      <c r="L327" s="314">
        <f t="shared" si="77"/>
        <v>154000</v>
      </c>
      <c r="M327" s="828">
        <f>L327/50/1000</f>
        <v>3.08</v>
      </c>
      <c r="N327" s="315">
        <v>225000</v>
      </c>
      <c r="O327" s="314">
        <v>100000</v>
      </c>
      <c r="P327" s="838">
        <f t="shared" si="78"/>
        <v>325000</v>
      </c>
      <c r="Q327" s="317">
        <f t="shared" si="79"/>
        <v>479000</v>
      </c>
      <c r="R327" s="317">
        <v>0</v>
      </c>
      <c r="S327"/>
      <c r="T327"/>
      <c r="U327"/>
      <c r="V327"/>
      <c r="W327"/>
      <c r="X327"/>
    </row>
    <row r="328" spans="2:24" s="173" customFormat="1" ht="18" hidden="1">
      <c r="B328" s="2983"/>
      <c r="C328" s="2983"/>
      <c r="D328" s="337" t="s">
        <v>1005</v>
      </c>
      <c r="E328" s="338">
        <v>50000</v>
      </c>
      <c r="F328" s="339">
        <v>94000</v>
      </c>
      <c r="G328" s="339">
        <v>20000</v>
      </c>
      <c r="H328" s="357">
        <v>30000</v>
      </c>
      <c r="I328" s="831">
        <f t="shared" si="75"/>
        <v>114000</v>
      </c>
      <c r="J328" s="340">
        <v>50000</v>
      </c>
      <c r="K328" s="323">
        <f t="shared" si="76"/>
        <v>100000</v>
      </c>
      <c r="L328" s="323">
        <f t="shared" si="77"/>
        <v>164000</v>
      </c>
      <c r="M328" s="832">
        <f>L328/100/1000</f>
        <v>1.64</v>
      </c>
      <c r="N328" s="354">
        <v>225000</v>
      </c>
      <c r="O328" s="342">
        <v>100000</v>
      </c>
      <c r="P328" s="839">
        <f t="shared" si="78"/>
        <v>325000</v>
      </c>
      <c r="Q328" s="326">
        <f t="shared" si="79"/>
        <v>489000</v>
      </c>
      <c r="R328" s="343">
        <v>0</v>
      </c>
      <c r="S328"/>
      <c r="T328"/>
      <c r="U328"/>
      <c r="V328"/>
      <c r="W328"/>
      <c r="X328"/>
    </row>
    <row r="329" spans="2:24" s="173" customFormat="1" ht="18" hidden="1">
      <c r="B329" s="2983"/>
      <c r="C329" s="2983"/>
      <c r="D329" s="318" t="s">
        <v>1006</v>
      </c>
      <c r="E329" s="319">
        <v>175000</v>
      </c>
      <c r="F329" s="320">
        <v>98000</v>
      </c>
      <c r="G329" s="320">
        <v>30000</v>
      </c>
      <c r="H329" s="358">
        <v>30000</v>
      </c>
      <c r="I329" s="831">
        <f t="shared" si="75"/>
        <v>128000</v>
      </c>
      <c r="J329" s="321">
        <v>200000</v>
      </c>
      <c r="K329" s="323">
        <f t="shared" si="76"/>
        <v>375000</v>
      </c>
      <c r="L329" s="323">
        <f t="shared" si="77"/>
        <v>328000</v>
      </c>
      <c r="M329" s="832">
        <f>L329/500/1000</f>
        <v>0.65600000000000003</v>
      </c>
      <c r="N329" s="324">
        <v>225000</v>
      </c>
      <c r="O329" s="323">
        <v>100000</v>
      </c>
      <c r="P329" s="839">
        <f t="shared" si="78"/>
        <v>325000</v>
      </c>
      <c r="Q329" s="326">
        <f t="shared" si="79"/>
        <v>653000</v>
      </c>
      <c r="R329" s="344">
        <v>300000</v>
      </c>
      <c r="S329" s="362"/>
      <c r="T329" s="362"/>
      <c r="U329" s="362"/>
      <c r="V329" s="362"/>
      <c r="W329" s="362"/>
      <c r="X329"/>
    </row>
    <row r="330" spans="2:24" s="173" customFormat="1" ht="18.600000000000001" hidden="1" thickBot="1">
      <c r="B330" s="2984"/>
      <c r="C330" s="2984"/>
      <c r="D330" s="327" t="s">
        <v>1007</v>
      </c>
      <c r="E330" s="328">
        <v>200000</v>
      </c>
      <c r="F330" s="329">
        <v>105000</v>
      </c>
      <c r="G330" s="329">
        <v>40000</v>
      </c>
      <c r="H330" s="360">
        <v>30000</v>
      </c>
      <c r="I330" s="834">
        <f t="shared" si="75"/>
        <v>145000</v>
      </c>
      <c r="J330" s="330">
        <v>300000</v>
      </c>
      <c r="K330" s="332">
        <f t="shared" si="76"/>
        <v>500000</v>
      </c>
      <c r="L330" s="332">
        <f t="shared" si="77"/>
        <v>445000</v>
      </c>
      <c r="M330" s="835">
        <f>L330/1000/1000</f>
        <v>0.44500000000000001</v>
      </c>
      <c r="N330" s="350">
        <v>225000</v>
      </c>
      <c r="O330" s="332">
        <v>100000</v>
      </c>
      <c r="P330" s="840">
        <f t="shared" si="78"/>
        <v>325000</v>
      </c>
      <c r="Q330" s="335">
        <f t="shared" si="79"/>
        <v>770000</v>
      </c>
      <c r="R330" s="361">
        <v>380000</v>
      </c>
      <c r="S330" s="362"/>
      <c r="T330" s="362"/>
      <c r="U330" s="362"/>
      <c r="V330" s="362"/>
      <c r="W330" s="362"/>
      <c r="X330"/>
    </row>
    <row r="331" spans="2:24" s="173" customFormat="1" ht="18" hidden="1">
      <c r="Q331" s="288"/>
      <c r="X331" s="362"/>
    </row>
    <row r="332" spans="2:24" s="173" customFormat="1" ht="18.600000000000001" hidden="1" thickBot="1">
      <c r="B332" s="364" t="s">
        <v>169</v>
      </c>
      <c r="D332" s="363"/>
      <c r="E332" s="363"/>
      <c r="F332" s="363"/>
      <c r="G332" s="363"/>
      <c r="H332" s="363"/>
      <c r="I332" s="363"/>
      <c r="J332" s="363"/>
      <c r="K332" s="363"/>
      <c r="L332" s="363"/>
      <c r="M332" s="363"/>
      <c r="N332" s="363"/>
      <c r="O332" s="363"/>
      <c r="P332" s="363"/>
      <c r="Q332" s="288"/>
      <c r="X332" s="362"/>
    </row>
    <row r="333" spans="2:24" s="173" customFormat="1" ht="21.6" hidden="1" thickBot="1">
      <c r="B333" s="364" t="s">
        <v>170</v>
      </c>
      <c r="D333" s="3107" t="s">
        <v>1016</v>
      </c>
      <c r="E333" s="3108"/>
      <c r="F333" s="3109"/>
      <c r="G333" s="363"/>
      <c r="H333" s="363"/>
      <c r="I333" s="363"/>
      <c r="J333" s="363"/>
      <c r="K333" s="363"/>
      <c r="L333" s="2229" t="s">
        <v>94</v>
      </c>
      <c r="M333" s="3115"/>
      <c r="N333" s="2230"/>
      <c r="O333" s="363"/>
      <c r="P333" s="363"/>
      <c r="Q333" s="288"/>
      <c r="X333" s="362"/>
    </row>
    <row r="334" spans="2:24" s="173" customFormat="1" ht="21.6" hidden="1" thickBot="1">
      <c r="B334" s="364" t="s">
        <v>171</v>
      </c>
      <c r="D334" s="722" t="s">
        <v>1017</v>
      </c>
      <c r="E334" s="723" t="s">
        <v>1018</v>
      </c>
      <c r="F334" s="724" t="s">
        <v>1019</v>
      </c>
      <c r="G334" s="363"/>
      <c r="H334" s="173" t="s">
        <v>57</v>
      </c>
      <c r="I334" s="363"/>
      <c r="J334" s="363"/>
      <c r="K334" s="363"/>
      <c r="L334" s="388" t="s">
        <v>1020</v>
      </c>
      <c r="M334" s="389" t="s">
        <v>1021</v>
      </c>
      <c r="N334" s="378" t="s">
        <v>1022</v>
      </c>
      <c r="O334" s="363"/>
      <c r="P334" s="363"/>
      <c r="Q334" s="288"/>
      <c r="X334" s="362"/>
    </row>
    <row r="335" spans="2:24" s="173" customFormat="1" ht="18" hidden="1">
      <c r="B335" s="364" t="s">
        <v>172</v>
      </c>
      <c r="D335" s="725" t="s">
        <v>1023</v>
      </c>
      <c r="E335" s="366">
        <f>(1+1+1)</f>
        <v>3</v>
      </c>
      <c r="F335" s="367">
        <f>AN60*E335</f>
        <v>0</v>
      </c>
      <c r="G335" s="363"/>
      <c r="H335" s="173" t="s">
        <v>132</v>
      </c>
      <c r="I335" s="363"/>
      <c r="J335" s="363"/>
      <c r="K335" s="363"/>
      <c r="L335" s="399" t="s">
        <v>1024</v>
      </c>
      <c r="M335" s="400">
        <v>50347</v>
      </c>
      <c r="N335" s="744">
        <f>SUM($AN$60:$AN$62)*M335</f>
        <v>0</v>
      </c>
      <c r="O335" s="363"/>
      <c r="P335" s="363"/>
      <c r="Q335" s="288"/>
      <c r="X335" s="362"/>
    </row>
    <row r="336" spans="2:24" s="173" customFormat="1" ht="18" hidden="1">
      <c r="B336" s="364" t="s">
        <v>174</v>
      </c>
      <c r="D336" s="726" t="s">
        <v>1025</v>
      </c>
      <c r="E336" s="368">
        <f>(2+1+2)</f>
        <v>5</v>
      </c>
      <c r="F336" s="369">
        <f>SUM(AN61:AN65)*E336</f>
        <v>10</v>
      </c>
      <c r="G336" s="363"/>
      <c r="H336" s="173" t="s">
        <v>55</v>
      </c>
      <c r="I336" s="363"/>
      <c r="J336" s="363"/>
      <c r="K336" s="363"/>
      <c r="L336" s="401" t="s">
        <v>1026</v>
      </c>
      <c r="M336" s="402">
        <v>60484</v>
      </c>
      <c r="N336" s="745">
        <f>SUM($AN$63:$AN$65)*M336</f>
        <v>120968</v>
      </c>
      <c r="O336" s="363"/>
      <c r="P336" s="363"/>
      <c r="Q336" s="288"/>
      <c r="X336" s="362"/>
    </row>
    <row r="337" spans="2:24" s="173" customFormat="1" ht="18" hidden="1">
      <c r="B337" s="364" t="s">
        <v>176</v>
      </c>
      <c r="D337" s="727" t="s">
        <v>1027</v>
      </c>
      <c r="E337" s="368">
        <f>(2+2+2)</f>
        <v>6</v>
      </c>
      <c r="F337" s="369">
        <f>SUM(AN66:AN72)*E337</f>
        <v>0</v>
      </c>
      <c r="G337" s="363"/>
      <c r="H337" s="173" t="s">
        <v>133</v>
      </c>
      <c r="I337" s="363"/>
      <c r="J337" s="363"/>
      <c r="K337" s="363"/>
      <c r="L337" s="401" t="s">
        <v>1028</v>
      </c>
      <c r="M337" s="402">
        <v>80484</v>
      </c>
      <c r="N337" s="745">
        <f>SUM($AN$66:$AN$68)*M337</f>
        <v>0</v>
      </c>
      <c r="O337" s="363"/>
      <c r="P337" s="363"/>
      <c r="Q337" s="288"/>
      <c r="X337" s="362"/>
    </row>
    <row r="338" spans="2:24" s="173" customFormat="1" ht="18" hidden="1">
      <c r="B338" s="364" t="s">
        <v>178</v>
      </c>
      <c r="D338" s="727" t="s">
        <v>1029</v>
      </c>
      <c r="E338" s="368">
        <f>(4+4+4)</f>
        <v>12</v>
      </c>
      <c r="F338" s="369">
        <f>SUM(AN73:AN82)*E338</f>
        <v>0</v>
      </c>
      <c r="G338" s="363"/>
      <c r="H338" s="363"/>
      <c r="I338" s="363"/>
      <c r="J338" s="363"/>
      <c r="K338" s="363"/>
      <c r="L338" s="401" t="s">
        <v>1030</v>
      </c>
      <c r="M338" s="402">
        <v>100000</v>
      </c>
      <c r="N338" s="745">
        <f>SUM($AN$69:$AN$70)*M338</f>
        <v>0</v>
      </c>
      <c r="O338" s="363"/>
      <c r="P338" s="288"/>
      <c r="W338" s="362"/>
    </row>
    <row r="339" spans="2:24" s="173" customFormat="1" ht="18.600000000000001" hidden="1" thickBot="1">
      <c r="B339" s="364" t="s">
        <v>180</v>
      </c>
      <c r="D339" s="728" t="s">
        <v>1031</v>
      </c>
      <c r="E339" s="370">
        <f>(6+6+6)</f>
        <v>18</v>
      </c>
      <c r="F339" s="371">
        <f>SUM(AN83:AN92)*E339</f>
        <v>0</v>
      </c>
      <c r="G339" s="363"/>
      <c r="H339" s="363"/>
      <c r="I339" s="363"/>
      <c r="J339" s="363"/>
      <c r="K339" s="363"/>
      <c r="L339" s="401" t="s">
        <v>1032</v>
      </c>
      <c r="M339" s="402">
        <v>110000</v>
      </c>
      <c r="N339" s="745">
        <f>SUM($AN$71:$AN$72)*M339</f>
        <v>0</v>
      </c>
      <c r="O339" s="363"/>
      <c r="P339" s="288"/>
      <c r="W339" s="362"/>
    </row>
    <row r="340" spans="2:24" s="173" customFormat="1" ht="18.600000000000001" hidden="1" thickBot="1">
      <c r="B340" s="364" t="s">
        <v>182</v>
      </c>
      <c r="D340" s="3110" t="s">
        <v>1033</v>
      </c>
      <c r="E340" s="3111"/>
      <c r="F340" s="372">
        <f>SUM(F335:F339)</f>
        <v>10</v>
      </c>
      <c r="G340" s="363"/>
      <c r="H340" s="363"/>
      <c r="I340" s="363"/>
      <c r="J340" s="363"/>
      <c r="K340" s="363"/>
      <c r="L340" s="401" t="s">
        <v>1034</v>
      </c>
      <c r="M340" s="402">
        <v>125000</v>
      </c>
      <c r="N340" s="745">
        <f>SUM($AN$73:$AN$74)*M340</f>
        <v>0</v>
      </c>
      <c r="O340" s="363"/>
      <c r="P340" s="288"/>
      <c r="W340" s="362"/>
    </row>
    <row r="341" spans="2:24" s="173" customFormat="1" ht="18" hidden="1">
      <c r="B341" s="364" t="s">
        <v>184</v>
      </c>
      <c r="D341" s="363"/>
      <c r="E341" s="365"/>
      <c r="F341" s="365"/>
      <c r="G341" s="363"/>
      <c r="H341" s="363"/>
      <c r="I341" s="363"/>
      <c r="J341" s="363"/>
      <c r="K341" s="363"/>
      <c r="L341" s="401" t="s">
        <v>1035</v>
      </c>
      <c r="M341" s="402">
        <v>200000</v>
      </c>
      <c r="N341" s="745">
        <f>SUM($AN$75:$AN$76)*M341</f>
        <v>0</v>
      </c>
      <c r="O341" s="363"/>
      <c r="P341" s="288"/>
      <c r="W341" s="362"/>
    </row>
    <row r="342" spans="2:24" s="173" customFormat="1" ht="18.600000000000001" hidden="1" thickBot="1">
      <c r="B342" s="364" t="s">
        <v>173</v>
      </c>
      <c r="D342" s="363"/>
      <c r="E342" s="365"/>
      <c r="F342" s="365"/>
      <c r="G342" s="363"/>
      <c r="H342" s="363"/>
      <c r="I342" s="363"/>
      <c r="J342" s="363"/>
      <c r="K342" s="363"/>
      <c r="L342" s="401" t="s">
        <v>1036</v>
      </c>
      <c r="M342" s="402">
        <v>235000</v>
      </c>
      <c r="N342" s="745">
        <f>SUM($AN$77:$AN$79)*M342</f>
        <v>0</v>
      </c>
      <c r="O342" s="363"/>
      <c r="P342" s="288"/>
      <c r="W342" s="362"/>
    </row>
    <row r="343" spans="2:24" s="173" customFormat="1" ht="18.600000000000001" hidden="1" thickBot="1">
      <c r="B343" s="364" t="s">
        <v>175</v>
      </c>
      <c r="D343" s="3112" t="s">
        <v>1037</v>
      </c>
      <c r="E343" s="3113"/>
      <c r="F343" s="3113"/>
      <c r="G343" s="3113"/>
      <c r="H343" s="3113"/>
      <c r="I343" s="3114"/>
      <c r="J343" s="363"/>
      <c r="K343" s="363"/>
      <c r="L343" s="401" t="s">
        <v>1038</v>
      </c>
      <c r="M343" s="402">
        <v>275000</v>
      </c>
      <c r="N343" s="745">
        <f>SUM($AN$80:$AN$83)*M343</f>
        <v>0</v>
      </c>
      <c r="O343" s="363"/>
      <c r="P343" s="288"/>
      <c r="W343" s="362"/>
    </row>
    <row r="344" spans="2:24" s="173" customFormat="1" ht="18.600000000000001" hidden="1" thickBot="1">
      <c r="B344" s="364" t="s">
        <v>177</v>
      </c>
      <c r="D344" s="374" t="s">
        <v>1039</v>
      </c>
      <c r="E344" s="375" t="s">
        <v>1040</v>
      </c>
      <c r="F344" s="376" t="s">
        <v>1041</v>
      </c>
      <c r="G344" s="376" t="s">
        <v>1042</v>
      </c>
      <c r="H344" s="377" t="s">
        <v>877</v>
      </c>
      <c r="I344" s="378" t="s">
        <v>1043</v>
      </c>
      <c r="J344" s="363"/>
      <c r="K344" s="363"/>
      <c r="L344" s="403" t="s">
        <v>1044</v>
      </c>
      <c r="M344" s="404">
        <v>320000</v>
      </c>
      <c r="N344" s="747">
        <f>SUM($AN$84:$AN$90)*M344</f>
        <v>0</v>
      </c>
      <c r="O344" s="288"/>
    </row>
    <row r="345" spans="2:24" s="173" customFormat="1" ht="18.600000000000001" hidden="1" thickBot="1">
      <c r="B345" s="364" t="s">
        <v>189</v>
      </c>
      <c r="D345" s="379">
        <v>1</v>
      </c>
      <c r="E345" s="1945">
        <v>100</v>
      </c>
      <c r="F345" s="380">
        <v>10469</v>
      </c>
      <c r="G345" s="380">
        <v>7161</v>
      </c>
      <c r="H345" s="381">
        <f>F345+G345</f>
        <v>17630</v>
      </c>
      <c r="I345" s="740">
        <f>SUM(AN60:AN62)*H345</f>
        <v>0</v>
      </c>
      <c r="J345" s="363"/>
      <c r="K345" s="363"/>
      <c r="N345" s="761">
        <f>SUM(N335:N344)</f>
        <v>120968</v>
      </c>
      <c r="O345" s="288"/>
    </row>
    <row r="346" spans="2:24" s="173" customFormat="1" ht="18" hidden="1">
      <c r="B346" s="364" t="s">
        <v>22</v>
      </c>
      <c r="D346" s="382">
        <v>2</v>
      </c>
      <c r="E346" s="1922">
        <v>125</v>
      </c>
      <c r="F346" s="383">
        <v>11385</v>
      </c>
      <c r="G346" s="383">
        <v>7161</v>
      </c>
      <c r="H346" s="384">
        <f t="shared" ref="H346:H352" si="80">F346+G346</f>
        <v>18546</v>
      </c>
      <c r="I346" s="741">
        <f>SUM(AN63:AN65)*H346</f>
        <v>37092</v>
      </c>
      <c r="J346" s="363"/>
      <c r="K346" s="363"/>
      <c r="L346" s="363"/>
      <c r="M346" s="363"/>
      <c r="N346" s="363"/>
      <c r="O346" s="288"/>
    </row>
    <row r="347" spans="2:24" s="173" customFormat="1" ht="18" hidden="1">
      <c r="B347" s="364" t="s">
        <v>179</v>
      </c>
      <c r="D347" s="382">
        <v>3</v>
      </c>
      <c r="E347" s="1922">
        <v>200</v>
      </c>
      <c r="F347" s="383">
        <v>26635</v>
      </c>
      <c r="G347" s="383">
        <v>10075</v>
      </c>
      <c r="H347" s="384">
        <f t="shared" si="80"/>
        <v>36710</v>
      </c>
      <c r="I347" s="741">
        <f>SUM(AN66:AN67)*H347</f>
        <v>0</v>
      </c>
      <c r="J347" s="363"/>
      <c r="K347" s="363"/>
      <c r="L347" s="363"/>
      <c r="M347" s="363"/>
      <c r="N347" s="363"/>
      <c r="O347" s="288"/>
    </row>
    <row r="348" spans="2:24" s="173" customFormat="1" ht="18" hidden="1">
      <c r="B348" s="364" t="s">
        <v>181</v>
      </c>
      <c r="D348" s="382">
        <v>4</v>
      </c>
      <c r="E348" s="1922">
        <v>250</v>
      </c>
      <c r="F348" s="383">
        <v>30965</v>
      </c>
      <c r="G348" s="383">
        <v>10075</v>
      </c>
      <c r="H348" s="384">
        <f t="shared" si="80"/>
        <v>41040</v>
      </c>
      <c r="I348" s="741">
        <f>SUM(AN68:AN70)*H348</f>
        <v>0</v>
      </c>
      <c r="J348" s="363"/>
      <c r="K348" s="363"/>
      <c r="L348" s="363"/>
      <c r="M348" s="363"/>
      <c r="N348" s="363"/>
      <c r="O348" s="288"/>
    </row>
    <row r="349" spans="2:24" s="173" customFormat="1" ht="18.600000000000001" hidden="1" thickBot="1">
      <c r="B349" s="364" t="s">
        <v>183</v>
      </c>
      <c r="D349" s="382">
        <v>5</v>
      </c>
      <c r="E349" s="1922">
        <v>320</v>
      </c>
      <c r="F349" s="383">
        <v>43775</v>
      </c>
      <c r="G349" s="383">
        <v>14102</v>
      </c>
      <c r="H349" s="384">
        <f t="shared" si="80"/>
        <v>57877</v>
      </c>
      <c r="I349" s="741">
        <v>0</v>
      </c>
      <c r="J349" s="363"/>
      <c r="K349" s="363"/>
      <c r="L349" s="363"/>
      <c r="M349" s="363"/>
      <c r="N349" s="363"/>
      <c r="O349" s="288"/>
    </row>
    <row r="350" spans="2:24" s="173" customFormat="1" ht="21.6" hidden="1" thickBot="1">
      <c r="B350" s="364" t="s">
        <v>185</v>
      </c>
      <c r="D350" s="382">
        <v>6</v>
      </c>
      <c r="E350" s="1922">
        <v>400</v>
      </c>
      <c r="F350" s="383">
        <v>55578</v>
      </c>
      <c r="G350" s="383">
        <v>15659</v>
      </c>
      <c r="H350" s="384">
        <f t="shared" si="80"/>
        <v>71237</v>
      </c>
      <c r="I350" s="741">
        <f>SUM(AN67:AN68)*H350</f>
        <v>0</v>
      </c>
      <c r="J350" s="363"/>
      <c r="K350" s="363"/>
      <c r="L350" s="3107" t="s">
        <v>1016</v>
      </c>
      <c r="M350" s="3108"/>
      <c r="N350" s="3109"/>
      <c r="O350" s="288"/>
    </row>
    <row r="351" spans="2:24" s="173" customFormat="1" ht="21.6" hidden="1" thickBot="1">
      <c r="B351" s="364" t="s">
        <v>186</v>
      </c>
      <c r="D351" s="382">
        <v>7</v>
      </c>
      <c r="E351" s="1922">
        <v>500</v>
      </c>
      <c r="F351" s="383">
        <v>68721</v>
      </c>
      <c r="G351" s="383">
        <v>15659</v>
      </c>
      <c r="H351" s="384">
        <f t="shared" si="80"/>
        <v>84380</v>
      </c>
      <c r="I351" s="741">
        <f>SUM(AN69:AN70)*H351</f>
        <v>0</v>
      </c>
      <c r="J351" s="363"/>
      <c r="K351" s="363"/>
      <c r="L351" s="722" t="s">
        <v>1017</v>
      </c>
      <c r="M351" s="723" t="s">
        <v>1018</v>
      </c>
      <c r="N351" s="724" t="s">
        <v>1019</v>
      </c>
      <c r="O351" s="288"/>
    </row>
    <row r="352" spans="2:24" s="173" customFormat="1" ht="18" hidden="1">
      <c r="B352" s="364" t="s">
        <v>193</v>
      </c>
      <c r="D352" s="382">
        <v>8</v>
      </c>
      <c r="E352" s="1922" t="s">
        <v>1045</v>
      </c>
      <c r="F352" s="383">
        <v>99032</v>
      </c>
      <c r="G352" s="383">
        <v>21816</v>
      </c>
      <c r="H352" s="384">
        <f t="shared" si="80"/>
        <v>120848</v>
      </c>
      <c r="I352" s="741">
        <f>SUM(AN71:AN72)*H352</f>
        <v>0</v>
      </c>
      <c r="J352" s="363"/>
      <c r="K352" s="363"/>
      <c r="L352" s="725" t="s">
        <v>1023</v>
      </c>
      <c r="M352" s="366">
        <f>(1+1+1)</f>
        <v>3</v>
      </c>
      <c r="N352" s="367">
        <f>SUM(AN60:AN62)*M352</f>
        <v>0</v>
      </c>
      <c r="O352" s="288"/>
    </row>
    <row r="353" spans="2:15" s="173" customFormat="1" ht="18.600000000000001" hidden="1" thickBot="1">
      <c r="B353" s="364" t="s">
        <v>194</v>
      </c>
      <c r="D353" s="385">
        <v>9</v>
      </c>
      <c r="E353" s="1946" t="s">
        <v>1046</v>
      </c>
      <c r="F353" s="386">
        <v>140414</v>
      </c>
      <c r="G353" s="386">
        <v>33657</v>
      </c>
      <c r="H353" s="387">
        <f>F353+G353</f>
        <v>174071</v>
      </c>
      <c r="I353" s="742">
        <f>SUM(AN73:AN92)*H353</f>
        <v>0</v>
      </c>
      <c r="J353" s="363"/>
      <c r="K353" s="363"/>
      <c r="L353" s="726" t="s">
        <v>1025</v>
      </c>
      <c r="M353" s="368">
        <f>(2+1+2)</f>
        <v>5</v>
      </c>
      <c r="N353" s="369">
        <f>SUM(AN63:AN64)*M353</f>
        <v>10</v>
      </c>
      <c r="O353" s="288"/>
    </row>
    <row r="354" spans="2:15" s="173" customFormat="1" ht="18.600000000000001" hidden="1" thickBot="1">
      <c r="B354" s="364" t="s">
        <v>187</v>
      </c>
      <c r="I354" s="743">
        <f>SUM(I345:I353)</f>
        <v>37092</v>
      </c>
      <c r="J354" s="363"/>
      <c r="K354" s="363"/>
      <c r="L354" s="727" t="s">
        <v>1027</v>
      </c>
      <c r="M354" s="368">
        <f>(2+2+2)</f>
        <v>6</v>
      </c>
      <c r="N354" s="369">
        <f>SUM(AN66:AN72)*M354</f>
        <v>0</v>
      </c>
      <c r="O354" s="288"/>
    </row>
    <row r="355" spans="2:15" s="173" customFormat="1" ht="18" hidden="1">
      <c r="B355" s="364" t="s">
        <v>188</v>
      </c>
      <c r="D355" s="363"/>
      <c r="E355" s="363"/>
      <c r="F355" s="363"/>
      <c r="G355" s="363"/>
      <c r="H355" s="363"/>
      <c r="I355" s="363"/>
      <c r="J355" s="363"/>
      <c r="K355" s="363"/>
      <c r="L355" s="727" t="s">
        <v>1029</v>
      </c>
      <c r="M355" s="368">
        <f>(4+4+4)</f>
        <v>12</v>
      </c>
      <c r="N355" s="369">
        <f>SUM(AN73:AN83)*M355</f>
        <v>0</v>
      </c>
      <c r="O355" s="288"/>
    </row>
    <row r="356" spans="2:15" s="173" customFormat="1" ht="18.600000000000001" hidden="1" thickBot="1">
      <c r="B356" s="364" t="s">
        <v>190</v>
      </c>
      <c r="D356" s="363"/>
      <c r="E356" s="363"/>
      <c r="F356" s="363"/>
      <c r="G356" s="363"/>
      <c r="H356" s="363"/>
      <c r="I356" s="363"/>
      <c r="J356" s="363"/>
      <c r="K356" s="363"/>
      <c r="L356" s="728" t="s">
        <v>1031</v>
      </c>
      <c r="M356" s="370">
        <f>(6+6+6)</f>
        <v>18</v>
      </c>
      <c r="N356" s="371">
        <f>SUM(AN84:AN92)*M356</f>
        <v>0</v>
      </c>
      <c r="O356" s="288"/>
    </row>
    <row r="357" spans="2:15" s="173" customFormat="1" ht="18.600000000000001" hidden="1" thickBot="1">
      <c r="B357" s="364" t="s">
        <v>195</v>
      </c>
      <c r="D357" s="363"/>
      <c r="E357" s="363"/>
      <c r="F357" s="363"/>
      <c r="G357" s="363"/>
      <c r="H357" s="363"/>
      <c r="I357" s="363"/>
      <c r="J357" s="363"/>
      <c r="K357" s="363"/>
      <c r="L357" s="3110" t="s">
        <v>1033</v>
      </c>
      <c r="M357" s="3111"/>
      <c r="N357" s="372">
        <f>SUM(N352:N356)+Q199*3+Q200*6</f>
        <v>13</v>
      </c>
      <c r="O357" s="288"/>
    </row>
    <row r="358" spans="2:15" s="173" customFormat="1" ht="21.6" hidden="1" thickBot="1">
      <c r="B358" s="364" t="s">
        <v>196</v>
      </c>
      <c r="E358" s="3116" t="s">
        <v>1047</v>
      </c>
      <c r="F358" s="3117"/>
      <c r="G358" s="3117"/>
      <c r="H358" s="3117"/>
      <c r="I358" s="3118"/>
      <c r="J358" s="363"/>
      <c r="K358" s="363"/>
      <c r="L358" s="363"/>
      <c r="M358" s="363"/>
      <c r="N358" s="363"/>
      <c r="O358" s="288"/>
    </row>
    <row r="359" spans="2:15" s="173" customFormat="1" ht="21.6" hidden="1" thickBot="1">
      <c r="B359" s="364" t="s">
        <v>197</v>
      </c>
      <c r="D359" s="763" t="s">
        <v>1048</v>
      </c>
      <c r="E359" s="388" t="s">
        <v>1020</v>
      </c>
      <c r="F359" s="389" t="s">
        <v>1049</v>
      </c>
      <c r="G359" s="390" t="s">
        <v>1050</v>
      </c>
      <c r="H359" s="378" t="s">
        <v>1022</v>
      </c>
      <c r="I359" s="378" t="s">
        <v>1022</v>
      </c>
      <c r="J359" s="363"/>
      <c r="K359" s="3116" t="s">
        <v>1051</v>
      </c>
      <c r="L359" s="3117"/>
      <c r="M359" s="3117"/>
      <c r="N359" s="3117"/>
      <c r="O359" s="3118"/>
    </row>
    <row r="360" spans="2:15" s="173" customFormat="1" ht="18.600000000000001" hidden="1" thickBot="1">
      <c r="B360" s="364" t="s">
        <v>191</v>
      </c>
      <c r="D360" s="3040" t="s">
        <v>1052</v>
      </c>
      <c r="E360" s="379">
        <v>100</v>
      </c>
      <c r="F360" s="391">
        <f>1.2*9300</f>
        <v>11160</v>
      </c>
      <c r="G360" s="392">
        <f>1.2*40000</f>
        <v>48000</v>
      </c>
      <c r="H360" s="393">
        <f>F360+G360</f>
        <v>59160</v>
      </c>
      <c r="I360" s="744">
        <f>SUM($AN$60:$AN$62)*H360</f>
        <v>0</v>
      </c>
      <c r="J360" s="363"/>
      <c r="K360" s="1930" t="s">
        <v>1048</v>
      </c>
      <c r="L360" s="1924" t="s">
        <v>1039</v>
      </c>
      <c r="M360" s="1925" t="s">
        <v>1040</v>
      </c>
      <c r="N360" s="1926" t="s">
        <v>1053</v>
      </c>
      <c r="O360" s="1926" t="s">
        <v>1053</v>
      </c>
    </row>
    <row r="361" spans="2:15" s="173" customFormat="1" ht="18" hidden="1">
      <c r="B361" s="364" t="s">
        <v>198</v>
      </c>
      <c r="D361" s="3041"/>
      <c r="E361" s="382">
        <v>200</v>
      </c>
      <c r="F361" s="394">
        <f>1.2*17500</f>
        <v>21000</v>
      </c>
      <c r="G361" s="395">
        <f>1.2*55000</f>
        <v>66000</v>
      </c>
      <c r="H361" s="396">
        <f t="shared" ref="H361:H373" si="81">F361+G361</f>
        <v>87000</v>
      </c>
      <c r="I361" s="745">
        <f>SUM($AN$63:$AN$65)*H361</f>
        <v>174000</v>
      </c>
      <c r="J361" s="363"/>
      <c r="K361" s="3040" t="s">
        <v>1052</v>
      </c>
      <c r="L361" s="379">
        <v>1</v>
      </c>
      <c r="M361" s="1945">
        <v>200</v>
      </c>
      <c r="N361" s="1927">
        <v>37000</v>
      </c>
      <c r="O361" s="1927">
        <f>SUM(AN60:AN63)*N361</f>
        <v>74000</v>
      </c>
    </row>
    <row r="362" spans="2:15" s="173" customFormat="1" ht="18" hidden="1">
      <c r="B362" s="364" t="s">
        <v>192</v>
      </c>
      <c r="D362" s="3041"/>
      <c r="E362" s="382">
        <v>320</v>
      </c>
      <c r="F362" s="394">
        <f>1.2*26500</f>
        <v>31800</v>
      </c>
      <c r="G362" s="395">
        <f>1.2*60000</f>
        <v>72000</v>
      </c>
      <c r="H362" s="396">
        <f t="shared" si="81"/>
        <v>103800</v>
      </c>
      <c r="I362" s="745">
        <f>SUM($AN$63:$AN$65)*H362</f>
        <v>207600</v>
      </c>
      <c r="J362" s="363"/>
      <c r="K362" s="3041"/>
      <c r="L362" s="382">
        <v>2</v>
      </c>
      <c r="M362" s="1922">
        <v>255</v>
      </c>
      <c r="N362" s="1928">
        <v>42000</v>
      </c>
      <c r="O362" s="1928">
        <f>AN64*N362</f>
        <v>0</v>
      </c>
    </row>
    <row r="363" spans="2:15" s="173" customFormat="1" ht="18" hidden="1">
      <c r="B363" s="364" t="s">
        <v>199</v>
      </c>
      <c r="D363" s="3041"/>
      <c r="E363" s="382">
        <v>400</v>
      </c>
      <c r="F363" s="394">
        <f>1.2*28500</f>
        <v>34200</v>
      </c>
      <c r="G363" s="395">
        <f>1.15*70000</f>
        <v>80500</v>
      </c>
      <c r="H363" s="396">
        <f t="shared" si="81"/>
        <v>114700</v>
      </c>
      <c r="I363" s="745">
        <f>SUM($AN$66:$AN$68)*H363</f>
        <v>0</v>
      </c>
      <c r="J363" s="363"/>
      <c r="K363" s="3041"/>
      <c r="L363" s="382">
        <v>3</v>
      </c>
      <c r="M363" s="1922">
        <v>235</v>
      </c>
      <c r="N363" s="1928">
        <v>60000</v>
      </c>
      <c r="O363" s="1928">
        <f>AN65*N363</f>
        <v>0</v>
      </c>
    </row>
    <row r="364" spans="2:15" s="173" customFormat="1" ht="18" hidden="1">
      <c r="B364" s="364" t="s">
        <v>200</v>
      </c>
      <c r="D364" s="3041"/>
      <c r="E364" s="382">
        <v>500</v>
      </c>
      <c r="F364" s="394">
        <f>1.2*29500</f>
        <v>35400</v>
      </c>
      <c r="G364" s="395">
        <f>1.15*90000</f>
        <v>103499.99999999999</v>
      </c>
      <c r="H364" s="396">
        <f t="shared" si="81"/>
        <v>138900</v>
      </c>
      <c r="I364" s="745">
        <f>SUM($AN$69:$AN$70)*H364</f>
        <v>0</v>
      </c>
      <c r="J364" s="363"/>
      <c r="K364" s="3041"/>
      <c r="L364" s="382">
        <v>4</v>
      </c>
      <c r="M364" s="1922">
        <v>400</v>
      </c>
      <c r="N364" s="1928">
        <v>78000</v>
      </c>
      <c r="O364" s="1928">
        <f>SUM(AN66)*N364</f>
        <v>0</v>
      </c>
    </row>
    <row r="365" spans="2:15" s="173" customFormat="1" ht="18" hidden="1">
      <c r="B365" s="364" t="s">
        <v>1054</v>
      </c>
      <c r="D365" s="3041"/>
      <c r="E365" s="382">
        <v>630</v>
      </c>
      <c r="F365" s="394">
        <f>1.2*31800</f>
        <v>38160</v>
      </c>
      <c r="G365" s="395">
        <f>1.15*100000</f>
        <v>114999.99999999999</v>
      </c>
      <c r="H365" s="396">
        <f t="shared" si="81"/>
        <v>153160</v>
      </c>
      <c r="I365" s="741">
        <f>SUM($AN$71:$AN$72)*H365</f>
        <v>0</v>
      </c>
      <c r="J365" s="363"/>
      <c r="K365" s="3041"/>
      <c r="L365" s="382">
        <v>5</v>
      </c>
      <c r="M365" s="1922">
        <v>560</v>
      </c>
      <c r="N365" s="1928">
        <v>98000</v>
      </c>
      <c r="O365" s="1928">
        <f>N365*(AN67)</f>
        <v>0</v>
      </c>
    </row>
    <row r="366" spans="2:15" s="173" customFormat="1" ht="18.600000000000001" hidden="1" thickBot="1">
      <c r="D366" s="3042"/>
      <c r="E366" s="382">
        <v>800</v>
      </c>
      <c r="F366" s="394">
        <f>1.2*65270</f>
        <v>78324</v>
      </c>
      <c r="G366" s="395">
        <f>1.2*135000</f>
        <v>162000</v>
      </c>
      <c r="H366" s="396">
        <f t="shared" si="81"/>
        <v>240324</v>
      </c>
      <c r="I366" s="745">
        <f>SUM($AN$73:$AN$74)*H366</f>
        <v>0</v>
      </c>
      <c r="J366" s="363"/>
      <c r="K366" s="3042"/>
      <c r="L366" s="382">
        <v>6</v>
      </c>
      <c r="M366" s="1922">
        <v>600</v>
      </c>
      <c r="N366" s="1928">
        <v>109000</v>
      </c>
      <c r="O366" s="1928">
        <f>SUM(AN68)*N366</f>
        <v>0</v>
      </c>
    </row>
    <row r="367" spans="2:15" s="173" customFormat="1" ht="18" hidden="1">
      <c r="D367" s="3040" t="s">
        <v>1055</v>
      </c>
      <c r="E367" s="382">
        <v>1000</v>
      </c>
      <c r="F367" s="394">
        <f>1.2*130000</f>
        <v>156000</v>
      </c>
      <c r="G367" s="395">
        <f>280000</f>
        <v>280000</v>
      </c>
      <c r="H367" s="396">
        <f t="shared" si="81"/>
        <v>436000</v>
      </c>
      <c r="I367" s="745">
        <f>SUM($AN$75)*H367</f>
        <v>0</v>
      </c>
      <c r="J367" s="363"/>
      <c r="K367" s="3040" t="s">
        <v>1055</v>
      </c>
      <c r="L367" s="382">
        <v>7</v>
      </c>
      <c r="M367" s="1922">
        <v>800</v>
      </c>
      <c r="N367" s="1928">
        <v>200000</v>
      </c>
      <c r="O367" s="1928">
        <f>SUM(AN69:AN71)*N367</f>
        <v>0</v>
      </c>
    </row>
    <row r="368" spans="2:15" s="173" customFormat="1" ht="18" hidden="1">
      <c r="B368" s="373" t="s">
        <v>1056</v>
      </c>
      <c r="D368" s="3041"/>
      <c r="E368" s="382" t="s">
        <v>1057</v>
      </c>
      <c r="F368" s="394">
        <f>1.1*220000</f>
        <v>242000.00000000003</v>
      </c>
      <c r="G368" s="395">
        <f>450000</f>
        <v>450000</v>
      </c>
      <c r="H368" s="396">
        <f t="shared" si="81"/>
        <v>692000</v>
      </c>
      <c r="I368" s="745">
        <f>SUM($AN$76:$AN$77)*H368</f>
        <v>0</v>
      </c>
      <c r="J368" s="363"/>
      <c r="K368" s="3041"/>
      <c r="L368" s="382">
        <v>8</v>
      </c>
      <c r="M368" s="1922">
        <v>1000</v>
      </c>
      <c r="N368" s="1928">
        <v>200000</v>
      </c>
      <c r="O368" s="1928">
        <f>AN72*N368</f>
        <v>0</v>
      </c>
    </row>
    <row r="369" spans="2:15" s="173" customFormat="1" ht="18" hidden="1">
      <c r="B369" s="364" t="s">
        <v>22</v>
      </c>
      <c r="D369" s="3041"/>
      <c r="E369" s="382">
        <v>1600</v>
      </c>
      <c r="F369" s="394">
        <f>1.1*240000</f>
        <v>264000</v>
      </c>
      <c r="G369" s="395">
        <v>500000</v>
      </c>
      <c r="H369" s="396">
        <f t="shared" si="81"/>
        <v>764000</v>
      </c>
      <c r="I369" s="745">
        <f>SUM($AN$78:$AN$80)*H369</f>
        <v>0</v>
      </c>
      <c r="J369" s="363"/>
      <c r="K369" s="3041"/>
      <c r="L369" s="382">
        <v>9</v>
      </c>
      <c r="M369" s="1922">
        <v>1500</v>
      </c>
      <c r="N369" s="1928">
        <v>250000</v>
      </c>
      <c r="O369" s="1928">
        <f>SUM(AN73:AN75)*N369</f>
        <v>0</v>
      </c>
    </row>
    <row r="370" spans="2:15" s="173" customFormat="1" ht="18" hidden="1">
      <c r="B370" s="364" t="s">
        <v>194</v>
      </c>
      <c r="D370" s="3041"/>
      <c r="E370" s="382">
        <v>2000</v>
      </c>
      <c r="F370" s="394">
        <f>1.2*260000</f>
        <v>312000</v>
      </c>
      <c r="G370" s="395">
        <v>550000</v>
      </c>
      <c r="H370" s="396">
        <f t="shared" si="81"/>
        <v>862000</v>
      </c>
      <c r="I370" s="745">
        <f>SUM($AN$81:$AN$83)*H370</f>
        <v>0</v>
      </c>
      <c r="J370" s="363"/>
      <c r="K370" s="3041"/>
      <c r="L370" s="382">
        <v>10</v>
      </c>
      <c r="M370" s="1922">
        <v>2000</v>
      </c>
      <c r="N370" s="1928">
        <v>300000</v>
      </c>
      <c r="O370" s="1928">
        <f>SUM(AN76:AN80)*N370</f>
        <v>0</v>
      </c>
    </row>
    <row r="371" spans="2:15" s="173" customFormat="1" ht="18.600000000000001" hidden="1" thickBot="1">
      <c r="B371" s="364" t="s">
        <v>178</v>
      </c>
      <c r="D371" s="3041"/>
      <c r="E371" s="382">
        <v>2500</v>
      </c>
      <c r="F371" s="394">
        <f>1.2*285000</f>
        <v>342000</v>
      </c>
      <c r="G371" s="395">
        <v>580000</v>
      </c>
      <c r="H371" s="396">
        <f t="shared" si="81"/>
        <v>922000</v>
      </c>
      <c r="I371" s="745">
        <f>SUM($AN$84:$AN$87)*H371</f>
        <v>0</v>
      </c>
      <c r="J371" s="363"/>
      <c r="K371" s="3042"/>
      <c r="L371" s="385">
        <v>11</v>
      </c>
      <c r="M371" s="1946" t="s">
        <v>1058</v>
      </c>
      <c r="N371" s="1929">
        <v>380000</v>
      </c>
      <c r="O371" s="1929">
        <f>SUM(AN81:AN92)*N371</f>
        <v>0</v>
      </c>
    </row>
    <row r="372" spans="2:15" s="173" customFormat="1" ht="18.600000000000001" hidden="1" thickBot="1">
      <c r="B372" s="364" t="s">
        <v>180</v>
      </c>
      <c r="D372" s="3041"/>
      <c r="E372" s="382">
        <v>3200</v>
      </c>
      <c r="F372" s="394">
        <f>1.2*320000</f>
        <v>384000</v>
      </c>
      <c r="G372" s="395">
        <v>610000</v>
      </c>
      <c r="H372" s="396">
        <f t="shared" si="81"/>
        <v>994000</v>
      </c>
      <c r="I372" s="745">
        <f>SUM($AN$89:$AN$92)*H372</f>
        <v>0</v>
      </c>
      <c r="J372" s="363"/>
      <c r="K372" s="363"/>
      <c r="L372" s="363"/>
      <c r="M372" s="363"/>
      <c r="N372" s="363"/>
      <c r="O372" s="761">
        <f>SUM(O361:O371)</f>
        <v>74000</v>
      </c>
    </row>
    <row r="373" spans="2:15" s="173" customFormat="1" ht="18.600000000000001" hidden="1" thickBot="1">
      <c r="B373" s="364" t="s">
        <v>200</v>
      </c>
      <c r="D373" s="3042"/>
      <c r="E373" s="385">
        <v>4000</v>
      </c>
      <c r="F373" s="397">
        <f>1.2*330000</f>
        <v>396000</v>
      </c>
      <c r="G373" s="762">
        <v>640000</v>
      </c>
      <c r="H373" s="398">
        <f t="shared" si="81"/>
        <v>1036000</v>
      </c>
      <c r="I373" s="746"/>
      <c r="J373" s="363"/>
      <c r="K373" s="363"/>
      <c r="L373" s="363"/>
      <c r="M373" s="363"/>
      <c r="N373" s="363"/>
      <c r="O373" s="288"/>
    </row>
    <row r="374" spans="2:15" s="173" customFormat="1" ht="18.600000000000001" hidden="1" thickBot="1">
      <c r="B374" s="364" t="s">
        <v>172</v>
      </c>
      <c r="D374" s="716"/>
      <c r="I374" s="761">
        <f>SUM(I360:I373)</f>
        <v>381600</v>
      </c>
      <c r="J374" s="363"/>
      <c r="K374" s="363"/>
      <c r="L374" s="363"/>
      <c r="M374" s="363"/>
      <c r="N374" s="363"/>
      <c r="O374" s="288"/>
    </row>
    <row r="375" spans="2:15" s="173" customFormat="1" ht="18" hidden="1">
      <c r="B375" s="364" t="s">
        <v>193</v>
      </c>
      <c r="D375" s="363"/>
      <c r="E375" s="363"/>
      <c r="F375" s="363"/>
      <c r="G375" s="363"/>
      <c r="H375" s="363"/>
      <c r="I375" s="363"/>
      <c r="J375" s="363"/>
      <c r="K375" s="363"/>
      <c r="L375" s="363"/>
      <c r="M375" s="363"/>
      <c r="N375" s="363"/>
      <c r="O375" s="288"/>
    </row>
    <row r="376" spans="2:15" s="173" customFormat="1" ht="18" hidden="1">
      <c r="B376" s="364" t="s">
        <v>169</v>
      </c>
      <c r="D376" s="363"/>
      <c r="E376" s="363"/>
      <c r="F376" s="363"/>
      <c r="G376" s="363"/>
      <c r="H376" s="363"/>
      <c r="I376" s="363"/>
      <c r="J376" s="363"/>
      <c r="K376" s="363"/>
      <c r="L376" s="363"/>
      <c r="M376" s="363"/>
      <c r="N376" s="363"/>
      <c r="O376" s="288"/>
    </row>
    <row r="377" spans="2:15" s="173" customFormat="1" ht="18" hidden="1">
      <c r="B377" s="364" t="s">
        <v>190</v>
      </c>
      <c r="D377" s="173" t="s">
        <v>1059</v>
      </c>
      <c r="E377" s="173">
        <f>'Site Vist fomat  (Design)'!B26</f>
        <v>2</v>
      </c>
      <c r="M377" s="363"/>
      <c r="N377" s="363"/>
      <c r="O377" s="288"/>
    </row>
    <row r="378" spans="2:15" s="173" customFormat="1" ht="18.600000000000001" hidden="1" thickBot="1">
      <c r="B378" s="364" t="s">
        <v>189</v>
      </c>
      <c r="M378" s="363"/>
      <c r="N378" s="363"/>
      <c r="O378" s="288"/>
    </row>
    <row r="379" spans="2:15" s="173" customFormat="1" ht="18.600000000000001" hidden="1" thickBot="1">
      <c r="D379" s="1070" t="s">
        <v>1060</v>
      </c>
      <c r="E379" s="1071"/>
      <c r="F379" s="720" cm="1">
        <f t="array" ref="F379">_xlfn.IFS(F22&gt;594,(S7/1000)*7500,F22&lt;595,(S7/1000)*5500)</f>
        <v>0</v>
      </c>
      <c r="M379" s="363"/>
      <c r="N379" s="363"/>
      <c r="O379" s="288"/>
    </row>
    <row r="380" spans="2:15" s="173" customFormat="1" ht="18" hidden="1">
      <c r="O380" s="288"/>
    </row>
    <row r="381" spans="2:15" s="173" customFormat="1" ht="18.600000000000001" hidden="1" thickBot="1">
      <c r="B381" s="173" t="s">
        <v>12</v>
      </c>
      <c r="O381" s="288"/>
    </row>
    <row r="382" spans="2:15" s="173" customFormat="1" ht="31.8" hidden="1" thickBot="1">
      <c r="B382" s="173" t="s">
        <v>0</v>
      </c>
      <c r="D382" s="405" t="s">
        <v>1061</v>
      </c>
      <c r="E382" s="406" t="s">
        <v>1062</v>
      </c>
      <c r="F382" s="231"/>
      <c r="G382" s="174"/>
      <c r="J382" s="405" t="s">
        <v>1061</v>
      </c>
      <c r="K382" s="406" t="s">
        <v>1062</v>
      </c>
      <c r="L382" s="231"/>
      <c r="M382" s="174"/>
      <c r="O382" s="288"/>
    </row>
    <row r="383" spans="2:15" s="173" customFormat="1" ht="18.600000000000001" hidden="1" thickBot="1">
      <c r="B383" s="173" t="s">
        <v>1063</v>
      </c>
      <c r="D383" s="407">
        <f>G55</f>
        <v>400.52</v>
      </c>
      <c r="E383" s="408">
        <f>'Bidcell BOM (LTS)'!E395</f>
        <v>14115230.595999999</v>
      </c>
      <c r="F383" s="409"/>
      <c r="G383" s="174"/>
      <c r="J383" s="407">
        <v>5009</v>
      </c>
      <c r="K383" s="408">
        <v>181375890</v>
      </c>
      <c r="L383" s="409"/>
      <c r="M383" s="174"/>
      <c r="O383" s="288"/>
    </row>
    <row r="384" spans="2:15" s="173" customFormat="1" ht="18.600000000000001" hidden="1" thickBot="1">
      <c r="B384" s="173" t="s">
        <v>1064</v>
      </c>
      <c r="D384" s="3043" t="s">
        <v>1065</v>
      </c>
      <c r="E384" s="3044"/>
      <c r="F384" s="3044"/>
      <c r="G384" s="3044"/>
      <c r="H384" s="3045"/>
      <c r="J384" s="3043" t="s">
        <v>1065</v>
      </c>
      <c r="K384" s="3044"/>
      <c r="L384" s="3044"/>
      <c r="M384" s="3044"/>
      <c r="N384" s="3045"/>
      <c r="O384" s="288"/>
    </row>
    <row r="385" spans="2:15" s="173" customFormat="1" ht="18" hidden="1">
      <c r="B385" s="173" t="s">
        <v>1066</v>
      </c>
      <c r="D385" s="1094">
        <v>1</v>
      </c>
      <c r="E385" s="1095" t="s">
        <v>1067</v>
      </c>
      <c r="F385" s="1096"/>
      <c r="G385" s="3105">
        <f>D383*E383*1000</f>
        <v>5653432158309.9189</v>
      </c>
      <c r="H385" s="3106"/>
      <c r="J385" s="1094">
        <v>1</v>
      </c>
      <c r="K385" s="1095" t="s">
        <v>1067</v>
      </c>
      <c r="L385" s="1096"/>
      <c r="M385" s="3105">
        <f>J383*K383*1000</f>
        <v>908511833010000</v>
      </c>
      <c r="N385" s="3106"/>
      <c r="O385" s="288"/>
    </row>
    <row r="386" spans="2:15" s="173" customFormat="1" ht="18" hidden="1">
      <c r="B386" s="173" t="s">
        <v>1068</v>
      </c>
      <c r="D386" s="1092">
        <v>2</v>
      </c>
      <c r="E386" s="1083" t="s">
        <v>1069</v>
      </c>
      <c r="F386" s="1084">
        <f>'Input''s from BD(Sales)'!B26</f>
        <v>0</v>
      </c>
      <c r="G386" s="3037">
        <f>G385*F386</f>
        <v>0</v>
      </c>
      <c r="H386" s="3038"/>
      <c r="J386" s="1092">
        <v>2</v>
      </c>
      <c r="K386" s="1083" t="s">
        <v>1069</v>
      </c>
      <c r="L386" s="1084">
        <v>0.1</v>
      </c>
      <c r="M386" s="3037">
        <f>M385*L386</f>
        <v>90851183301000</v>
      </c>
      <c r="N386" s="3038"/>
      <c r="O386" s="288"/>
    </row>
    <row r="387" spans="2:15" s="173" customFormat="1" ht="46.8" hidden="1">
      <c r="B387" s="173" t="s">
        <v>1070</v>
      </c>
      <c r="D387" s="1092">
        <v>3</v>
      </c>
      <c r="E387" s="1085" t="s">
        <v>1071</v>
      </c>
      <c r="F387" s="1086">
        <v>0.25</v>
      </c>
      <c r="G387" s="3037">
        <f>G386*F387</f>
        <v>0</v>
      </c>
      <c r="H387" s="3038"/>
      <c r="J387" s="1092">
        <v>3</v>
      </c>
      <c r="K387" s="1085" t="s">
        <v>1071</v>
      </c>
      <c r="L387" s="1086">
        <v>0.25</v>
      </c>
      <c r="M387" s="3037">
        <f>M386*L387</f>
        <v>22712795825250</v>
      </c>
      <c r="N387" s="3038"/>
      <c r="O387" s="288"/>
    </row>
    <row r="388" spans="2:15" s="173" customFormat="1" ht="31.2" hidden="1">
      <c r="B388" s="173" t="s">
        <v>1072</v>
      </c>
      <c r="D388" s="1092">
        <v>4</v>
      </c>
      <c r="E388" s="1085" t="s">
        <v>1073</v>
      </c>
      <c r="F388" s="1086">
        <v>7.0000000000000007E-2</v>
      </c>
      <c r="G388" s="3037">
        <f>G387*F388</f>
        <v>0</v>
      </c>
      <c r="H388" s="3038"/>
      <c r="J388" s="1092">
        <v>4</v>
      </c>
      <c r="K388" s="1085" t="s">
        <v>1073</v>
      </c>
      <c r="L388" s="1086">
        <v>7.0000000000000007E-2</v>
      </c>
      <c r="M388" s="3037">
        <f>M387*L388</f>
        <v>1589895707767.5002</v>
      </c>
      <c r="N388" s="3038"/>
      <c r="O388" s="288"/>
    </row>
    <row r="389" spans="2:15" s="173" customFormat="1" ht="31.2" hidden="1">
      <c r="D389" s="1092">
        <v>5</v>
      </c>
      <c r="E389" s="1085" t="s">
        <v>1074</v>
      </c>
      <c r="F389" s="1086">
        <v>0.15</v>
      </c>
      <c r="G389" s="3037">
        <f>G387*F389</f>
        <v>0</v>
      </c>
      <c r="H389" s="3038"/>
      <c r="J389" s="1092">
        <v>5</v>
      </c>
      <c r="K389" s="1085" t="s">
        <v>1074</v>
      </c>
      <c r="L389" s="1086">
        <v>0.15</v>
      </c>
      <c r="M389" s="3037">
        <f>M387*L389</f>
        <v>3406919373787.5</v>
      </c>
      <c r="N389" s="3038"/>
      <c r="O389" s="288"/>
    </row>
    <row r="390" spans="2:15" s="173" customFormat="1" ht="18" hidden="1">
      <c r="D390" s="1092">
        <v>6</v>
      </c>
      <c r="E390" s="1087" t="s">
        <v>1075</v>
      </c>
      <c r="F390" s="1088" t="e">
        <f>G390/G387</f>
        <v>#DIV/0!</v>
      </c>
      <c r="G390" s="3037">
        <f>G389-G388</f>
        <v>0</v>
      </c>
      <c r="H390" s="3038"/>
      <c r="J390" s="1092">
        <v>6</v>
      </c>
      <c r="K390" s="1087" t="s">
        <v>1075</v>
      </c>
      <c r="L390" s="1088">
        <f>M390/M387</f>
        <v>7.9999999999999988E-2</v>
      </c>
      <c r="M390" s="3037">
        <f>M389-M388</f>
        <v>1817023666019.9998</v>
      </c>
      <c r="N390" s="3038"/>
      <c r="O390" s="288"/>
    </row>
    <row r="391" spans="2:15" s="173" customFormat="1" ht="18" hidden="1">
      <c r="B391" s="364" t="s">
        <v>178</v>
      </c>
      <c r="D391" s="1092">
        <v>7</v>
      </c>
      <c r="E391" s="1085" t="s">
        <v>1076</v>
      </c>
      <c r="F391" s="1089">
        <v>8.0000000000000002E-3</v>
      </c>
      <c r="G391" s="3037">
        <f>G386*F391</f>
        <v>0</v>
      </c>
      <c r="H391" s="3038"/>
      <c r="J391" s="1092">
        <v>7</v>
      </c>
      <c r="K391" s="1085" t="s">
        <v>1076</v>
      </c>
      <c r="L391" s="1089">
        <v>8.0000000000000002E-3</v>
      </c>
      <c r="M391" s="3037">
        <f>M386*L391</f>
        <v>726809466408</v>
      </c>
      <c r="N391" s="3038"/>
      <c r="O391" s="288"/>
    </row>
    <row r="392" spans="2:15" s="173" customFormat="1" ht="31.2" hidden="1">
      <c r="B392" s="364" t="s">
        <v>194</v>
      </c>
      <c r="D392" s="1092">
        <v>8</v>
      </c>
      <c r="E392" s="1085" t="s">
        <v>1077</v>
      </c>
      <c r="F392" s="1090"/>
      <c r="G392" s="3037">
        <f>G390+G391</f>
        <v>0</v>
      </c>
      <c r="H392" s="3038"/>
      <c r="J392" s="1092">
        <v>8</v>
      </c>
      <c r="K392" s="1085" t="s">
        <v>1077</v>
      </c>
      <c r="L392" s="1090"/>
      <c r="M392" s="3037">
        <f>M390+M391</f>
        <v>2543833132428</v>
      </c>
      <c r="N392" s="3038"/>
      <c r="O392" s="288"/>
    </row>
    <row r="393" spans="2:15" s="173" customFormat="1" ht="47.4" hidden="1" thickBot="1">
      <c r="B393" s="364" t="s">
        <v>188</v>
      </c>
      <c r="D393" s="1092">
        <v>9</v>
      </c>
      <c r="E393" s="1085" t="s">
        <v>1078</v>
      </c>
      <c r="F393" s="1091">
        <f>'Input''s from BD(Sales)'!B27</f>
        <v>0</v>
      </c>
      <c r="G393" s="3037">
        <f>G392*F393</f>
        <v>0</v>
      </c>
      <c r="H393" s="3038"/>
      <c r="J393" s="1098">
        <v>9</v>
      </c>
      <c r="K393" s="1099" t="s">
        <v>1078</v>
      </c>
      <c r="L393" s="1097">
        <v>2</v>
      </c>
      <c r="M393" s="3138">
        <f>M392*L393</f>
        <v>5087666264856</v>
      </c>
      <c r="N393" s="3139"/>
      <c r="O393" s="288"/>
    </row>
    <row r="394" spans="2:15" s="173" customFormat="1" ht="18.600000000000001" hidden="1" thickBot="1">
      <c r="B394" s="364" t="s">
        <v>177</v>
      </c>
      <c r="D394" s="1093">
        <v>10</v>
      </c>
      <c r="E394" s="3143" t="s">
        <v>1079</v>
      </c>
      <c r="F394" s="3143"/>
      <c r="G394" s="3193">
        <f>G393/D383/1000</f>
        <v>0</v>
      </c>
      <c r="H394" s="3194"/>
      <c r="J394" s="1100">
        <v>10</v>
      </c>
      <c r="K394" s="1101" t="s">
        <v>1079</v>
      </c>
      <c r="L394" s="1101"/>
      <c r="M394" s="3186">
        <f>M393/J383/1000</f>
        <v>1015704.9840000001</v>
      </c>
      <c r="N394" s="3187"/>
      <c r="O394" s="288"/>
    </row>
    <row r="395" spans="2:15" s="173" customFormat="1" ht="18" hidden="1">
      <c r="B395" s="364" t="s">
        <v>169</v>
      </c>
      <c r="O395" s="288"/>
    </row>
    <row r="396" spans="2:15" s="173" customFormat="1" ht="18" hidden="1">
      <c r="O396" s="288"/>
    </row>
    <row r="397" spans="2:15" s="173" customFormat="1" ht="18.600000000000001" thickBot="1">
      <c r="O397" s="288"/>
    </row>
    <row r="398" spans="2:15" s="173" customFormat="1" ht="18.600000000000001" thickBot="1">
      <c r="D398" s="2996" t="s">
        <v>1080</v>
      </c>
      <c r="E398" s="3188" t="s">
        <v>1081</v>
      </c>
      <c r="F398" s="3189"/>
      <c r="G398" s="3189"/>
      <c r="H398" s="3190"/>
      <c r="O398" s="288"/>
    </row>
    <row r="399" spans="2:15" s="173" customFormat="1" ht="18">
      <c r="D399" s="2997"/>
      <c r="E399" s="3191" t="s">
        <v>1082</v>
      </c>
      <c r="F399" s="848" t="s">
        <v>1083</v>
      </c>
      <c r="G399" s="849"/>
      <c r="H399" s="850"/>
      <c r="O399" s="288"/>
    </row>
    <row r="400" spans="2:15" s="173" customFormat="1" ht="18.600000000000001" thickBot="1">
      <c r="D400" s="2998"/>
      <c r="E400" s="3192"/>
      <c r="F400" s="851" t="s">
        <v>1084</v>
      </c>
      <c r="G400" s="851" t="s">
        <v>1085</v>
      </c>
      <c r="H400" s="852" t="s">
        <v>387</v>
      </c>
      <c r="O400" s="288"/>
    </row>
    <row r="401" spans="4:42" s="173" customFormat="1" ht="18">
      <c r="D401" s="2993" t="s">
        <v>1086</v>
      </c>
      <c r="E401" s="853" t="s">
        <v>1087</v>
      </c>
      <c r="F401" s="854" t="s">
        <v>1088</v>
      </c>
      <c r="G401" s="854" t="s">
        <v>1089</v>
      </c>
      <c r="H401" s="855" t="s">
        <v>1088</v>
      </c>
      <c r="O401" s="288"/>
    </row>
    <row r="402" spans="4:42" s="173" customFormat="1" ht="18">
      <c r="D402" s="2994"/>
      <c r="E402" s="856" t="s">
        <v>1090</v>
      </c>
      <c r="F402" s="764" t="s">
        <v>1088</v>
      </c>
      <c r="G402" s="764" t="s">
        <v>1089</v>
      </c>
      <c r="H402" s="857" t="s">
        <v>1088</v>
      </c>
      <c r="O402" s="288"/>
    </row>
    <row r="403" spans="4:42" s="173" customFormat="1" ht="18">
      <c r="D403" s="2994"/>
      <c r="E403" s="856" t="s">
        <v>1091</v>
      </c>
      <c r="F403" s="764" t="s">
        <v>1088</v>
      </c>
      <c r="G403" s="764" t="s">
        <v>1089</v>
      </c>
      <c r="H403" s="857" t="s">
        <v>1088</v>
      </c>
      <c r="O403" s="288"/>
    </row>
    <row r="404" spans="4:42" s="173" customFormat="1" ht="18">
      <c r="D404" s="2994"/>
      <c r="E404" s="856" t="s">
        <v>1092</v>
      </c>
      <c r="F404" s="764" t="s">
        <v>1088</v>
      </c>
      <c r="G404" s="764" t="s">
        <v>1089</v>
      </c>
      <c r="H404" s="857" t="s">
        <v>1088</v>
      </c>
      <c r="O404" s="288"/>
    </row>
    <row r="405" spans="4:42" s="173" customFormat="1" ht="18">
      <c r="D405" s="2994"/>
      <c r="E405" s="858" t="s">
        <v>1093</v>
      </c>
      <c r="F405" s="764" t="s">
        <v>1088</v>
      </c>
      <c r="G405" s="764" t="s">
        <v>1089</v>
      </c>
      <c r="H405" s="857" t="s">
        <v>1088</v>
      </c>
      <c r="O405" s="288"/>
    </row>
    <row r="406" spans="4:42" s="173" customFormat="1" ht="18.600000000000001" thickBot="1">
      <c r="D406" s="2995"/>
      <c r="E406" s="858" t="s">
        <v>1094</v>
      </c>
      <c r="F406" s="764" t="s">
        <v>1089</v>
      </c>
      <c r="G406" s="764" t="s">
        <v>1089</v>
      </c>
      <c r="H406" s="857" t="s">
        <v>1088</v>
      </c>
      <c r="O406" s="288"/>
    </row>
    <row r="407" spans="4:42" s="173" customFormat="1" ht="18">
      <c r="D407" s="2993" t="s">
        <v>1095</v>
      </c>
      <c r="E407" s="853" t="s">
        <v>1087</v>
      </c>
      <c r="F407" s="854" t="s">
        <v>1088</v>
      </c>
      <c r="G407" s="854" t="s">
        <v>1089</v>
      </c>
      <c r="H407" s="855" t="s">
        <v>1088</v>
      </c>
      <c r="O407" s="288"/>
    </row>
    <row r="408" spans="4:42" s="173" customFormat="1" ht="18">
      <c r="D408" s="2994"/>
      <c r="E408" s="856" t="s">
        <v>1090</v>
      </c>
      <c r="F408" s="764" t="s">
        <v>1088</v>
      </c>
      <c r="G408" s="764" t="s">
        <v>1089</v>
      </c>
      <c r="H408" s="857" t="s">
        <v>1088</v>
      </c>
      <c r="O408" s="288"/>
    </row>
    <row r="409" spans="4:42" s="173" customFormat="1" ht="18">
      <c r="D409" s="2994"/>
      <c r="E409" s="856" t="s">
        <v>1091</v>
      </c>
      <c r="F409" s="764" t="s">
        <v>1088</v>
      </c>
      <c r="G409" s="764" t="s">
        <v>1089</v>
      </c>
      <c r="H409" s="857" t="s">
        <v>1088</v>
      </c>
      <c r="O409" s="288"/>
    </row>
    <row r="410" spans="4:42" s="173" customFormat="1" ht="18">
      <c r="D410" s="2994"/>
      <c r="E410" s="856" t="s">
        <v>1092</v>
      </c>
      <c r="F410" s="764" t="s">
        <v>1088</v>
      </c>
      <c r="G410" s="764" t="s">
        <v>1089</v>
      </c>
      <c r="H410" s="857" t="s">
        <v>1088</v>
      </c>
      <c r="O410" s="288"/>
    </row>
    <row r="411" spans="4:42" s="173" customFormat="1" ht="18">
      <c r="D411" s="2994"/>
      <c r="E411" s="858" t="s">
        <v>1096</v>
      </c>
      <c r="F411" s="764" t="s">
        <v>1088</v>
      </c>
      <c r="G411" s="764" t="s">
        <v>1089</v>
      </c>
      <c r="H411" s="857" t="s">
        <v>1088</v>
      </c>
      <c r="O411" s="288"/>
    </row>
    <row r="412" spans="4:42" s="173" customFormat="1" ht="18.600000000000001" thickBot="1">
      <c r="D412" s="2995"/>
      <c r="E412" s="858" t="s">
        <v>1094</v>
      </c>
      <c r="F412" s="764" t="s">
        <v>1089</v>
      </c>
      <c r="G412" s="764" t="s">
        <v>1089</v>
      </c>
      <c r="H412" s="857" t="s">
        <v>1088</v>
      </c>
      <c r="O412" s="288"/>
    </row>
    <row r="413" spans="4:42" s="173" customFormat="1" ht="18">
      <c r="D413" s="2993" t="s">
        <v>1097</v>
      </c>
      <c r="E413" s="853" t="s">
        <v>1087</v>
      </c>
      <c r="F413" s="854" t="s">
        <v>1088</v>
      </c>
      <c r="G413" s="854" t="s">
        <v>1089</v>
      </c>
      <c r="H413" s="855" t="s">
        <v>1088</v>
      </c>
      <c r="O413" s="288"/>
      <c r="AH413" s="175"/>
      <c r="AI413" s="175"/>
    </row>
    <row r="414" spans="4:42" s="173" customFormat="1" ht="18">
      <c r="D414" s="2994"/>
      <c r="E414" s="856" t="s">
        <v>1090</v>
      </c>
      <c r="F414" s="764" t="s">
        <v>1088</v>
      </c>
      <c r="G414" s="764" t="s">
        <v>1089</v>
      </c>
      <c r="H414" s="857" t="s">
        <v>1089</v>
      </c>
      <c r="O414" s="288"/>
      <c r="AH414" s="175"/>
      <c r="AI414" s="175"/>
    </row>
    <row r="415" spans="4:42" s="173" customFormat="1" ht="18">
      <c r="D415" s="2994"/>
      <c r="E415" s="856" t="s">
        <v>1091</v>
      </c>
      <c r="F415" s="764" t="s">
        <v>1088</v>
      </c>
      <c r="G415" s="764" t="s">
        <v>1089</v>
      </c>
      <c r="H415" s="857" t="s">
        <v>1089</v>
      </c>
      <c r="O415" s="288"/>
      <c r="AG415" s="175"/>
      <c r="AH415" s="175"/>
      <c r="AI415" s="175"/>
      <c r="AJ415" s="175"/>
      <c r="AK415" s="175"/>
      <c r="AL415" s="175"/>
      <c r="AM415" s="175"/>
      <c r="AN415" s="175"/>
      <c r="AO415" s="175"/>
      <c r="AP415" s="175"/>
    </row>
    <row r="416" spans="4:42" s="173" customFormat="1" ht="18">
      <c r="D416" s="2994"/>
      <c r="E416" s="856" t="s">
        <v>1092</v>
      </c>
      <c r="F416" s="764" t="s">
        <v>1088</v>
      </c>
      <c r="G416" s="764" t="s">
        <v>1089</v>
      </c>
      <c r="H416" s="857" t="s">
        <v>1089</v>
      </c>
      <c r="O416" s="288"/>
      <c r="AG416" s="175"/>
      <c r="AH416" s="175"/>
      <c r="AI416" s="175"/>
      <c r="AJ416" s="175"/>
      <c r="AK416" s="175"/>
      <c r="AL416" s="175"/>
      <c r="AM416" s="175"/>
      <c r="AN416" s="175"/>
      <c r="AO416" s="175"/>
      <c r="AP416" s="175"/>
    </row>
    <row r="417" spans="4:11" ht="18.600000000000001" thickBot="1">
      <c r="D417" s="2994"/>
      <c r="E417" s="856" t="s">
        <v>1096</v>
      </c>
      <c r="F417" s="764" t="s">
        <v>1088</v>
      </c>
      <c r="G417" s="764" t="s">
        <v>1089</v>
      </c>
      <c r="H417" s="857" t="s">
        <v>1089</v>
      </c>
      <c r="I417" s="173"/>
    </row>
    <row r="418" spans="4:11" ht="20.399999999999999" thickBot="1">
      <c r="D418" s="2995"/>
      <c r="E418" s="859" t="s">
        <v>1094</v>
      </c>
      <c r="F418" s="860" t="s">
        <v>1088</v>
      </c>
      <c r="G418" s="860" t="s">
        <v>1089</v>
      </c>
      <c r="H418" s="861" t="s">
        <v>1089</v>
      </c>
      <c r="I418" s="173"/>
      <c r="J418" s="3136" t="s">
        <v>1098</v>
      </c>
      <c r="K418" s="3137"/>
    </row>
    <row r="419" spans="4:11" ht="18">
      <c r="D419" s="2993" t="s">
        <v>1099</v>
      </c>
      <c r="E419" s="862" t="s">
        <v>1087</v>
      </c>
      <c r="F419" s="863" t="s">
        <v>1088</v>
      </c>
      <c r="G419" s="854" t="s">
        <v>1089</v>
      </c>
      <c r="H419" s="864" t="s">
        <v>1088</v>
      </c>
      <c r="I419" s="173"/>
    </row>
    <row r="420" spans="4:11" ht="18">
      <c r="D420" s="2994"/>
      <c r="E420" s="856" t="s">
        <v>1100</v>
      </c>
      <c r="F420" s="764" t="s">
        <v>1088</v>
      </c>
      <c r="G420" s="764" t="s">
        <v>1089</v>
      </c>
      <c r="H420" s="857" t="s">
        <v>1089</v>
      </c>
      <c r="I420" s="173"/>
    </row>
    <row r="421" spans="4:11" ht="18">
      <c r="D421" s="2994"/>
      <c r="E421" s="856" t="s">
        <v>1091</v>
      </c>
      <c r="F421" s="764" t="s">
        <v>1955</v>
      </c>
      <c r="G421" s="764" t="s">
        <v>1101</v>
      </c>
      <c r="H421" s="857" t="s">
        <v>1101</v>
      </c>
      <c r="I421" s="173"/>
    </row>
    <row r="422" spans="4:11" ht="18">
      <c r="D422" s="2994"/>
      <c r="E422" s="856" t="s">
        <v>1092</v>
      </c>
      <c r="F422" s="764" t="s">
        <v>1955</v>
      </c>
      <c r="G422" s="764" t="s">
        <v>1102</v>
      </c>
      <c r="H422" s="857" t="s">
        <v>1102</v>
      </c>
      <c r="I422" s="173"/>
    </row>
    <row r="423" spans="4:11" ht="18">
      <c r="D423" s="2994"/>
      <c r="E423" s="858" t="s">
        <v>1096</v>
      </c>
      <c r="F423" s="764" t="s">
        <v>1955</v>
      </c>
      <c r="G423" s="865" t="s">
        <v>1102</v>
      </c>
      <c r="H423" s="866" t="s">
        <v>1102</v>
      </c>
      <c r="I423" s="173"/>
    </row>
    <row r="424" spans="4:11" ht="18.600000000000001" thickBot="1">
      <c r="D424" s="2995"/>
      <c r="E424" s="858" t="s">
        <v>1094</v>
      </c>
      <c r="F424" s="764" t="s">
        <v>1089</v>
      </c>
      <c r="G424" s="764" t="s">
        <v>1089</v>
      </c>
      <c r="H424" s="857" t="s">
        <v>1089</v>
      </c>
      <c r="I424" s="173"/>
    </row>
    <row r="425" spans="4:11" ht="18">
      <c r="D425" s="2993" t="s">
        <v>1103</v>
      </c>
      <c r="E425" s="853" t="s">
        <v>1087</v>
      </c>
      <c r="F425" s="854" t="s">
        <v>1088</v>
      </c>
      <c r="G425" s="854" t="s">
        <v>1089</v>
      </c>
      <c r="H425" s="855" t="s">
        <v>1088</v>
      </c>
      <c r="I425" s="173"/>
    </row>
    <row r="426" spans="4:11" ht="18">
      <c r="D426" s="2994"/>
      <c r="E426" s="856" t="s">
        <v>1090</v>
      </c>
      <c r="F426" s="764" t="s">
        <v>1088</v>
      </c>
      <c r="G426" s="764" t="s">
        <v>1089</v>
      </c>
      <c r="H426" s="857" t="s">
        <v>1089</v>
      </c>
      <c r="I426" s="173"/>
    </row>
    <row r="427" spans="4:11" ht="18">
      <c r="D427" s="2994"/>
      <c r="E427" s="856" t="s">
        <v>1091</v>
      </c>
      <c r="F427" s="764" t="s">
        <v>1101</v>
      </c>
      <c r="G427" s="764" t="s">
        <v>1101</v>
      </c>
      <c r="H427" s="857" t="s">
        <v>1101</v>
      </c>
      <c r="I427" s="173"/>
    </row>
    <row r="428" spans="4:11" ht="18">
      <c r="D428" s="2994"/>
      <c r="E428" s="856" t="s">
        <v>1092</v>
      </c>
      <c r="F428" s="764" t="s">
        <v>1102</v>
      </c>
      <c r="G428" s="764" t="s">
        <v>1104</v>
      </c>
      <c r="H428" s="857" t="s">
        <v>1102</v>
      </c>
      <c r="I428" s="173"/>
    </row>
    <row r="429" spans="4:11" ht="18">
      <c r="D429" s="2994"/>
      <c r="E429" s="858" t="s">
        <v>1096</v>
      </c>
      <c r="F429" s="865" t="s">
        <v>1102</v>
      </c>
      <c r="G429" s="764" t="s">
        <v>1104</v>
      </c>
      <c r="H429" s="866" t="s">
        <v>1102</v>
      </c>
      <c r="I429" s="173"/>
    </row>
    <row r="430" spans="4:11" ht="18.600000000000001" thickBot="1">
      <c r="D430" s="2995"/>
      <c r="E430" s="858" t="s">
        <v>1094</v>
      </c>
      <c r="F430" s="865" t="s">
        <v>1089</v>
      </c>
      <c r="G430" s="860" t="s">
        <v>1089</v>
      </c>
      <c r="H430" s="866" t="s">
        <v>1089</v>
      </c>
      <c r="I430" s="173"/>
    </row>
    <row r="431" spans="4:11" ht="18">
      <c r="D431" s="2993" t="s">
        <v>1105</v>
      </c>
      <c r="E431" s="853" t="s">
        <v>1087</v>
      </c>
      <c r="F431" s="854" t="s">
        <v>1088</v>
      </c>
      <c r="G431" s="854" t="s">
        <v>1089</v>
      </c>
      <c r="H431" s="855" t="s">
        <v>1088</v>
      </c>
      <c r="I431" s="173"/>
    </row>
    <row r="432" spans="4:11" ht="18">
      <c r="D432" s="2994"/>
      <c r="E432" s="856" t="s">
        <v>1090</v>
      </c>
      <c r="F432" s="764" t="s">
        <v>1088</v>
      </c>
      <c r="G432" s="764" t="s">
        <v>1089</v>
      </c>
      <c r="H432" s="857" t="s">
        <v>1089</v>
      </c>
      <c r="I432" s="173"/>
    </row>
    <row r="433" spans="4:9" ht="18">
      <c r="D433" s="2994"/>
      <c r="E433" s="856" t="s">
        <v>1091</v>
      </c>
      <c r="F433" s="764" t="s">
        <v>1101</v>
      </c>
      <c r="G433" s="764" t="s">
        <v>1101</v>
      </c>
      <c r="H433" s="857" t="s">
        <v>1101</v>
      </c>
      <c r="I433" s="173"/>
    </row>
    <row r="434" spans="4:9" ht="18">
      <c r="D434" s="2994"/>
      <c r="E434" s="856" t="s">
        <v>1092</v>
      </c>
      <c r="F434" s="764" t="s">
        <v>1104</v>
      </c>
      <c r="G434" s="764" t="s">
        <v>1104</v>
      </c>
      <c r="H434" s="857" t="s">
        <v>1104</v>
      </c>
      <c r="I434" s="173"/>
    </row>
    <row r="435" spans="4:9" ht="18">
      <c r="D435" s="2994"/>
      <c r="E435" s="856" t="s">
        <v>1096</v>
      </c>
      <c r="F435" s="764" t="s">
        <v>1104</v>
      </c>
      <c r="G435" s="764" t="s">
        <v>1104</v>
      </c>
      <c r="H435" s="857" t="s">
        <v>1104</v>
      </c>
      <c r="I435" s="173"/>
    </row>
    <row r="436" spans="4:9" ht="18.600000000000001" thickBot="1">
      <c r="D436" s="2995"/>
      <c r="E436" s="859" t="s">
        <v>1094</v>
      </c>
      <c r="F436" s="860" t="s">
        <v>1089</v>
      </c>
      <c r="G436" s="860" t="s">
        <v>1089</v>
      </c>
      <c r="H436" s="861" t="s">
        <v>1089</v>
      </c>
      <c r="I436" s="173"/>
    </row>
    <row r="437" spans="4:9" ht="18">
      <c r="I437" s="173"/>
    </row>
    <row r="438" spans="4:9" ht="15" customHeight="1"/>
    <row r="439" spans="4:9" ht="15" customHeight="1"/>
    <row r="440" spans="4:9" ht="15" customHeight="1"/>
    <row r="441" spans="4:9" ht="15" customHeight="1"/>
    <row r="442" spans="4:9" ht="15" customHeight="1"/>
    <row r="443" spans="4:9" ht="15" customHeight="1"/>
    <row r="444" spans="4:9" ht="15" customHeight="1"/>
    <row r="445" spans="4:9" ht="15" customHeight="1"/>
    <row r="446" spans="4:9" ht="15" customHeight="1"/>
    <row r="447" spans="4:9" ht="15" customHeight="1"/>
    <row r="448" spans="4:9"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spans="34:35" ht="15" customHeight="1"/>
    <row r="466" spans="34:35" ht="15" customHeight="1"/>
    <row r="467" spans="34:35" ht="15" customHeight="1"/>
    <row r="468" spans="34:35" ht="15" customHeight="1"/>
    <row r="469" spans="34:35" ht="15" customHeight="1"/>
    <row r="470" spans="34:35" ht="15" customHeight="1"/>
    <row r="471" spans="34:35" ht="15" customHeight="1"/>
    <row r="472" spans="34:35" ht="15" customHeight="1"/>
    <row r="473" spans="34:35" ht="15" customHeight="1"/>
    <row r="474" spans="34:35" ht="15" customHeight="1"/>
    <row r="475" spans="34:35" ht="15" customHeight="1"/>
    <row r="476" spans="34:35" ht="15" customHeight="1"/>
    <row r="477" spans="34:35" ht="15" customHeight="1"/>
    <row r="478" spans="34:35" ht="15" customHeight="1"/>
    <row r="479" spans="34:35" ht="15" customHeight="1"/>
    <row r="480" spans="34:35" ht="19.5" customHeight="1">
      <c r="AH480" s="445">
        <v>368</v>
      </c>
      <c r="AI480" s="445"/>
    </row>
    <row r="481" spans="4:52" ht="15" customHeight="1"/>
    <row r="482" spans="4:52" ht="19.5" customHeight="1">
      <c r="AG482" s="445">
        <v>10</v>
      </c>
      <c r="AJ482" s="445">
        <v>100</v>
      </c>
      <c r="AK482" s="446"/>
      <c r="AL482" s="447"/>
      <c r="AM482" s="447"/>
      <c r="AN482" s="447"/>
      <c r="AO482" s="447"/>
      <c r="AP482" s="447"/>
    </row>
    <row r="483" spans="4:52" ht="15" customHeight="1"/>
    <row r="484" spans="4:52" ht="19.5" customHeight="1">
      <c r="Z484" s="443">
        <v>8</v>
      </c>
      <c r="AA484" s="444">
        <v>30</v>
      </c>
      <c r="AB484" s="444">
        <v>14</v>
      </c>
      <c r="AC484" s="445">
        <v>50</v>
      </c>
      <c r="AD484" s="445">
        <v>0</v>
      </c>
      <c r="AE484" s="445">
        <v>0</v>
      </c>
      <c r="AF484" s="445">
        <v>120</v>
      </c>
      <c r="AQ484" s="447"/>
      <c r="AR484" s="447"/>
      <c r="AS484" s="447"/>
      <c r="AT484" s="447"/>
      <c r="AU484" s="447"/>
      <c r="AV484" s="447"/>
      <c r="AW484" s="447"/>
      <c r="AX484" s="447"/>
      <c r="AY484" s="447"/>
      <c r="AZ484" s="448">
        <v>1</v>
      </c>
    </row>
    <row r="485" spans="4:52" ht="15" customHeight="1"/>
    <row r="486" spans="4:52" ht="15" customHeight="1"/>
    <row r="487" spans="4:52" ht="15" customHeight="1"/>
    <row r="488" spans="4:52" ht="15" customHeight="1"/>
    <row r="489" spans="4:52" ht="15" customHeight="1"/>
    <row r="490" spans="4:52" ht="15" customHeight="1"/>
    <row r="491" spans="4:52" ht="15" customHeight="1"/>
    <row r="492" spans="4:52" ht="15" customHeight="1" thickBot="1"/>
    <row r="493" spans="4:52" ht="15" customHeight="1">
      <c r="D493" s="1823" t="s">
        <v>1039</v>
      </c>
      <c r="E493" s="1824" t="s">
        <v>1106</v>
      </c>
    </row>
    <row r="494" spans="4:52" ht="15" customHeight="1">
      <c r="D494" s="1671">
        <v>1</v>
      </c>
      <c r="E494" s="1825" t="str">
        <f>D512</f>
        <v>Delta</v>
      </c>
    </row>
    <row r="495" spans="4:52" ht="15" customHeight="1">
      <c r="D495" s="1671">
        <v>2</v>
      </c>
      <c r="E495" s="1825" t="str">
        <f>D514</f>
        <v>Sungrow</v>
      </c>
    </row>
    <row r="496" spans="4:52" ht="15" customHeight="1">
      <c r="D496" s="1671">
        <v>3</v>
      </c>
      <c r="E496" s="1825" t="str">
        <f>D516</f>
        <v>Solis</v>
      </c>
    </row>
    <row r="497" spans="1:31" ht="15" customHeight="1">
      <c r="D497" s="1671">
        <v>4</v>
      </c>
      <c r="E497" s="1825" t="str">
        <f>D518</f>
        <v>Hitachi</v>
      </c>
    </row>
    <row r="498" spans="1:31" ht="15" customHeight="1">
      <c r="D498" s="1671">
        <v>5</v>
      </c>
      <c r="E498" s="1825" t="str">
        <f>D520</f>
        <v>SMA</v>
      </c>
    </row>
    <row r="499" spans="1:31" ht="15" customHeight="1">
      <c r="D499" s="1671">
        <v>6</v>
      </c>
      <c r="E499" s="1825" t="str">
        <f>D522</f>
        <v>Solar Edge</v>
      </c>
    </row>
    <row r="500" spans="1:31" ht="15" customHeight="1">
      <c r="D500" s="1671">
        <v>7</v>
      </c>
      <c r="E500" s="1825" t="str">
        <f>D524</f>
        <v>Huawei</v>
      </c>
    </row>
    <row r="501" spans="1:31" ht="15" customHeight="1">
      <c r="D501" s="1671">
        <v>8</v>
      </c>
      <c r="E501" s="1825" t="str">
        <f>D526</f>
        <v>ABB</v>
      </c>
    </row>
    <row r="502" spans="1:31" ht="15" customHeight="1">
      <c r="D502" s="1671">
        <v>9</v>
      </c>
      <c r="E502" s="1825" t="str">
        <f>D528</f>
        <v>Growatt</v>
      </c>
    </row>
    <row r="503" spans="1:31" ht="15" customHeight="1">
      <c r="D503" s="1671">
        <v>10</v>
      </c>
      <c r="E503" s="1825" t="str">
        <f>D530</f>
        <v>Siening</v>
      </c>
    </row>
    <row r="504" spans="1:31" ht="15" customHeight="1">
      <c r="D504" s="1671">
        <v>11</v>
      </c>
      <c r="E504" s="1825">
        <f>D532</f>
        <v>0</v>
      </c>
    </row>
    <row r="505" spans="1:31" ht="15" customHeight="1">
      <c r="D505" s="1671">
        <v>12</v>
      </c>
      <c r="E505" s="1825">
        <f>D534</f>
        <v>0</v>
      </c>
    </row>
    <row r="506" spans="1:31" ht="15" customHeight="1" thickBot="1">
      <c r="D506" s="1662">
        <v>13</v>
      </c>
      <c r="E506" s="1826">
        <f>D536</f>
        <v>0</v>
      </c>
    </row>
    <row r="507" spans="1:31" ht="15" customHeight="1" thickBot="1"/>
    <row r="508" spans="1:31" ht="18.600000000000001" thickBot="1">
      <c r="A508" s="441"/>
      <c r="E508" s="708" t="s">
        <v>1107</v>
      </c>
      <c r="F508" s="709"/>
      <c r="Q508" s="823"/>
      <c r="R508" s="823"/>
      <c r="S508" s="175"/>
      <c r="T508" s="175"/>
      <c r="U508" s="175"/>
      <c r="V508" s="175"/>
      <c r="W508" s="175"/>
      <c r="X508" s="175"/>
      <c r="Y508" s="175"/>
      <c r="Z508" s="175"/>
      <c r="AA508" s="175"/>
      <c r="AB508" s="175"/>
      <c r="AC508" s="175"/>
      <c r="AD508" s="175"/>
      <c r="AE508" s="175"/>
    </row>
    <row r="509" spans="1:31" ht="18.600000000000001" thickBot="1">
      <c r="A509" s="441"/>
      <c r="E509" s="710" t="s">
        <v>344</v>
      </c>
      <c r="F509" s="711"/>
      <c r="Q509" s="823"/>
      <c r="R509" s="823"/>
      <c r="S509" s="175"/>
      <c r="T509" s="175"/>
      <c r="U509" s="175"/>
      <c r="V509" s="175"/>
      <c r="W509" s="175"/>
      <c r="X509" s="175"/>
      <c r="Y509" s="175"/>
      <c r="Z509" s="175"/>
      <c r="AA509" s="175"/>
      <c r="AB509" s="175"/>
      <c r="AC509" s="175"/>
      <c r="AD509" s="175"/>
      <c r="AE509" s="175"/>
    </row>
    <row r="510" spans="1:31" ht="18.600000000000001" thickBot="1">
      <c r="A510" s="441"/>
      <c r="Q510" s="823"/>
      <c r="R510" s="823"/>
      <c r="S510" s="175"/>
      <c r="T510" s="175"/>
      <c r="U510" s="175"/>
      <c r="V510" s="175"/>
      <c r="W510" s="175"/>
      <c r="X510" s="175"/>
      <c r="Y510" s="175"/>
      <c r="Z510" s="175"/>
      <c r="AA510" s="175"/>
      <c r="AB510" s="175"/>
      <c r="AC510" s="175"/>
      <c r="AD510" s="175"/>
      <c r="AE510" s="175"/>
    </row>
    <row r="511" spans="1:31" ht="18.600000000000001" thickBot="1">
      <c r="A511" s="441"/>
      <c r="C511" s="1368" t="s">
        <v>1108</v>
      </c>
      <c r="D511" s="1369" t="s">
        <v>1109</v>
      </c>
      <c r="E511" s="3195" t="s">
        <v>1020</v>
      </c>
      <c r="F511" s="3196"/>
      <c r="G511" s="3196"/>
      <c r="H511" s="3196"/>
      <c r="I511" s="3196"/>
      <c r="J511" s="3196"/>
      <c r="K511" s="3196"/>
      <c r="L511" s="3196"/>
      <c r="M511" s="3196"/>
      <c r="N511" s="3196"/>
      <c r="O511" s="3197"/>
      <c r="Q511" s="823"/>
      <c r="R511" s="823"/>
      <c r="S511" s="175"/>
      <c r="T511" s="175"/>
      <c r="U511" s="175"/>
      <c r="V511" s="175"/>
      <c r="W511" s="175"/>
      <c r="X511" s="175"/>
      <c r="Y511" s="175"/>
      <c r="Z511" s="175"/>
      <c r="AA511" s="175"/>
      <c r="AB511" s="175"/>
      <c r="AC511" s="175"/>
      <c r="AD511" s="175"/>
      <c r="AE511" s="175"/>
    </row>
    <row r="512" spans="1:31" ht="18">
      <c r="A512" s="441"/>
      <c r="C512" s="3039">
        <v>1</v>
      </c>
      <c r="D512" s="3039" t="s">
        <v>1110</v>
      </c>
      <c r="E512" s="1370" t="s">
        <v>1111</v>
      </c>
      <c r="F512" s="1371">
        <v>100</v>
      </c>
      <c r="G512" s="1271"/>
      <c r="H512" s="1271">
        <v>70</v>
      </c>
      <c r="I512" s="1271">
        <v>66</v>
      </c>
      <c r="J512" s="1271">
        <v>50</v>
      </c>
      <c r="K512" s="1271">
        <v>30</v>
      </c>
      <c r="L512" s="1271"/>
      <c r="M512" s="1271">
        <v>20</v>
      </c>
      <c r="N512" s="1271">
        <v>15</v>
      </c>
      <c r="O512" s="1372">
        <v>10</v>
      </c>
      <c r="Q512" s="823"/>
      <c r="R512" s="823"/>
      <c r="S512" s="175"/>
      <c r="T512" s="175"/>
      <c r="U512" s="175"/>
      <c r="V512" s="175"/>
      <c r="W512" s="175"/>
      <c r="X512" s="175"/>
      <c r="Y512" s="175"/>
      <c r="Z512" s="175"/>
      <c r="AA512" s="175"/>
      <c r="AB512" s="175"/>
      <c r="AC512" s="175"/>
      <c r="AD512" s="175"/>
      <c r="AE512" s="175"/>
    </row>
    <row r="513" spans="1:31" ht="23.25" hidden="1" customHeight="1">
      <c r="A513" s="441"/>
      <c r="C513" s="3029"/>
      <c r="D513" s="3029"/>
      <c r="E513" s="1373" t="s">
        <v>946</v>
      </c>
      <c r="F513" s="1374">
        <v>275000</v>
      </c>
      <c r="G513" s="1375"/>
      <c r="H513" s="1375">
        <v>240000</v>
      </c>
      <c r="I513" s="1375">
        <v>266000</v>
      </c>
      <c r="J513" s="1376">
        <v>197000</v>
      </c>
      <c r="K513" s="1376">
        <v>135000</v>
      </c>
      <c r="L513" s="1376"/>
      <c r="M513" s="1376">
        <v>121526</v>
      </c>
      <c r="N513" s="1376">
        <v>118000</v>
      </c>
      <c r="O513" s="1377">
        <v>80000</v>
      </c>
      <c r="P513" s="218"/>
      <c r="Q513" s="823"/>
      <c r="R513" s="823"/>
      <c r="S513" s="175"/>
      <c r="T513" s="175"/>
      <c r="U513" s="175"/>
      <c r="V513" s="175"/>
      <c r="W513" s="175"/>
      <c r="X513" s="175"/>
      <c r="Y513" s="175"/>
      <c r="Z513" s="175"/>
      <c r="AA513" s="175"/>
      <c r="AB513" s="175"/>
      <c r="AC513" s="175"/>
      <c r="AD513" s="175"/>
      <c r="AE513" s="175"/>
    </row>
    <row r="514" spans="1:31" ht="18">
      <c r="A514" s="441"/>
      <c r="C514" s="3025">
        <v>2</v>
      </c>
      <c r="D514" s="3025" t="s">
        <v>37</v>
      </c>
      <c r="E514" s="1378" t="s">
        <v>1111</v>
      </c>
      <c r="F514" s="1379">
        <v>100</v>
      </c>
      <c r="G514" s="1380"/>
      <c r="H514" s="1380"/>
      <c r="I514" s="1380"/>
      <c r="J514" s="1380">
        <v>50</v>
      </c>
      <c r="K514" s="1380">
        <v>33</v>
      </c>
      <c r="L514" s="1191"/>
      <c r="M514" s="1380">
        <v>20</v>
      </c>
      <c r="N514" s="1380">
        <v>15</v>
      </c>
      <c r="O514" s="1381">
        <v>10</v>
      </c>
      <c r="P514" s="218"/>
      <c r="Q514" s="823"/>
      <c r="R514" s="823"/>
      <c r="S514" s="175"/>
      <c r="T514" s="175"/>
      <c r="U514" s="175"/>
      <c r="V514" s="175"/>
      <c r="W514" s="175"/>
      <c r="X514" s="175"/>
      <c r="Y514" s="175"/>
      <c r="Z514" s="175"/>
      <c r="AA514" s="175"/>
      <c r="AB514" s="175"/>
      <c r="AC514" s="175"/>
      <c r="AD514" s="175"/>
      <c r="AE514" s="175"/>
    </row>
    <row r="515" spans="1:31" ht="23.1" hidden="1" customHeight="1">
      <c r="A515" s="441"/>
      <c r="C515" s="3029"/>
      <c r="D515" s="3029"/>
      <c r="E515" s="1373" t="s">
        <v>946</v>
      </c>
      <c r="F515" s="1382">
        <f>288500</f>
        <v>288500</v>
      </c>
      <c r="G515" s="1383"/>
      <c r="H515" s="1383"/>
      <c r="I515" s="1383"/>
      <c r="J515" s="1383">
        <v>152000</v>
      </c>
      <c r="K515" s="1383">
        <v>130000</v>
      </c>
      <c r="L515" s="1384"/>
      <c r="M515" s="1383">
        <v>98000</v>
      </c>
      <c r="N515" s="1383">
        <v>90000</v>
      </c>
      <c r="O515" s="1385">
        <v>75000</v>
      </c>
      <c r="P515" s="218"/>
      <c r="Q515" s="823"/>
      <c r="R515" s="823"/>
      <c r="S515" s="175"/>
      <c r="T515" s="175"/>
      <c r="U515" s="175"/>
      <c r="V515" s="175"/>
      <c r="W515" s="175"/>
      <c r="X515" s="175"/>
      <c r="Y515" s="175"/>
      <c r="Z515" s="175"/>
      <c r="AA515" s="175"/>
      <c r="AB515" s="175"/>
      <c r="AC515" s="175"/>
      <c r="AD515" s="175"/>
      <c r="AE515" s="175"/>
    </row>
    <row r="516" spans="1:31" ht="18">
      <c r="A516" s="441"/>
      <c r="C516" s="3025">
        <v>3</v>
      </c>
      <c r="D516" s="3025" t="s">
        <v>1112</v>
      </c>
      <c r="E516" s="1378" t="s">
        <v>1111</v>
      </c>
      <c r="F516" s="1386">
        <v>150</v>
      </c>
      <c r="G516" s="1386">
        <v>125</v>
      </c>
      <c r="H516" s="1386">
        <v>80</v>
      </c>
      <c r="I516" s="1386">
        <v>60</v>
      </c>
      <c r="J516" s="1386">
        <v>50</v>
      </c>
      <c r="K516" s="1386">
        <v>30</v>
      </c>
      <c r="L516" s="1386">
        <v>25</v>
      </c>
      <c r="M516" s="1386">
        <v>20</v>
      </c>
      <c r="N516" s="1386">
        <v>15</v>
      </c>
      <c r="O516" s="1387">
        <v>10</v>
      </c>
      <c r="P516" s="218"/>
      <c r="Q516" s="823"/>
      <c r="R516" s="823"/>
      <c r="S516" s="175"/>
      <c r="T516" s="175"/>
      <c r="U516" s="175"/>
      <c r="V516" s="175"/>
      <c r="W516" s="175"/>
      <c r="X516" s="175"/>
      <c r="Y516" s="175"/>
      <c r="Z516" s="175"/>
      <c r="AA516" s="175"/>
      <c r="AB516" s="175"/>
      <c r="AC516" s="175"/>
      <c r="AD516" s="175"/>
      <c r="AE516" s="175"/>
    </row>
    <row r="517" spans="1:31" ht="23.25" hidden="1" customHeight="1">
      <c r="A517" s="441"/>
      <c r="C517" s="3029"/>
      <c r="D517" s="3029"/>
      <c r="E517" s="1373" t="s">
        <v>946</v>
      </c>
      <c r="F517" s="1376">
        <v>300000</v>
      </c>
      <c r="G517" s="1376">
        <v>290000</v>
      </c>
      <c r="H517" s="1376">
        <v>255000</v>
      </c>
      <c r="I517" s="1376">
        <v>135000</v>
      </c>
      <c r="J517" s="1376">
        <v>125000</v>
      </c>
      <c r="K517" s="1376">
        <v>95000</v>
      </c>
      <c r="L517" s="1376">
        <v>85000</v>
      </c>
      <c r="M517" s="1376">
        <v>70000</v>
      </c>
      <c r="N517" s="1376">
        <v>69000</v>
      </c>
      <c r="O517" s="1377">
        <v>75000</v>
      </c>
      <c r="P517" s="218"/>
      <c r="Q517" s="823"/>
      <c r="R517" s="823"/>
      <c r="S517" s="175"/>
      <c r="T517" s="175"/>
      <c r="U517" s="175"/>
      <c r="V517" s="175"/>
      <c r="W517" s="175"/>
      <c r="X517" s="175"/>
      <c r="Y517" s="175"/>
      <c r="Z517" s="175"/>
      <c r="AA517" s="175"/>
      <c r="AB517" s="175"/>
      <c r="AC517" s="175"/>
      <c r="AD517" s="175"/>
      <c r="AE517" s="175"/>
    </row>
    <row r="518" spans="1:31" ht="18">
      <c r="A518" s="441"/>
      <c r="C518" s="3025">
        <v>4</v>
      </c>
      <c r="D518" s="3025" t="s">
        <v>1113</v>
      </c>
      <c r="E518" s="1378" t="s">
        <v>1111</v>
      </c>
      <c r="F518" s="1379"/>
      <c r="G518" s="1380"/>
      <c r="H518" s="1380">
        <v>70</v>
      </c>
      <c r="I518" s="1380">
        <v>60</v>
      </c>
      <c r="J518" s="1380">
        <v>50</v>
      </c>
      <c r="K518" s="1380">
        <v>33</v>
      </c>
      <c r="L518" s="1380">
        <v>30</v>
      </c>
      <c r="M518" s="1380">
        <v>25</v>
      </c>
      <c r="N518" s="1380">
        <v>20</v>
      </c>
      <c r="O518" s="1193"/>
      <c r="P518" s="218"/>
      <c r="Q518" s="823"/>
      <c r="R518" s="823"/>
      <c r="S518" s="175"/>
      <c r="T518" s="175"/>
      <c r="U518" s="175"/>
      <c r="V518" s="175"/>
      <c r="W518" s="175"/>
      <c r="X518" s="175"/>
      <c r="Y518" s="175"/>
      <c r="Z518" s="175"/>
      <c r="AA518" s="175"/>
      <c r="AB518" s="175"/>
      <c r="AC518" s="175"/>
      <c r="AD518" s="175"/>
      <c r="AE518" s="175"/>
    </row>
    <row r="519" spans="1:31" ht="23.1" hidden="1" customHeight="1">
      <c r="A519" s="441"/>
      <c r="C519" s="3029"/>
      <c r="D519" s="3029"/>
      <c r="E519" s="1373" t="s">
        <v>946</v>
      </c>
      <c r="F519" s="1374"/>
      <c r="G519" s="1376"/>
      <c r="H519" s="1376">
        <v>219450.00000000003</v>
      </c>
      <c r="I519" s="1376">
        <v>207900.00000000003</v>
      </c>
      <c r="J519" s="1376">
        <v>196350.00000000003</v>
      </c>
      <c r="K519" s="1376">
        <v>138600</v>
      </c>
      <c r="L519" s="1376">
        <v>127050.00000000001</v>
      </c>
      <c r="M519" s="1376">
        <v>121275.00000000001</v>
      </c>
      <c r="N519" s="1376">
        <v>109725.00000000001</v>
      </c>
      <c r="O519" s="1377"/>
      <c r="P519" s="218"/>
      <c r="Q519" s="823"/>
      <c r="R519" s="823"/>
      <c r="S519" s="175"/>
      <c r="T519" s="175"/>
      <c r="U519" s="175"/>
      <c r="V519" s="175"/>
      <c r="W519" s="175"/>
      <c r="X519" s="175"/>
      <c r="Y519" s="175"/>
      <c r="Z519" s="175"/>
      <c r="AA519" s="175"/>
      <c r="AB519" s="175"/>
      <c r="AC519" s="175"/>
      <c r="AD519" s="175"/>
      <c r="AE519" s="175"/>
    </row>
    <row r="520" spans="1:31" ht="18">
      <c r="A520" s="441"/>
      <c r="C520" s="3025">
        <v>5</v>
      </c>
      <c r="D520" s="3025" t="s">
        <v>1114</v>
      </c>
      <c r="E520" s="1378" t="s">
        <v>1111</v>
      </c>
      <c r="F520" s="1380">
        <v>110</v>
      </c>
      <c r="G520" s="1380"/>
      <c r="H520" s="1380"/>
      <c r="I520" s="1380">
        <v>50</v>
      </c>
      <c r="J520" s="1380">
        <v>50</v>
      </c>
      <c r="K520" s="1191"/>
      <c r="L520" s="1191"/>
      <c r="M520" s="1380">
        <v>25</v>
      </c>
      <c r="N520" s="1380">
        <v>15</v>
      </c>
      <c r="O520" s="1388"/>
      <c r="P520" s="218"/>
      <c r="Q520" s="823"/>
      <c r="R520" s="823"/>
      <c r="S520" s="175"/>
      <c r="T520" s="175"/>
      <c r="U520" s="175"/>
      <c r="V520" s="175"/>
      <c r="W520" s="175"/>
      <c r="X520" s="175"/>
      <c r="Y520" s="175"/>
      <c r="Z520" s="175"/>
      <c r="AA520" s="175"/>
      <c r="AB520" s="175"/>
      <c r="AC520" s="175"/>
      <c r="AD520" s="175"/>
      <c r="AE520" s="175"/>
    </row>
    <row r="521" spans="1:31" ht="23.25" hidden="1" customHeight="1">
      <c r="A521" s="441"/>
      <c r="C521" s="3029"/>
      <c r="D521" s="3029"/>
      <c r="E521" s="1373" t="s">
        <v>946</v>
      </c>
      <c r="F521" s="1376">
        <v>415000</v>
      </c>
      <c r="G521" s="1376"/>
      <c r="H521" s="1376"/>
      <c r="I521" s="1376">
        <v>325050</v>
      </c>
      <c r="J521" s="1376">
        <v>194700.00000000003</v>
      </c>
      <c r="K521" s="1376"/>
      <c r="L521" s="1376"/>
      <c r="M521" s="1376">
        <v>178750</v>
      </c>
      <c r="N521" s="1376">
        <v>171600</v>
      </c>
      <c r="O521" s="1377"/>
      <c r="P521" s="218"/>
      <c r="Q521" s="823"/>
      <c r="R521" s="823"/>
      <c r="S521" s="175"/>
      <c r="T521" s="175"/>
      <c r="U521" s="175"/>
      <c r="V521" s="175"/>
      <c r="W521" s="175"/>
      <c r="X521" s="175"/>
      <c r="Y521" s="175"/>
      <c r="Z521" s="175"/>
      <c r="AA521" s="175"/>
      <c r="AB521" s="175"/>
      <c r="AC521" s="175"/>
      <c r="AD521" s="175"/>
      <c r="AE521" s="175"/>
    </row>
    <row r="522" spans="1:31" ht="18">
      <c r="A522" s="441"/>
      <c r="C522" s="3025">
        <v>6</v>
      </c>
      <c r="D522" s="2992" t="s">
        <v>1115</v>
      </c>
      <c r="E522" s="1378" t="s">
        <v>1111</v>
      </c>
      <c r="F522" s="1379">
        <v>100</v>
      </c>
      <c r="G522" s="1380"/>
      <c r="H522" s="1380"/>
      <c r="I522" s="1380">
        <v>66</v>
      </c>
      <c r="J522" s="1380"/>
      <c r="K522" s="1380">
        <v>33</v>
      </c>
      <c r="L522" s="1380">
        <v>27</v>
      </c>
      <c r="M522" s="1380"/>
      <c r="N522" s="1380">
        <v>15</v>
      </c>
      <c r="O522" s="1193"/>
      <c r="P522" s="218"/>
      <c r="Q522" s="823"/>
      <c r="R522" s="823"/>
      <c r="S522" s="175"/>
      <c r="T522" s="175"/>
      <c r="U522" s="175"/>
      <c r="V522" s="175"/>
      <c r="W522" s="175"/>
      <c r="X522" s="175"/>
      <c r="Y522" s="175"/>
      <c r="Z522" s="175"/>
      <c r="AA522" s="175"/>
      <c r="AB522" s="175"/>
      <c r="AC522" s="175"/>
      <c r="AD522" s="175"/>
      <c r="AE522" s="175"/>
    </row>
    <row r="523" spans="1:31" ht="18.75" hidden="1" customHeight="1">
      <c r="A523" s="441"/>
      <c r="C523" s="3025"/>
      <c r="D523" s="2992"/>
      <c r="E523" s="1373" t="s">
        <v>946</v>
      </c>
      <c r="F523" s="1374">
        <v>275000</v>
      </c>
      <c r="G523" s="1376"/>
      <c r="H523" s="1376">
        <f>282207.2*0</f>
        <v>0</v>
      </c>
      <c r="I523" s="1376">
        <v>217000</v>
      </c>
      <c r="J523" s="1376">
        <f>208830.6*0</f>
        <v>0</v>
      </c>
      <c r="K523" s="1376">
        <v>147000</v>
      </c>
      <c r="L523" s="1376">
        <v>118000</v>
      </c>
      <c r="M523" s="1376"/>
      <c r="N523" s="1376">
        <v>100000</v>
      </c>
      <c r="O523" s="1377"/>
      <c r="P523" s="218"/>
      <c r="Q523" s="823"/>
      <c r="R523" s="823"/>
      <c r="S523" s="175"/>
      <c r="T523" s="175"/>
      <c r="U523" s="175"/>
      <c r="V523" s="175"/>
      <c r="W523" s="175"/>
      <c r="X523" s="175"/>
      <c r="Y523" s="175"/>
      <c r="Z523" s="175"/>
      <c r="AA523" s="175"/>
      <c r="AB523" s="175"/>
      <c r="AC523" s="175"/>
      <c r="AD523" s="175"/>
      <c r="AE523" s="175"/>
    </row>
    <row r="524" spans="1:31" ht="18">
      <c r="A524" s="441"/>
      <c r="C524" s="3025">
        <v>7</v>
      </c>
      <c r="D524" s="2992" t="s">
        <v>1116</v>
      </c>
      <c r="E524" s="1378" t="s">
        <v>1111</v>
      </c>
      <c r="F524" s="1379">
        <v>100</v>
      </c>
      <c r="G524" s="1380"/>
      <c r="H524" s="1380"/>
      <c r="I524" s="1380"/>
      <c r="J524" s="1380">
        <v>50</v>
      </c>
      <c r="K524" s="1389">
        <v>36</v>
      </c>
      <c r="L524" s="1389"/>
      <c r="M524" s="1389"/>
      <c r="N524" s="1389"/>
      <c r="O524" s="1390"/>
      <c r="P524" s="218"/>
      <c r="Q524" s="823"/>
      <c r="R524" s="823"/>
      <c r="S524" s="175"/>
      <c r="T524" s="175"/>
      <c r="U524" s="175"/>
      <c r="V524" s="175"/>
      <c r="W524" s="175"/>
      <c r="X524" s="175"/>
      <c r="Y524" s="175"/>
      <c r="Z524" s="175"/>
      <c r="AA524" s="175"/>
      <c r="AB524" s="175"/>
      <c r="AC524" s="175"/>
      <c r="AD524" s="175"/>
      <c r="AE524" s="175"/>
    </row>
    <row r="525" spans="1:31" ht="18.600000000000001" hidden="1" customHeight="1">
      <c r="A525" s="441"/>
      <c r="C525" s="3025"/>
      <c r="D525" s="2992"/>
      <c r="E525" s="1373" t="s">
        <v>946</v>
      </c>
      <c r="F525" s="1374">
        <v>280000</v>
      </c>
      <c r="G525" s="1376"/>
      <c r="H525" s="1376"/>
      <c r="I525" s="1376"/>
      <c r="J525" s="1376">
        <v>180000</v>
      </c>
      <c r="K525" s="1376">
        <v>160000</v>
      </c>
      <c r="L525" s="1376"/>
      <c r="M525" s="1376"/>
      <c r="N525" s="1376"/>
      <c r="O525" s="1377"/>
      <c r="P525" s="218"/>
      <c r="Q525" s="823"/>
      <c r="R525" s="823"/>
      <c r="S525" s="175"/>
      <c r="T525" s="175"/>
      <c r="U525" s="175"/>
      <c r="V525" s="175"/>
      <c r="W525" s="175"/>
      <c r="X525" s="175"/>
      <c r="Y525" s="175"/>
      <c r="Z525" s="175"/>
      <c r="AA525" s="175"/>
      <c r="AB525" s="175"/>
      <c r="AC525" s="175"/>
      <c r="AD525" s="175"/>
      <c r="AE525" s="175"/>
    </row>
    <row r="526" spans="1:31" ht="18">
      <c r="A526" s="441"/>
      <c r="C526" s="3025">
        <v>8</v>
      </c>
      <c r="D526" s="2992" t="s">
        <v>1117</v>
      </c>
      <c r="E526" s="1391" t="s">
        <v>1111</v>
      </c>
      <c r="F526" s="1392">
        <v>100</v>
      </c>
      <c r="G526" s="1389"/>
      <c r="H526" s="1389"/>
      <c r="I526" s="1389"/>
      <c r="J526" s="1389">
        <v>50</v>
      </c>
      <c r="K526" s="1389"/>
      <c r="L526" s="1389">
        <v>27.6</v>
      </c>
      <c r="M526" s="1389"/>
      <c r="N526" s="1389">
        <v>20</v>
      </c>
      <c r="O526" s="1390"/>
      <c r="P526" s="47"/>
      <c r="Q526" s="823"/>
      <c r="R526" s="823"/>
      <c r="S526" s="175"/>
      <c r="T526" s="175"/>
      <c r="U526" s="175"/>
      <c r="V526" s="175"/>
      <c r="W526" s="175"/>
      <c r="X526" s="175"/>
      <c r="Y526" s="175"/>
      <c r="Z526" s="175"/>
      <c r="AA526" s="175"/>
      <c r="AB526" s="175"/>
      <c r="AC526" s="175"/>
      <c r="AD526" s="175"/>
      <c r="AE526" s="175"/>
    </row>
    <row r="527" spans="1:31" ht="18.75" hidden="1" customHeight="1">
      <c r="C527" s="3025"/>
      <c r="D527" s="2992"/>
      <c r="E527" s="1373" t="s">
        <v>946</v>
      </c>
      <c r="F527" s="1374">
        <v>375100</v>
      </c>
      <c r="G527" s="1376"/>
      <c r="H527" s="1376"/>
      <c r="I527" s="1376"/>
      <c r="J527" s="1376">
        <v>215000</v>
      </c>
      <c r="K527" s="1376"/>
      <c r="L527" s="1376">
        <v>212000</v>
      </c>
      <c r="M527" s="1376"/>
      <c r="N527" s="1376">
        <v>190000</v>
      </c>
      <c r="O527" s="1377"/>
      <c r="P527" s="218"/>
      <c r="Q527" s="823"/>
      <c r="R527" s="823"/>
      <c r="S527" s="175"/>
      <c r="T527" s="175"/>
      <c r="U527" s="175"/>
      <c r="V527" s="175"/>
      <c r="W527" s="175"/>
      <c r="X527" s="175"/>
      <c r="Y527" s="175"/>
      <c r="Z527" s="175"/>
      <c r="AA527" s="175"/>
      <c r="AB527" s="175"/>
      <c r="AC527" s="175"/>
      <c r="AD527" s="175"/>
      <c r="AE527" s="175"/>
    </row>
    <row r="528" spans="1:31" ht="17.399999999999999">
      <c r="C528" s="3025">
        <v>9</v>
      </c>
      <c r="D528" s="2992" t="s">
        <v>1118</v>
      </c>
      <c r="E528" s="1391" t="s">
        <v>1111</v>
      </c>
      <c r="F528" s="1393">
        <v>100</v>
      </c>
      <c r="G528" s="1394">
        <v>80</v>
      </c>
      <c r="H528" s="1389">
        <v>70</v>
      </c>
      <c r="I528" s="1389">
        <v>60</v>
      </c>
      <c r="J528" s="1389">
        <v>60</v>
      </c>
      <c r="K528" s="1389">
        <v>50</v>
      </c>
      <c r="L528" s="1389">
        <v>50</v>
      </c>
      <c r="M528" s="1389">
        <v>40</v>
      </c>
      <c r="N528" s="1389">
        <v>33</v>
      </c>
      <c r="O528" s="1390">
        <v>30</v>
      </c>
      <c r="P528" s="47"/>
      <c r="Q528" s="823"/>
      <c r="R528" s="823"/>
      <c r="S528" s="175"/>
      <c r="T528" s="175"/>
      <c r="U528" s="175"/>
      <c r="V528" s="175"/>
      <c r="W528" s="175"/>
      <c r="X528" s="175"/>
      <c r="Y528" s="175"/>
      <c r="Z528" s="175"/>
      <c r="AA528" s="175"/>
      <c r="AB528" s="175"/>
      <c r="AC528" s="175"/>
      <c r="AD528" s="175"/>
      <c r="AE528" s="175"/>
    </row>
    <row r="529" spans="3:31" ht="18.75" hidden="1" customHeight="1">
      <c r="C529" s="3025"/>
      <c r="D529" s="2992"/>
      <c r="E529" s="1373" t="s">
        <v>946</v>
      </c>
      <c r="F529" s="1395">
        <v>212400</v>
      </c>
      <c r="G529" s="1396">
        <v>192552</v>
      </c>
      <c r="H529" s="1376">
        <v>184529</v>
      </c>
      <c r="I529" s="1376">
        <v>140402</v>
      </c>
      <c r="J529" s="1376">
        <v>168483</v>
      </c>
      <c r="K529" s="1376">
        <v>132380</v>
      </c>
      <c r="L529" s="1376">
        <v>160460</v>
      </c>
      <c r="M529" s="1376">
        <v>128368</v>
      </c>
      <c r="N529" s="1376">
        <v>111310</v>
      </c>
      <c r="O529" s="1377">
        <v>108310</v>
      </c>
      <c r="P529" s="218"/>
      <c r="Q529" s="823"/>
      <c r="R529" s="823"/>
      <c r="S529" s="175"/>
      <c r="T529" s="175"/>
      <c r="U529" s="175"/>
      <c r="V529" s="175"/>
      <c r="W529" s="175"/>
      <c r="X529" s="175"/>
      <c r="Y529" s="175"/>
      <c r="Z529" s="175"/>
      <c r="AA529" s="175"/>
      <c r="AB529" s="175"/>
      <c r="AC529" s="175"/>
      <c r="AD529" s="175"/>
      <c r="AE529" s="175"/>
    </row>
    <row r="530" spans="3:31" ht="17.399999999999999">
      <c r="C530" s="3025">
        <v>10</v>
      </c>
      <c r="D530" s="2992" t="s">
        <v>683</v>
      </c>
      <c r="E530" s="1391" t="s">
        <v>1111</v>
      </c>
      <c r="F530" s="1392">
        <v>125</v>
      </c>
      <c r="G530" s="1389">
        <v>110</v>
      </c>
      <c r="H530" s="1389">
        <v>100</v>
      </c>
      <c r="I530" s="1389">
        <v>60</v>
      </c>
      <c r="J530" s="1389">
        <v>50</v>
      </c>
      <c r="K530" s="1389">
        <v>40</v>
      </c>
      <c r="L530" s="1389">
        <v>30</v>
      </c>
      <c r="M530" s="1389">
        <v>25</v>
      </c>
      <c r="N530" s="1389">
        <v>20</v>
      </c>
      <c r="O530" s="1390">
        <v>15</v>
      </c>
      <c r="P530" s="47"/>
      <c r="Q530" s="823"/>
      <c r="R530" s="823"/>
      <c r="S530" s="175"/>
      <c r="T530" s="175"/>
      <c r="U530" s="175"/>
      <c r="V530" s="175"/>
      <c r="W530" s="175"/>
      <c r="X530" s="175"/>
      <c r="Y530" s="175"/>
      <c r="Z530" s="175"/>
      <c r="AA530" s="175"/>
      <c r="AB530" s="175"/>
      <c r="AC530" s="175"/>
      <c r="AD530" s="175"/>
      <c r="AE530" s="175"/>
    </row>
    <row r="531" spans="3:31" ht="18.600000000000001" hidden="1" customHeight="1">
      <c r="C531" s="3025"/>
      <c r="D531" s="2992"/>
      <c r="E531" s="1373" t="s">
        <v>946</v>
      </c>
      <c r="F531" s="1374">
        <v>255000</v>
      </c>
      <c r="G531" s="1376">
        <v>253000</v>
      </c>
      <c r="H531" s="1376">
        <v>240000</v>
      </c>
      <c r="I531" s="1376">
        <v>163000</v>
      </c>
      <c r="J531" s="1376">
        <v>163000</v>
      </c>
      <c r="K531" s="1376">
        <v>125000</v>
      </c>
      <c r="L531" s="1376">
        <v>90000</v>
      </c>
      <c r="M531" s="1376">
        <v>80000</v>
      </c>
      <c r="N531" s="1376">
        <v>70000</v>
      </c>
      <c r="O531" s="1377">
        <v>67000</v>
      </c>
      <c r="P531" s="218"/>
      <c r="Q531" s="823"/>
      <c r="R531" s="823"/>
      <c r="S531" s="175"/>
      <c r="T531" s="175"/>
      <c r="U531" s="175"/>
      <c r="V531" s="175"/>
      <c r="W531" s="175"/>
      <c r="X531" s="175"/>
      <c r="Y531" s="175"/>
      <c r="Z531" s="175"/>
      <c r="AA531" s="175"/>
      <c r="AB531" s="175"/>
      <c r="AC531" s="175"/>
      <c r="AD531" s="175"/>
      <c r="AE531" s="175"/>
    </row>
    <row r="532" spans="3:31" ht="17.399999999999999">
      <c r="C532" s="3025">
        <v>11</v>
      </c>
      <c r="D532" s="2992">
        <v>0</v>
      </c>
      <c r="E532" s="1391" t="s">
        <v>1111</v>
      </c>
      <c r="F532" s="1392"/>
      <c r="G532" s="1389"/>
      <c r="H532" s="1389"/>
      <c r="I532" s="1389"/>
      <c r="J532" s="1389"/>
      <c r="K532" s="1389"/>
      <c r="L532" s="1389"/>
      <c r="M532" s="1389"/>
      <c r="N532" s="1389"/>
      <c r="O532" s="1390"/>
      <c r="P532" s="218"/>
      <c r="Q532" s="823"/>
      <c r="R532" s="823"/>
      <c r="S532" s="175"/>
      <c r="T532" s="175"/>
      <c r="U532" s="175"/>
      <c r="V532" s="175"/>
      <c r="W532" s="175"/>
      <c r="X532" s="175"/>
      <c r="Y532" s="175"/>
      <c r="Z532" s="175"/>
      <c r="AA532" s="175"/>
      <c r="AB532" s="175"/>
      <c r="AC532" s="175"/>
      <c r="AD532" s="175"/>
      <c r="AE532" s="175"/>
    </row>
    <row r="533" spans="3:31" ht="18.600000000000001" hidden="1" customHeight="1">
      <c r="C533" s="3025"/>
      <c r="D533" s="2992"/>
      <c r="E533" s="1373" t="s">
        <v>946</v>
      </c>
      <c r="F533" s="1397"/>
      <c r="G533" s="1398"/>
      <c r="H533" s="1398"/>
      <c r="I533" s="1398"/>
      <c r="J533" s="1398"/>
      <c r="K533" s="1398"/>
      <c r="L533" s="1398"/>
      <c r="M533" s="1398"/>
      <c r="N533" s="1398"/>
      <c r="O533" s="1399"/>
      <c r="P533" s="218"/>
      <c r="Q533" s="823"/>
      <c r="R533" s="823"/>
      <c r="S533" s="175"/>
      <c r="T533" s="175"/>
      <c r="U533" s="175"/>
      <c r="V533" s="175"/>
      <c r="W533" s="175"/>
      <c r="X533" s="175"/>
      <c r="Y533" s="175"/>
      <c r="Z533" s="175"/>
      <c r="AA533" s="175"/>
      <c r="AB533" s="175"/>
      <c r="AC533" s="175"/>
      <c r="AD533" s="175"/>
      <c r="AE533" s="175"/>
    </row>
    <row r="534" spans="3:31" ht="17.399999999999999">
      <c r="C534" s="3025">
        <v>12</v>
      </c>
      <c r="D534" s="2992">
        <v>0</v>
      </c>
      <c r="E534" s="1391" t="s">
        <v>1111</v>
      </c>
      <c r="F534" s="1392"/>
      <c r="G534" s="1389"/>
      <c r="H534" s="1389"/>
      <c r="I534" s="1389"/>
      <c r="J534" s="1389"/>
      <c r="K534" s="1389"/>
      <c r="L534" s="1389"/>
      <c r="M534" s="1389"/>
      <c r="N534" s="1389"/>
      <c r="O534" s="1390"/>
      <c r="P534" s="218"/>
      <c r="Q534" s="823"/>
      <c r="R534" s="823"/>
      <c r="S534" s="175"/>
      <c r="T534" s="175"/>
      <c r="U534" s="175"/>
      <c r="V534" s="175"/>
      <c r="W534" s="175"/>
      <c r="X534" s="175"/>
      <c r="Y534" s="175"/>
      <c r="Z534" s="175"/>
      <c r="AA534" s="175"/>
      <c r="AB534" s="175"/>
      <c r="AC534" s="175"/>
      <c r="AD534" s="175"/>
      <c r="AE534" s="175"/>
    </row>
    <row r="535" spans="3:31" ht="18.75" hidden="1" customHeight="1">
      <c r="C535" s="3025"/>
      <c r="D535" s="2992"/>
      <c r="E535" s="1373" t="s">
        <v>946</v>
      </c>
      <c r="F535" s="1397"/>
      <c r="G535" s="1398"/>
      <c r="H535" s="1398"/>
      <c r="I535" s="1398"/>
      <c r="J535" s="1398"/>
      <c r="K535" s="1398"/>
      <c r="L535" s="1398"/>
      <c r="M535" s="1398"/>
      <c r="N535" s="1398"/>
      <c r="O535" s="1399"/>
      <c r="P535" s="218"/>
      <c r="Q535" s="823"/>
      <c r="R535" s="823"/>
      <c r="S535" s="175"/>
      <c r="T535" s="175"/>
      <c r="U535" s="175"/>
      <c r="V535" s="175"/>
      <c r="W535" s="175"/>
      <c r="X535" s="175"/>
      <c r="Y535" s="175"/>
      <c r="Z535" s="175"/>
      <c r="AA535" s="175"/>
      <c r="AB535" s="175"/>
      <c r="AC535" s="175"/>
      <c r="AD535" s="175"/>
      <c r="AE535" s="175"/>
    </row>
    <row r="536" spans="3:31" ht="17.399999999999999">
      <c r="C536" s="3025">
        <v>13</v>
      </c>
      <c r="D536" s="2992">
        <v>0</v>
      </c>
      <c r="E536" s="1391" t="s">
        <v>1111</v>
      </c>
      <c r="F536" s="1392"/>
      <c r="G536" s="1389"/>
      <c r="H536" s="1389"/>
      <c r="I536" s="1389"/>
      <c r="J536" s="1389"/>
      <c r="K536" s="1389"/>
      <c r="L536" s="1389"/>
      <c r="M536" s="1389"/>
      <c r="N536" s="1389"/>
      <c r="O536" s="1390"/>
      <c r="P536" s="218"/>
      <c r="Q536" s="823"/>
      <c r="R536" s="823"/>
      <c r="S536" s="175"/>
      <c r="T536" s="175"/>
      <c r="U536" s="175"/>
      <c r="V536" s="175"/>
      <c r="W536" s="175"/>
      <c r="X536" s="175"/>
      <c r="Y536" s="175"/>
      <c r="Z536" s="175"/>
      <c r="AA536" s="175"/>
      <c r="AB536" s="175"/>
      <c r="AC536" s="175"/>
      <c r="AD536" s="175"/>
      <c r="AE536" s="175"/>
    </row>
    <row r="537" spans="3:31" ht="19.2" hidden="1" customHeight="1" thickBot="1">
      <c r="C537" s="3046"/>
      <c r="D537" s="3047"/>
      <c r="E537" s="1400" t="s">
        <v>946</v>
      </c>
      <c r="F537" s="1401"/>
      <c r="G537" s="1402"/>
      <c r="H537" s="1402"/>
      <c r="I537" s="1402"/>
      <c r="J537" s="1402"/>
      <c r="K537" s="1402"/>
      <c r="L537" s="1402"/>
      <c r="M537" s="1402"/>
      <c r="N537" s="1402"/>
      <c r="O537" s="1403"/>
      <c r="P537" s="218"/>
      <c r="Q537" s="823"/>
      <c r="R537" s="823"/>
      <c r="S537" s="175"/>
      <c r="T537" s="175"/>
      <c r="U537" s="175"/>
      <c r="V537" s="175"/>
      <c r="W537" s="175"/>
      <c r="X537" s="175"/>
      <c r="Y537" s="175"/>
      <c r="Z537" s="175"/>
      <c r="AA537" s="175"/>
      <c r="AB537" s="175"/>
      <c r="AC537" s="175"/>
      <c r="AD537" s="175"/>
      <c r="AE537" s="175"/>
    </row>
    <row r="538" spans="3:31">
      <c r="H538" s="823"/>
      <c r="I538" s="823"/>
      <c r="J538" s="823"/>
      <c r="K538" s="823"/>
      <c r="L538" s="823"/>
      <c r="M538" s="823"/>
      <c r="N538" s="823"/>
      <c r="O538" s="823"/>
      <c r="P538" s="823"/>
      <c r="Q538" s="823"/>
      <c r="R538" s="823"/>
      <c r="S538" s="175"/>
      <c r="T538" s="175"/>
      <c r="U538" s="175"/>
      <c r="V538" s="175"/>
      <c r="W538" s="175"/>
      <c r="X538" s="175"/>
      <c r="Y538" s="175"/>
      <c r="Z538" s="175"/>
      <c r="AA538" s="175"/>
      <c r="AB538" s="175"/>
      <c r="AC538" s="175"/>
      <c r="AD538" s="175"/>
      <c r="AE538" s="175"/>
    </row>
    <row r="540" spans="3:31" s="935" customFormat="1" ht="15.6" hidden="1">
      <c r="E540" s="1413" t="s">
        <v>1119</v>
      </c>
      <c r="F540" s="1414">
        <f t="shared" ref="F540:O540" si="82">IF($H$23=$D$512,F513,IF($H$23=$D$514,F515,IF($H$23=$D$516,F517,IF($D$518=$H$23,F519,IF($H$23=$D$520,F521,IF($H$23=$D$522,F523,IF($H$23=$D$524,F525,IF($H$23=$D$526,F527,IF($H$23=$D$528,F529,IF($H$23=$D$530,F531,IF($H$23=$D$532,F533,IF($H$23=$D$534,F535,IF($D$536=$H$23,F537,"")))))))))))))</f>
        <v>300000</v>
      </c>
      <c r="G540" s="1415">
        <f t="shared" si="82"/>
        <v>290000</v>
      </c>
      <c r="H540" s="1415">
        <f t="shared" si="82"/>
        <v>255000</v>
      </c>
      <c r="I540" s="1415">
        <f t="shared" si="82"/>
        <v>135000</v>
      </c>
      <c r="J540" s="1415">
        <f t="shared" si="82"/>
        <v>125000</v>
      </c>
      <c r="K540" s="1415">
        <f t="shared" si="82"/>
        <v>95000</v>
      </c>
      <c r="L540" s="1415">
        <f t="shared" si="82"/>
        <v>85000</v>
      </c>
      <c r="M540" s="1415">
        <f t="shared" si="82"/>
        <v>70000</v>
      </c>
      <c r="N540" s="1415">
        <f t="shared" si="82"/>
        <v>69000</v>
      </c>
      <c r="O540" s="1416">
        <f t="shared" si="82"/>
        <v>75000</v>
      </c>
      <c r="S540" s="1417"/>
      <c r="T540" s="1417"/>
      <c r="U540" s="1417"/>
      <c r="V540" s="1417"/>
      <c r="W540" s="1417"/>
      <c r="X540" s="1417"/>
      <c r="Y540" s="1417"/>
      <c r="Z540" s="1417"/>
      <c r="AA540" s="1417"/>
      <c r="AB540" s="1417"/>
      <c r="AC540" s="1417"/>
      <c r="AD540" s="1417"/>
      <c r="AE540" s="1417"/>
    </row>
    <row r="541" spans="3:31" s="935" customFormat="1" ht="15.6" hidden="1">
      <c r="E541" s="1418" t="s">
        <v>1120</v>
      </c>
      <c r="F541" s="3121">
        <f>F540*H55+G540*I55+H540*J55+I540*K55+J540*L55+K540*M55+L540*N55+O55*M540+P55*N540+Q55*O540</f>
        <v>600000</v>
      </c>
      <c r="G541" s="3122"/>
      <c r="H541" s="3122"/>
      <c r="I541" s="3122"/>
      <c r="J541" s="3122"/>
      <c r="K541" s="3122"/>
      <c r="L541" s="3122"/>
      <c r="M541" s="3122"/>
      <c r="N541" s="3122"/>
      <c r="O541" s="3123"/>
      <c r="S541" s="1417"/>
      <c r="T541" s="1417"/>
      <c r="U541" s="1417"/>
      <c r="V541" s="1417"/>
      <c r="W541" s="1417"/>
      <c r="X541" s="1417"/>
      <c r="Y541" s="1417"/>
      <c r="Z541" s="1417"/>
      <c r="AA541" s="1417"/>
      <c r="AB541" s="1417"/>
      <c r="AC541" s="1417"/>
      <c r="AD541" s="1417"/>
      <c r="AE541" s="1417"/>
    </row>
    <row r="542" spans="3:31" s="935" customFormat="1" ht="16.2" hidden="1" thickBot="1">
      <c r="E542" s="1419" t="s">
        <v>1121</v>
      </c>
      <c r="F542" s="3140">
        <f>IF(F541="no input", "no input", F541/G55/1000)</f>
        <v>1.4980525317087785</v>
      </c>
      <c r="G542" s="3141"/>
      <c r="H542" s="3141"/>
      <c r="I542" s="3141"/>
      <c r="J542" s="3141"/>
      <c r="K542" s="3141"/>
      <c r="L542" s="3141"/>
      <c r="M542" s="3141"/>
      <c r="N542" s="3141"/>
      <c r="O542" s="3142"/>
      <c r="S542" s="1417"/>
      <c r="T542" s="1417"/>
      <c r="U542" s="1417"/>
      <c r="V542" s="1417"/>
      <c r="W542" s="1417"/>
      <c r="X542" s="1417"/>
      <c r="Y542" s="1417"/>
      <c r="Z542" s="1417"/>
      <c r="AA542" s="1417"/>
      <c r="AB542" s="1417"/>
      <c r="AC542" s="1417"/>
      <c r="AD542" s="1417"/>
      <c r="AE542" s="1417"/>
    </row>
    <row r="561" spans="15:42" ht="18">
      <c r="AH561" s="173"/>
      <c r="AI561" s="173"/>
    </row>
    <row r="562" spans="15:42" ht="18">
      <c r="AH562" s="173"/>
      <c r="AI562" s="173"/>
    </row>
    <row r="563" spans="15:42" ht="18">
      <c r="AG563" s="173"/>
      <c r="AH563" s="173"/>
      <c r="AI563" s="173"/>
      <c r="AJ563" s="173"/>
      <c r="AK563" s="173"/>
      <c r="AL563" s="173"/>
      <c r="AM563" s="173"/>
      <c r="AN563" s="173"/>
      <c r="AO563" s="173"/>
      <c r="AP563" s="173"/>
    </row>
    <row r="564" spans="15:42" ht="18">
      <c r="AG564" s="173"/>
      <c r="AH564" s="173"/>
      <c r="AI564" s="173"/>
      <c r="AJ564" s="173"/>
      <c r="AK564" s="173"/>
      <c r="AL564" s="173"/>
      <c r="AM564" s="173"/>
      <c r="AN564" s="173"/>
      <c r="AO564" s="173"/>
      <c r="AP564" s="173"/>
    </row>
    <row r="565" spans="15:42" s="173" customFormat="1" ht="18">
      <c r="O565" s="288"/>
    </row>
    <row r="566" spans="15:42" s="173" customFormat="1" ht="18">
      <c r="O566" s="288"/>
    </row>
    <row r="567" spans="15:42" s="173" customFormat="1" ht="18">
      <c r="O567" s="288"/>
    </row>
    <row r="568" spans="15:42" s="173" customFormat="1" ht="18">
      <c r="O568" s="288"/>
    </row>
    <row r="569" spans="15:42" s="173" customFormat="1" ht="18">
      <c r="O569" s="288"/>
    </row>
    <row r="570" spans="15:42" s="173" customFormat="1" ht="18">
      <c r="O570" s="288"/>
    </row>
    <row r="571" spans="15:42" s="173" customFormat="1" ht="18">
      <c r="O571" s="288"/>
    </row>
    <row r="572" spans="15:42" s="173" customFormat="1" ht="18">
      <c r="O572" s="288"/>
    </row>
    <row r="573" spans="15:42" s="173" customFormat="1" ht="18">
      <c r="O573" s="288"/>
    </row>
    <row r="574" spans="15:42" s="173" customFormat="1" ht="18">
      <c r="O574" s="288"/>
    </row>
    <row r="575" spans="15:42" s="173" customFormat="1" ht="18">
      <c r="O575" s="288"/>
    </row>
    <row r="576" spans="15:42" s="173" customFormat="1" ht="18">
      <c r="O576" s="288"/>
    </row>
    <row r="577" spans="15:15" s="173" customFormat="1" ht="18">
      <c r="O577" s="288"/>
    </row>
    <row r="578" spans="15:15" s="173" customFormat="1" ht="18">
      <c r="O578" s="288"/>
    </row>
    <row r="579" spans="15:15" s="173" customFormat="1" ht="18">
      <c r="O579" s="288"/>
    </row>
    <row r="580" spans="15:15" s="173" customFormat="1" ht="18">
      <c r="O580" s="288"/>
    </row>
    <row r="581" spans="15:15" s="173" customFormat="1" ht="18">
      <c r="O581" s="288"/>
    </row>
    <row r="582" spans="15:15" s="173" customFormat="1" ht="18">
      <c r="O582" s="288"/>
    </row>
    <row r="583" spans="15:15" s="173" customFormat="1" ht="18">
      <c r="O583" s="288"/>
    </row>
    <row r="584" spans="15:15" s="173" customFormat="1" ht="18">
      <c r="O584" s="288"/>
    </row>
    <row r="585" spans="15:15" s="173" customFormat="1" ht="18">
      <c r="O585" s="288"/>
    </row>
    <row r="586" spans="15:15" s="173" customFormat="1" ht="18">
      <c r="O586" s="288"/>
    </row>
    <row r="587" spans="15:15" s="173" customFormat="1" ht="18">
      <c r="O587" s="288"/>
    </row>
    <row r="588" spans="15:15" s="173" customFormat="1" ht="18">
      <c r="O588" s="288"/>
    </row>
    <row r="589" spans="15:15" s="173" customFormat="1" ht="18">
      <c r="O589" s="288"/>
    </row>
    <row r="590" spans="15:15" s="173" customFormat="1" ht="18">
      <c r="O590" s="288"/>
    </row>
    <row r="591" spans="15:15" s="173" customFormat="1" ht="18">
      <c r="O591" s="288"/>
    </row>
    <row r="592" spans="15:15" s="173" customFormat="1" ht="18">
      <c r="O592" s="288"/>
    </row>
    <row r="593" spans="15:15" s="173" customFormat="1" ht="18">
      <c r="O593" s="288"/>
    </row>
    <row r="594" spans="15:15" s="173" customFormat="1" ht="18">
      <c r="O594" s="288"/>
    </row>
    <row r="595" spans="15:15" s="173" customFormat="1" ht="18">
      <c r="O595" s="288"/>
    </row>
    <row r="596" spans="15:15" s="173" customFormat="1" ht="18">
      <c r="O596" s="288"/>
    </row>
    <row r="597" spans="15:15" s="173" customFormat="1" ht="18">
      <c r="O597" s="288"/>
    </row>
    <row r="598" spans="15:15" s="173" customFormat="1" ht="18">
      <c r="O598" s="288"/>
    </row>
    <row r="599" spans="15:15" s="173" customFormat="1" ht="18">
      <c r="O599" s="288"/>
    </row>
    <row r="600" spans="15:15" s="173" customFormat="1" ht="18">
      <c r="O600" s="288"/>
    </row>
    <row r="601" spans="15:15" s="173" customFormat="1" ht="18">
      <c r="O601" s="288"/>
    </row>
    <row r="602" spans="15:15" s="173" customFormat="1" ht="18">
      <c r="O602" s="288"/>
    </row>
    <row r="603" spans="15:15" s="173" customFormat="1" ht="18">
      <c r="O603" s="288"/>
    </row>
    <row r="604" spans="15:15" s="173" customFormat="1" ht="18">
      <c r="O604" s="288"/>
    </row>
    <row r="605" spans="15:15" s="173" customFormat="1" ht="18">
      <c r="O605" s="288"/>
    </row>
    <row r="606" spans="15:15" s="173" customFormat="1" ht="18">
      <c r="O606" s="288"/>
    </row>
    <row r="607" spans="15:15" s="173" customFormat="1" ht="18">
      <c r="O607" s="288"/>
    </row>
    <row r="608" spans="15:15" s="173" customFormat="1" ht="18">
      <c r="O608" s="288"/>
    </row>
    <row r="609" spans="15:15" s="173" customFormat="1" ht="18">
      <c r="O609" s="288"/>
    </row>
    <row r="610" spans="15:15" s="173" customFormat="1" ht="18">
      <c r="O610" s="288"/>
    </row>
    <row r="611" spans="15:15" s="173" customFormat="1" ht="18">
      <c r="O611" s="288"/>
    </row>
    <row r="612" spans="15:15" s="173" customFormat="1" ht="18">
      <c r="O612" s="288"/>
    </row>
    <row r="613" spans="15:15" s="173" customFormat="1" ht="18">
      <c r="O613" s="288"/>
    </row>
    <row r="614" spans="15:15" s="173" customFormat="1" ht="18">
      <c r="O614" s="288"/>
    </row>
    <row r="615" spans="15:15" s="173" customFormat="1" ht="18">
      <c r="O615" s="288"/>
    </row>
    <row r="616" spans="15:15" s="173" customFormat="1" ht="18">
      <c r="O616" s="288"/>
    </row>
    <row r="617" spans="15:15" s="173" customFormat="1" ht="18">
      <c r="O617" s="288"/>
    </row>
    <row r="618" spans="15:15" s="173" customFormat="1" ht="18">
      <c r="O618" s="288"/>
    </row>
    <row r="619" spans="15:15" s="173" customFormat="1" ht="18">
      <c r="O619" s="288"/>
    </row>
    <row r="620" spans="15:15" s="173" customFormat="1" ht="18">
      <c r="O620" s="288"/>
    </row>
    <row r="621" spans="15:15" s="173" customFormat="1" ht="18">
      <c r="O621" s="288"/>
    </row>
    <row r="622" spans="15:15" s="173" customFormat="1" ht="18">
      <c r="O622" s="288"/>
    </row>
    <row r="623" spans="15:15" s="173" customFormat="1" ht="18">
      <c r="O623" s="288"/>
    </row>
    <row r="624" spans="15:15" s="173" customFormat="1" ht="18">
      <c r="O624" s="288"/>
    </row>
    <row r="625" spans="15:15" s="173" customFormat="1" ht="18">
      <c r="O625" s="288"/>
    </row>
    <row r="626" spans="15:15" s="173" customFormat="1" ht="18">
      <c r="O626" s="288"/>
    </row>
    <row r="627" spans="15:15" s="173" customFormat="1" ht="18">
      <c r="O627" s="288"/>
    </row>
    <row r="628" spans="15:15" s="173" customFormat="1" ht="18">
      <c r="O628" s="288"/>
    </row>
    <row r="629" spans="15:15" s="173" customFormat="1" ht="18">
      <c r="O629" s="288"/>
    </row>
    <row r="630" spans="15:15" s="173" customFormat="1" ht="18">
      <c r="O630" s="288"/>
    </row>
    <row r="631" spans="15:15" s="173" customFormat="1" ht="18">
      <c r="O631" s="288"/>
    </row>
    <row r="632" spans="15:15" s="173" customFormat="1" ht="18">
      <c r="O632" s="288"/>
    </row>
    <row r="633" spans="15:15" s="173" customFormat="1" ht="18">
      <c r="O633" s="288"/>
    </row>
    <row r="634" spans="15:15" s="173" customFormat="1" ht="18">
      <c r="O634" s="288"/>
    </row>
    <row r="635" spans="15:15" s="173" customFormat="1" ht="18">
      <c r="O635" s="288"/>
    </row>
    <row r="636" spans="15:15" s="173" customFormat="1" ht="18">
      <c r="O636" s="288"/>
    </row>
    <row r="637" spans="15:15" s="173" customFormat="1" ht="18">
      <c r="O637" s="288"/>
    </row>
    <row r="638" spans="15:15" s="173" customFormat="1" ht="18">
      <c r="O638" s="288"/>
    </row>
    <row r="639" spans="15:15" s="173" customFormat="1" ht="18">
      <c r="O639" s="288"/>
    </row>
    <row r="640" spans="15:15" s="173" customFormat="1" ht="18">
      <c r="O640" s="288"/>
    </row>
    <row r="641" spans="15:15" s="173" customFormat="1" ht="18">
      <c r="O641" s="288"/>
    </row>
    <row r="642" spans="15:15" s="173" customFormat="1" ht="18">
      <c r="O642" s="288"/>
    </row>
    <row r="643" spans="15:15" s="173" customFormat="1" ht="18">
      <c r="O643" s="288"/>
    </row>
    <row r="644" spans="15:15" s="173" customFormat="1" ht="18">
      <c r="O644" s="288"/>
    </row>
    <row r="645" spans="15:15" s="173" customFormat="1" ht="18">
      <c r="O645" s="288"/>
    </row>
    <row r="646" spans="15:15" s="173" customFormat="1" ht="18">
      <c r="O646" s="288"/>
    </row>
    <row r="647" spans="15:15" s="173" customFormat="1" ht="18">
      <c r="O647" s="288"/>
    </row>
    <row r="648" spans="15:15" s="173" customFormat="1" ht="18">
      <c r="O648" s="288"/>
    </row>
    <row r="649" spans="15:15" s="173" customFormat="1" ht="18">
      <c r="O649" s="288"/>
    </row>
    <row r="650" spans="15:15" s="173" customFormat="1" ht="18">
      <c r="O650" s="288"/>
    </row>
    <row r="651" spans="15:15" s="173" customFormat="1" ht="18">
      <c r="O651" s="288"/>
    </row>
    <row r="652" spans="15:15" s="173" customFormat="1" ht="18">
      <c r="O652" s="288"/>
    </row>
    <row r="653" spans="15:15" s="173" customFormat="1" ht="18">
      <c r="O653" s="288"/>
    </row>
    <row r="654" spans="15:15" s="173" customFormat="1" ht="18">
      <c r="O654" s="288"/>
    </row>
    <row r="655" spans="15:15" s="173" customFormat="1" ht="18">
      <c r="O655" s="288"/>
    </row>
    <row r="656" spans="15:15" s="173" customFormat="1" ht="18">
      <c r="O656" s="288"/>
    </row>
    <row r="657" spans="15:15" s="173" customFormat="1" ht="18">
      <c r="O657" s="288"/>
    </row>
    <row r="658" spans="15:15" s="173" customFormat="1" ht="18">
      <c r="O658" s="288"/>
    </row>
    <row r="659" spans="15:15" s="173" customFormat="1" ht="18">
      <c r="O659" s="288"/>
    </row>
    <row r="660" spans="15:15" s="173" customFormat="1" ht="18">
      <c r="O660" s="288"/>
    </row>
    <row r="661" spans="15:15" s="173" customFormat="1" ht="18">
      <c r="O661" s="288"/>
    </row>
    <row r="662" spans="15:15" s="173" customFormat="1" ht="18">
      <c r="O662" s="288"/>
    </row>
    <row r="663" spans="15:15" s="173" customFormat="1" ht="18">
      <c r="O663" s="288"/>
    </row>
    <row r="664" spans="15:15" s="173" customFormat="1" ht="18">
      <c r="O664" s="288"/>
    </row>
    <row r="665" spans="15:15" s="173" customFormat="1" ht="18">
      <c r="O665" s="288"/>
    </row>
    <row r="666" spans="15:15" s="173" customFormat="1" ht="18">
      <c r="O666" s="288"/>
    </row>
    <row r="667" spans="15:15" s="173" customFormat="1" ht="18">
      <c r="O667" s="288"/>
    </row>
    <row r="668" spans="15:15" s="173" customFormat="1" ht="18">
      <c r="O668" s="288"/>
    </row>
    <row r="669" spans="15:15" s="173" customFormat="1" ht="18">
      <c r="O669" s="288"/>
    </row>
    <row r="670" spans="15:15" s="173" customFormat="1" ht="18">
      <c r="O670" s="288"/>
    </row>
    <row r="671" spans="15:15" s="173" customFormat="1" ht="18">
      <c r="O671" s="288"/>
    </row>
    <row r="672" spans="15:15" s="173" customFormat="1" ht="18">
      <c r="O672" s="288"/>
    </row>
    <row r="673" spans="15:15" s="173" customFormat="1" ht="18">
      <c r="O673" s="288"/>
    </row>
    <row r="674" spans="15:15" s="173" customFormat="1" ht="18">
      <c r="O674" s="288"/>
    </row>
    <row r="675" spans="15:15" s="173" customFormat="1" ht="18">
      <c r="O675" s="288"/>
    </row>
    <row r="676" spans="15:15" s="173" customFormat="1" ht="18">
      <c r="O676" s="288"/>
    </row>
    <row r="677" spans="15:15" s="173" customFormat="1" ht="18">
      <c r="O677" s="288"/>
    </row>
    <row r="678" spans="15:15" s="173" customFormat="1" ht="18">
      <c r="O678" s="288"/>
    </row>
    <row r="679" spans="15:15" s="173" customFormat="1" ht="18">
      <c r="O679" s="288"/>
    </row>
    <row r="680" spans="15:15" s="173" customFormat="1" ht="18">
      <c r="O680" s="288"/>
    </row>
    <row r="681" spans="15:15" s="173" customFormat="1" ht="18">
      <c r="O681" s="288"/>
    </row>
    <row r="682" spans="15:15" s="173" customFormat="1" ht="18">
      <c r="O682" s="288"/>
    </row>
    <row r="683" spans="15:15" s="173" customFormat="1" ht="18">
      <c r="O683" s="288"/>
    </row>
    <row r="684" spans="15:15" s="173" customFormat="1" ht="18">
      <c r="O684" s="288"/>
    </row>
    <row r="685" spans="15:15" s="173" customFormat="1" ht="18">
      <c r="O685" s="288"/>
    </row>
    <row r="686" spans="15:15" s="173" customFormat="1" ht="18">
      <c r="O686" s="288"/>
    </row>
    <row r="687" spans="15:15" s="173" customFormat="1" ht="18">
      <c r="O687" s="288"/>
    </row>
    <row r="688" spans="15:15" s="173" customFormat="1" ht="18">
      <c r="O688" s="288"/>
    </row>
    <row r="689" spans="15:15" s="173" customFormat="1" ht="18">
      <c r="O689" s="288"/>
    </row>
    <row r="690" spans="15:15" s="173" customFormat="1" ht="18">
      <c r="O690" s="288"/>
    </row>
    <row r="691" spans="15:15" s="173" customFormat="1" ht="18">
      <c r="O691" s="288"/>
    </row>
    <row r="692" spans="15:15" s="173" customFormat="1" ht="18">
      <c r="O692" s="288"/>
    </row>
    <row r="693" spans="15:15" s="173" customFormat="1" ht="18">
      <c r="O693" s="288"/>
    </row>
    <row r="694" spans="15:15" s="173" customFormat="1" ht="18">
      <c r="O694" s="288"/>
    </row>
    <row r="695" spans="15:15" s="173" customFormat="1" ht="18">
      <c r="O695" s="288"/>
    </row>
    <row r="696" spans="15:15" s="173" customFormat="1" ht="18">
      <c r="O696" s="288"/>
    </row>
    <row r="697" spans="15:15" s="173" customFormat="1" ht="18">
      <c r="O697" s="288"/>
    </row>
    <row r="698" spans="15:15" s="173" customFormat="1" ht="18">
      <c r="O698" s="288"/>
    </row>
    <row r="699" spans="15:15" s="173" customFormat="1" ht="18">
      <c r="O699" s="288"/>
    </row>
    <row r="700" spans="15:15" s="173" customFormat="1" ht="18">
      <c r="O700" s="288"/>
    </row>
    <row r="701" spans="15:15" s="173" customFormat="1" ht="18">
      <c r="O701" s="288"/>
    </row>
    <row r="702" spans="15:15" s="173" customFormat="1" ht="18">
      <c r="O702" s="288"/>
    </row>
    <row r="703" spans="15:15" s="173" customFormat="1" ht="18">
      <c r="O703" s="288"/>
    </row>
    <row r="704" spans="15:15" s="173" customFormat="1" ht="18">
      <c r="O704" s="288"/>
    </row>
    <row r="705" spans="15:15" s="173" customFormat="1" ht="18">
      <c r="O705" s="288"/>
    </row>
    <row r="706" spans="15:15" s="173" customFormat="1" ht="18">
      <c r="O706" s="288"/>
    </row>
    <row r="707" spans="15:15" s="173" customFormat="1" ht="18">
      <c r="O707" s="288"/>
    </row>
    <row r="708" spans="15:15" s="173" customFormat="1" ht="18">
      <c r="O708" s="288"/>
    </row>
    <row r="709" spans="15:15" s="173" customFormat="1" ht="18">
      <c r="O709" s="288"/>
    </row>
    <row r="710" spans="15:15" s="173" customFormat="1" ht="18">
      <c r="O710" s="288"/>
    </row>
    <row r="711" spans="15:15" s="173" customFormat="1" ht="18">
      <c r="O711" s="288"/>
    </row>
    <row r="712" spans="15:15" s="173" customFormat="1" ht="18">
      <c r="O712" s="288"/>
    </row>
    <row r="713" spans="15:15" s="173" customFormat="1" ht="18">
      <c r="O713" s="288"/>
    </row>
    <row r="714" spans="15:15" s="173" customFormat="1" ht="18">
      <c r="O714" s="288"/>
    </row>
    <row r="715" spans="15:15" s="173" customFormat="1" ht="18">
      <c r="O715" s="288"/>
    </row>
    <row r="716" spans="15:15" s="173" customFormat="1" ht="18">
      <c r="O716" s="288"/>
    </row>
    <row r="717" spans="15:15" s="173" customFormat="1" ht="18">
      <c r="O717" s="288"/>
    </row>
    <row r="718" spans="15:15" s="173" customFormat="1" ht="18">
      <c r="O718" s="288"/>
    </row>
    <row r="719" spans="15:15" s="173" customFormat="1" ht="18">
      <c r="O719" s="288"/>
    </row>
    <row r="720" spans="15:15" s="173" customFormat="1" ht="18">
      <c r="O720" s="288"/>
    </row>
    <row r="721" spans="15:15" s="173" customFormat="1" ht="18">
      <c r="O721" s="288"/>
    </row>
    <row r="722" spans="15:15" s="173" customFormat="1" ht="18">
      <c r="O722" s="288"/>
    </row>
    <row r="723" spans="15:15" s="173" customFormat="1" ht="18">
      <c r="O723" s="288"/>
    </row>
    <row r="724" spans="15:15" s="173" customFormat="1" ht="18">
      <c r="O724" s="288"/>
    </row>
    <row r="725" spans="15:15" s="173" customFormat="1" ht="18">
      <c r="O725" s="288"/>
    </row>
    <row r="726" spans="15:15" s="173" customFormat="1" ht="18">
      <c r="O726" s="288"/>
    </row>
    <row r="727" spans="15:15" s="173" customFormat="1" ht="18">
      <c r="O727" s="288"/>
    </row>
    <row r="728" spans="15:15" s="173" customFormat="1" ht="18">
      <c r="O728" s="288"/>
    </row>
    <row r="729" spans="15:15" s="173" customFormat="1" ht="18">
      <c r="O729" s="288"/>
    </row>
    <row r="730" spans="15:15" s="173" customFormat="1" ht="18">
      <c r="O730" s="288"/>
    </row>
    <row r="731" spans="15:15" s="173" customFormat="1" ht="18">
      <c r="O731" s="288"/>
    </row>
    <row r="732" spans="15:15" s="173" customFormat="1" ht="18">
      <c r="O732" s="288"/>
    </row>
    <row r="733" spans="15:15" s="173" customFormat="1" ht="18">
      <c r="O733" s="288"/>
    </row>
    <row r="734" spans="15:15" s="173" customFormat="1" ht="18">
      <c r="O734" s="288"/>
    </row>
    <row r="735" spans="15:15" s="173" customFormat="1" ht="18">
      <c r="O735" s="288"/>
    </row>
    <row r="736" spans="15:15" s="173" customFormat="1" ht="18">
      <c r="O736" s="288"/>
    </row>
    <row r="737" spans="15:15" s="173" customFormat="1" ht="18">
      <c r="O737" s="288"/>
    </row>
    <row r="738" spans="15:15" s="173" customFormat="1" ht="18">
      <c r="O738" s="288"/>
    </row>
    <row r="739" spans="15:15" s="173" customFormat="1" ht="18">
      <c r="O739" s="288"/>
    </row>
    <row r="740" spans="15:15" s="173" customFormat="1" ht="18">
      <c r="O740" s="288"/>
    </row>
    <row r="741" spans="15:15" s="173" customFormat="1" ht="18">
      <c r="O741" s="288"/>
    </row>
    <row r="742" spans="15:15" s="173" customFormat="1" ht="18">
      <c r="O742" s="288"/>
    </row>
    <row r="743" spans="15:15" s="173" customFormat="1" ht="18">
      <c r="O743" s="288"/>
    </row>
    <row r="744" spans="15:15" s="173" customFormat="1" ht="18">
      <c r="O744" s="288"/>
    </row>
    <row r="745" spans="15:15" s="173" customFormat="1" ht="18">
      <c r="O745" s="288"/>
    </row>
    <row r="746" spans="15:15" s="173" customFormat="1" ht="18">
      <c r="O746" s="288"/>
    </row>
    <row r="747" spans="15:15" s="173" customFormat="1" ht="18">
      <c r="O747" s="288"/>
    </row>
    <row r="748" spans="15:15" s="173" customFormat="1" ht="18">
      <c r="O748" s="288"/>
    </row>
    <row r="749" spans="15:15" s="173" customFormat="1" ht="18">
      <c r="O749" s="288"/>
    </row>
    <row r="750" spans="15:15" s="173" customFormat="1" ht="18">
      <c r="O750" s="288"/>
    </row>
    <row r="751" spans="15:15" s="173" customFormat="1" ht="18">
      <c r="O751" s="288"/>
    </row>
    <row r="752" spans="15:15" s="173" customFormat="1" ht="18">
      <c r="O752" s="288"/>
    </row>
    <row r="753" spans="15:15" s="173" customFormat="1" ht="18">
      <c r="O753" s="288"/>
    </row>
    <row r="754" spans="15:15" s="173" customFormat="1" ht="18">
      <c r="O754" s="288"/>
    </row>
    <row r="755" spans="15:15" s="173" customFormat="1" ht="18">
      <c r="O755" s="288"/>
    </row>
    <row r="756" spans="15:15" s="173" customFormat="1" ht="18">
      <c r="O756" s="288"/>
    </row>
    <row r="757" spans="15:15" s="173" customFormat="1" ht="18">
      <c r="O757" s="288"/>
    </row>
    <row r="758" spans="15:15" s="173" customFormat="1" ht="18">
      <c r="O758" s="288"/>
    </row>
    <row r="759" spans="15:15" s="173" customFormat="1" ht="18">
      <c r="O759" s="288"/>
    </row>
    <row r="760" spans="15:15" s="173" customFormat="1" ht="18">
      <c r="O760" s="288"/>
    </row>
    <row r="761" spans="15:15" s="173" customFormat="1" ht="18">
      <c r="O761" s="288"/>
    </row>
    <row r="762" spans="15:15" s="173" customFormat="1" ht="18">
      <c r="O762" s="288"/>
    </row>
    <row r="763" spans="15:15" s="173" customFormat="1" ht="18">
      <c r="O763" s="288"/>
    </row>
    <row r="764" spans="15:15" s="173" customFormat="1" ht="18">
      <c r="O764" s="288"/>
    </row>
    <row r="765" spans="15:15" s="173" customFormat="1" ht="18">
      <c r="O765" s="288"/>
    </row>
    <row r="766" spans="15:15" s="173" customFormat="1" ht="18">
      <c r="O766" s="288"/>
    </row>
    <row r="767" spans="15:15" s="173" customFormat="1" ht="18">
      <c r="O767" s="288"/>
    </row>
    <row r="768" spans="15:15" s="173" customFormat="1" ht="18">
      <c r="O768" s="288"/>
    </row>
    <row r="769" spans="15:15" s="173" customFormat="1" ht="18">
      <c r="O769" s="288"/>
    </row>
    <row r="770" spans="15:15" s="173" customFormat="1" ht="18">
      <c r="O770" s="288"/>
    </row>
    <row r="771" spans="15:15" s="173" customFormat="1" ht="18">
      <c r="O771" s="288"/>
    </row>
    <row r="772" spans="15:15" s="173" customFormat="1" ht="18">
      <c r="O772" s="288"/>
    </row>
    <row r="773" spans="15:15" s="173" customFormat="1" ht="18">
      <c r="O773" s="288"/>
    </row>
    <row r="774" spans="15:15" s="173" customFormat="1" ht="18">
      <c r="O774" s="288"/>
    </row>
    <row r="775" spans="15:15" s="173" customFormat="1" ht="18">
      <c r="O775" s="288"/>
    </row>
    <row r="776" spans="15:15" s="173" customFormat="1" ht="18">
      <c r="O776" s="288"/>
    </row>
    <row r="777" spans="15:15" s="173" customFormat="1" ht="18">
      <c r="O777" s="288"/>
    </row>
    <row r="778" spans="15:15" s="173" customFormat="1" ht="18">
      <c r="O778" s="288"/>
    </row>
    <row r="779" spans="15:15" s="173" customFormat="1" ht="18">
      <c r="O779" s="288"/>
    </row>
    <row r="780" spans="15:15" s="173" customFormat="1" ht="18">
      <c r="O780" s="288"/>
    </row>
    <row r="781" spans="15:15" s="173" customFormat="1" ht="18">
      <c r="O781" s="288"/>
    </row>
    <row r="782" spans="15:15" s="173" customFormat="1" ht="18">
      <c r="O782" s="288"/>
    </row>
    <row r="783" spans="15:15" s="173" customFormat="1" ht="18">
      <c r="O783" s="288"/>
    </row>
    <row r="784" spans="15:15" s="173" customFormat="1" ht="18">
      <c r="O784" s="288"/>
    </row>
    <row r="785" spans="15:15" s="173" customFormat="1" ht="18">
      <c r="O785" s="288"/>
    </row>
    <row r="786" spans="15:15" s="173" customFormat="1" ht="18">
      <c r="O786" s="288"/>
    </row>
    <row r="787" spans="15:15" s="173" customFormat="1" ht="18">
      <c r="O787" s="288"/>
    </row>
    <row r="788" spans="15:15" s="173" customFormat="1" ht="18">
      <c r="O788" s="288"/>
    </row>
    <row r="789" spans="15:15" s="173" customFormat="1" ht="18">
      <c r="O789" s="288"/>
    </row>
    <row r="790" spans="15:15" s="173" customFormat="1" ht="18">
      <c r="O790" s="288"/>
    </row>
    <row r="791" spans="15:15" s="173" customFormat="1" ht="18">
      <c r="O791" s="288"/>
    </row>
    <row r="792" spans="15:15" s="173" customFormat="1" ht="18">
      <c r="O792" s="288"/>
    </row>
    <row r="793" spans="15:15" s="173" customFormat="1" ht="18">
      <c r="O793" s="288"/>
    </row>
    <row r="794" spans="15:15" s="173" customFormat="1" ht="18">
      <c r="O794" s="288"/>
    </row>
    <row r="795" spans="15:15" s="173" customFormat="1" ht="18">
      <c r="O795" s="288"/>
    </row>
    <row r="796" spans="15:15" s="173" customFormat="1" ht="18">
      <c r="O796" s="288"/>
    </row>
    <row r="797" spans="15:15" s="173" customFormat="1" ht="18">
      <c r="O797" s="288"/>
    </row>
    <row r="798" spans="15:15" s="173" customFormat="1" ht="18">
      <c r="O798" s="288"/>
    </row>
    <row r="799" spans="15:15" s="173" customFormat="1" ht="18">
      <c r="O799" s="288"/>
    </row>
    <row r="800" spans="15:15" s="173" customFormat="1" ht="18">
      <c r="O800" s="288"/>
    </row>
    <row r="801" spans="15:15" s="173" customFormat="1" ht="18">
      <c r="O801" s="288"/>
    </row>
    <row r="802" spans="15:15" s="173" customFormat="1" ht="18">
      <c r="O802" s="288"/>
    </row>
    <row r="803" spans="15:15" s="173" customFormat="1" ht="18">
      <c r="O803" s="288"/>
    </row>
    <row r="804" spans="15:15" s="173" customFormat="1" ht="18">
      <c r="O804" s="288"/>
    </row>
    <row r="805" spans="15:15" s="173" customFormat="1" ht="18">
      <c r="O805" s="288"/>
    </row>
    <row r="806" spans="15:15" s="173" customFormat="1" ht="18">
      <c r="O806" s="288"/>
    </row>
    <row r="807" spans="15:15" s="173" customFormat="1" ht="18">
      <c r="O807" s="288"/>
    </row>
    <row r="808" spans="15:15" s="173" customFormat="1" ht="18">
      <c r="O808" s="288"/>
    </row>
    <row r="809" spans="15:15" s="173" customFormat="1" ht="18">
      <c r="O809" s="288"/>
    </row>
    <row r="810" spans="15:15" s="173" customFormat="1" ht="18">
      <c r="O810" s="288"/>
    </row>
    <row r="811" spans="15:15" s="173" customFormat="1" ht="18">
      <c r="O811" s="288"/>
    </row>
    <row r="812" spans="15:15" s="173" customFormat="1" ht="18">
      <c r="O812" s="288"/>
    </row>
    <row r="813" spans="15:15" s="173" customFormat="1" ht="18">
      <c r="O813" s="288"/>
    </row>
    <row r="814" spans="15:15" s="173" customFormat="1" ht="18">
      <c r="O814" s="288"/>
    </row>
    <row r="815" spans="15:15" s="173" customFormat="1" ht="18">
      <c r="O815" s="288"/>
    </row>
    <row r="816" spans="15:15" s="173" customFormat="1" ht="18">
      <c r="O816" s="288"/>
    </row>
    <row r="817" spans="15:42" s="173" customFormat="1" ht="18">
      <c r="O817" s="288"/>
      <c r="AH817" s="175"/>
      <c r="AI817" s="175"/>
    </row>
    <row r="818" spans="15:42" s="173" customFormat="1" ht="18">
      <c r="O818" s="288"/>
      <c r="AH818" s="175"/>
      <c r="AI818" s="175"/>
    </row>
    <row r="819" spans="15:42" s="173" customFormat="1" ht="18">
      <c r="O819" s="288"/>
      <c r="AG819" s="175"/>
      <c r="AH819" s="175"/>
      <c r="AI819" s="175"/>
      <c r="AJ819" s="175"/>
      <c r="AK819" s="175"/>
      <c r="AL819" s="175"/>
      <c r="AM819" s="175"/>
      <c r="AN819" s="175"/>
      <c r="AO819" s="175"/>
      <c r="AP819" s="175"/>
    </row>
    <row r="820" spans="15:42" s="173" customFormat="1" ht="18">
      <c r="O820" s="288"/>
      <c r="AG820" s="175"/>
      <c r="AH820" s="175"/>
      <c r="AI820" s="175"/>
      <c r="AJ820" s="175"/>
      <c r="AK820" s="175"/>
      <c r="AL820" s="175"/>
      <c r="AM820" s="175"/>
      <c r="AN820" s="175"/>
      <c r="AO820" s="175"/>
      <c r="AP820" s="175"/>
    </row>
  </sheetData>
  <sheetProtection algorithmName="SHA-512" hashValue="TlZKVij3C0P2WNCNQq7pgZo/6VOOH9BIH40GaYBsW4U+n8ESItFDWZYAvoMqaQ3UFZYYLqEegLrJGBFS6Rd1GQ==" saltValue="hrnUNgoxNXdaXk767UoCVQ==" spinCount="100000" sheet="1" insertColumns="0" insertRows="0"/>
  <mergeCells count="777">
    <mergeCell ref="AP23:BA23"/>
    <mergeCell ref="Y17:AA17"/>
    <mergeCell ref="L21:N21"/>
    <mergeCell ref="O21:P21"/>
    <mergeCell ref="L5:L7"/>
    <mergeCell ref="AH98:AI98"/>
    <mergeCell ref="AH58:AN58"/>
    <mergeCell ref="AJ21:AL21"/>
    <mergeCell ref="AG21:AI21"/>
    <mergeCell ref="AF70:AF71"/>
    <mergeCell ref="AD60:AD61"/>
    <mergeCell ref="AF84:AF85"/>
    <mergeCell ref="AK84:AL84"/>
    <mergeCell ref="M14:N14"/>
    <mergeCell ref="O14:P14"/>
    <mergeCell ref="O15:P15"/>
    <mergeCell ref="AE82:AE83"/>
    <mergeCell ref="W80:W81"/>
    <mergeCell ref="AA82:AA83"/>
    <mergeCell ref="AF74:AF75"/>
    <mergeCell ref="AF76:AF77"/>
    <mergeCell ref="AE72:AE73"/>
    <mergeCell ref="AK85:AL85"/>
    <mergeCell ref="AE84:AE85"/>
    <mergeCell ref="M394:N394"/>
    <mergeCell ref="G387:H387"/>
    <mergeCell ref="I203:J203"/>
    <mergeCell ref="I202:J202"/>
    <mergeCell ref="I201:J201"/>
    <mergeCell ref="D514:D515"/>
    <mergeCell ref="G386:H386"/>
    <mergeCell ref="E398:H398"/>
    <mergeCell ref="E399:E400"/>
    <mergeCell ref="K361:K366"/>
    <mergeCell ref="M390:N390"/>
    <mergeCell ref="M389:N389"/>
    <mergeCell ref="M388:N388"/>
    <mergeCell ref="M387:N387"/>
    <mergeCell ref="M386:N386"/>
    <mergeCell ref="M385:N385"/>
    <mergeCell ref="K359:O359"/>
    <mergeCell ref="G394:H394"/>
    <mergeCell ref="M392:N392"/>
    <mergeCell ref="M391:N391"/>
    <mergeCell ref="E511:O511"/>
    <mergeCell ref="D512:D513"/>
    <mergeCell ref="I206:J206"/>
    <mergeCell ref="L217:L218"/>
    <mergeCell ref="C229:C232"/>
    <mergeCell ref="G182:H182"/>
    <mergeCell ref="D214:E214"/>
    <mergeCell ref="D216:E216"/>
    <mergeCell ref="D217:E217"/>
    <mergeCell ref="D218:E218"/>
    <mergeCell ref="G194:H194"/>
    <mergeCell ref="E194:F194"/>
    <mergeCell ref="D210:E210"/>
    <mergeCell ref="E182:F182"/>
    <mergeCell ref="AE124:AE125"/>
    <mergeCell ref="U118:U119"/>
    <mergeCell ref="AD124:AD125"/>
    <mergeCell ref="AF78:AF79"/>
    <mergeCell ref="W78:W79"/>
    <mergeCell ref="Y80:Y81"/>
    <mergeCell ref="AC102:AC103"/>
    <mergeCell ref="AD123:AE123"/>
    <mergeCell ref="AD88:AD89"/>
    <mergeCell ref="AD90:AD91"/>
    <mergeCell ref="AD92:AD93"/>
    <mergeCell ref="AD86:AD87"/>
    <mergeCell ref="Z110:Z111"/>
    <mergeCell ref="AC94:AC95"/>
    <mergeCell ref="AC110:AC111"/>
    <mergeCell ref="AC96:AC97"/>
    <mergeCell ref="AA86:AA87"/>
    <mergeCell ref="AE88:AE89"/>
    <mergeCell ref="AE90:AE91"/>
    <mergeCell ref="AC92:AC93"/>
    <mergeCell ref="AA102:AA103"/>
    <mergeCell ref="AA110:AA111"/>
    <mergeCell ref="AA90:AA91"/>
    <mergeCell ref="AA100:AA101"/>
    <mergeCell ref="AK82:AL82"/>
    <mergeCell ref="AK83:AL83"/>
    <mergeCell ref="AE78:AE79"/>
    <mergeCell ref="AF82:AF83"/>
    <mergeCell ref="AF72:AF73"/>
    <mergeCell ref="AH99:AI99"/>
    <mergeCell ref="AF94:AF95"/>
    <mergeCell ref="AK91:AL91"/>
    <mergeCell ref="AF86:AF87"/>
    <mergeCell ref="AJ97:AL97"/>
    <mergeCell ref="AH97:AI97"/>
    <mergeCell ref="AH96:AM96"/>
    <mergeCell ref="AK92:AL92"/>
    <mergeCell ref="AF88:AF89"/>
    <mergeCell ref="AK88:AL88"/>
    <mergeCell ref="AK89:AL89"/>
    <mergeCell ref="AF92:AF93"/>
    <mergeCell ref="AK90:AL90"/>
    <mergeCell ref="AJ99:AM99"/>
    <mergeCell ref="AH93:AM93"/>
    <mergeCell ref="AH102:AM102"/>
    <mergeCell ref="AH103:AM120"/>
    <mergeCell ref="AC112:AC113"/>
    <mergeCell ref="AC118:AC119"/>
    <mergeCell ref="AJ98:AL98"/>
    <mergeCell ref="AK70:AL70"/>
    <mergeCell ref="AK71:AL71"/>
    <mergeCell ref="AK72:AL72"/>
    <mergeCell ref="AK73:AL73"/>
    <mergeCell ref="AK74:AL74"/>
    <mergeCell ref="AK75:AL75"/>
    <mergeCell ref="AE74:AE75"/>
    <mergeCell ref="AE76:AE77"/>
    <mergeCell ref="AK76:AL76"/>
    <mergeCell ref="AK77:AL77"/>
    <mergeCell ref="AK78:AL78"/>
    <mergeCell ref="AK79:AL79"/>
    <mergeCell ref="AK80:AL80"/>
    <mergeCell ref="AK81:AL81"/>
    <mergeCell ref="AK86:AL86"/>
    <mergeCell ref="AK87:AL87"/>
    <mergeCell ref="AF118:AF119"/>
    <mergeCell ref="AD116:AD117"/>
    <mergeCell ref="AD118:AD119"/>
    <mergeCell ref="AA94:AA95"/>
    <mergeCell ref="AA92:AA93"/>
    <mergeCell ref="AC114:AC115"/>
    <mergeCell ref="Y114:Y115"/>
    <mergeCell ref="Z112:Z113"/>
    <mergeCell ref="AA114:AA115"/>
    <mergeCell ref="X108:X109"/>
    <mergeCell ref="Y108:Y109"/>
    <mergeCell ref="AA108:AA109"/>
    <mergeCell ref="Z108:Z109"/>
    <mergeCell ref="AA104:AA105"/>
    <mergeCell ref="Z104:Z105"/>
    <mergeCell ref="Y106:Y107"/>
    <mergeCell ref="AC104:AC105"/>
    <mergeCell ref="AC108:AC109"/>
    <mergeCell ref="AC98:AC99"/>
    <mergeCell ref="AA112:AA113"/>
    <mergeCell ref="AC106:AC107"/>
    <mergeCell ref="AC100:AC101"/>
    <mergeCell ref="AA106:AA107"/>
    <mergeCell ref="Z106:Z107"/>
    <mergeCell ref="Y104:Y105"/>
    <mergeCell ref="Z114:Z115"/>
    <mergeCell ref="X106:X107"/>
    <mergeCell ref="AC90:AC91"/>
    <mergeCell ref="AF114:AF115"/>
    <mergeCell ref="AE112:AE113"/>
    <mergeCell ref="AE114:AE115"/>
    <mergeCell ref="AF112:AF113"/>
    <mergeCell ref="AE118:AE119"/>
    <mergeCell ref="AC116:AC117"/>
    <mergeCell ref="AD112:AD113"/>
    <mergeCell ref="AD114:AD115"/>
    <mergeCell ref="AD94:AD95"/>
    <mergeCell ref="AD76:AD77"/>
    <mergeCell ref="AD78:AD79"/>
    <mergeCell ref="AC76:AC77"/>
    <mergeCell ref="AE70:AE71"/>
    <mergeCell ref="U72:U73"/>
    <mergeCell ref="T74:T75"/>
    <mergeCell ref="X70:X71"/>
    <mergeCell ref="Y78:Y79"/>
    <mergeCell ref="T78:T79"/>
    <mergeCell ref="U78:U79"/>
    <mergeCell ref="W70:W71"/>
    <mergeCell ref="T76:T77"/>
    <mergeCell ref="U76:U77"/>
    <mergeCell ref="V72:V73"/>
    <mergeCell ref="AD72:AD73"/>
    <mergeCell ref="AD74:AD75"/>
    <mergeCell ref="W72:W73"/>
    <mergeCell ref="X72:X73"/>
    <mergeCell ref="U74:U75"/>
    <mergeCell ref="X78:X79"/>
    <mergeCell ref="Y70:Y71"/>
    <mergeCell ref="V78:V79"/>
    <mergeCell ref="V76:V77"/>
    <mergeCell ref="V74:V75"/>
    <mergeCell ref="V80:V81"/>
    <mergeCell ref="U80:U81"/>
    <mergeCell ref="T82:T83"/>
    <mergeCell ref="U82:U83"/>
    <mergeCell ref="V82:V83"/>
    <mergeCell ref="T92:T93"/>
    <mergeCell ref="U86:U87"/>
    <mergeCell ref="U88:U89"/>
    <mergeCell ref="T84:T85"/>
    <mergeCell ref="V90:V91"/>
    <mergeCell ref="T88:T89"/>
    <mergeCell ref="U90:U91"/>
    <mergeCell ref="U84:U85"/>
    <mergeCell ref="T86:T87"/>
    <mergeCell ref="T90:T91"/>
    <mergeCell ref="V84:V85"/>
    <mergeCell ref="U92:U93"/>
    <mergeCell ref="V88:V89"/>
    <mergeCell ref="V92:V93"/>
    <mergeCell ref="V86:V87"/>
    <mergeCell ref="AC74:AC75"/>
    <mergeCell ref="AA78:AA79"/>
    <mergeCell ref="Z78:Z79"/>
    <mergeCell ref="AA84:AA85"/>
    <mergeCell ref="AA80:AA81"/>
    <mergeCell ref="W82:W83"/>
    <mergeCell ref="X82:X83"/>
    <mergeCell ref="W84:W85"/>
    <mergeCell ref="X84:X85"/>
    <mergeCell ref="Y74:Y75"/>
    <mergeCell ref="W76:W77"/>
    <mergeCell ref="X76:X77"/>
    <mergeCell ref="W74:W75"/>
    <mergeCell ref="X74:X75"/>
    <mergeCell ref="AC80:AC81"/>
    <mergeCell ref="AC82:AC83"/>
    <mergeCell ref="X80:X81"/>
    <mergeCell ref="Y84:Y85"/>
    <mergeCell ref="Y76:Y77"/>
    <mergeCell ref="Z84:Z85"/>
    <mergeCell ref="Y82:Y83"/>
    <mergeCell ref="AC84:AC85"/>
    <mergeCell ref="V98:V99"/>
    <mergeCell ref="V96:V97"/>
    <mergeCell ref="U94:U95"/>
    <mergeCell ref="X102:X103"/>
    <mergeCell ref="T98:T99"/>
    <mergeCell ref="Z96:Z97"/>
    <mergeCell ref="Z94:Z95"/>
    <mergeCell ref="Y100:Y101"/>
    <mergeCell ref="V100:V101"/>
    <mergeCell ref="Y98:Y99"/>
    <mergeCell ref="Y94:Y95"/>
    <mergeCell ref="X98:X99"/>
    <mergeCell ref="V94:V95"/>
    <mergeCell ref="V102:V103"/>
    <mergeCell ref="W102:W103"/>
    <mergeCell ref="T102:T103"/>
    <mergeCell ref="T96:T97"/>
    <mergeCell ref="Z98:Z99"/>
    <mergeCell ref="X96:X97"/>
    <mergeCell ref="W94:W95"/>
    <mergeCell ref="W96:W97"/>
    <mergeCell ref="X94:X95"/>
    <mergeCell ref="F542:O542"/>
    <mergeCell ref="E394:F394"/>
    <mergeCell ref="W129:X129"/>
    <mergeCell ref="S168:W168"/>
    <mergeCell ref="O168:Q168"/>
    <mergeCell ref="P161:Q161"/>
    <mergeCell ref="V108:V109"/>
    <mergeCell ref="V110:V111"/>
    <mergeCell ref="I158:J158"/>
    <mergeCell ref="P158:Q158"/>
    <mergeCell ref="S183:V183"/>
    <mergeCell ref="P159:Q159"/>
    <mergeCell ref="P196:Q196"/>
    <mergeCell ref="P184:R184"/>
    <mergeCell ref="W116:W117"/>
    <mergeCell ref="W162:X162"/>
    <mergeCell ref="W159:X159"/>
    <mergeCell ref="W158:X158"/>
    <mergeCell ref="D212:E212"/>
    <mergeCell ref="C182:D182"/>
    <mergeCell ref="U110:U111"/>
    <mergeCell ref="U108:U109"/>
    <mergeCell ref="W118:W119"/>
    <mergeCell ref="W122:X122"/>
    <mergeCell ref="F541:O541"/>
    <mergeCell ref="I199:J199"/>
    <mergeCell ref="I198:J198"/>
    <mergeCell ref="I207:J207"/>
    <mergeCell ref="I197:J197"/>
    <mergeCell ref="K367:K371"/>
    <mergeCell ref="K204:L204"/>
    <mergeCell ref="K203:L203"/>
    <mergeCell ref="K202:L202"/>
    <mergeCell ref="K201:L201"/>
    <mergeCell ref="K200:L200"/>
    <mergeCell ref="K199:L199"/>
    <mergeCell ref="K198:L198"/>
    <mergeCell ref="K197:L197"/>
    <mergeCell ref="K207:L207"/>
    <mergeCell ref="M217:M218"/>
    <mergeCell ref="G392:H392"/>
    <mergeCell ref="G391:H391"/>
    <mergeCell ref="G390:H390"/>
    <mergeCell ref="J418:K418"/>
    <mergeCell ref="I200:J200"/>
    <mergeCell ref="E222:I222"/>
    <mergeCell ref="J384:N384"/>
    <mergeCell ref="M393:N393"/>
    <mergeCell ref="U70:U71"/>
    <mergeCell ref="U64:U65"/>
    <mergeCell ref="X66:X67"/>
    <mergeCell ref="U66:U67"/>
    <mergeCell ref="V104:V105"/>
    <mergeCell ref="U98:U99"/>
    <mergeCell ref="U96:U97"/>
    <mergeCell ref="W92:W93"/>
    <mergeCell ref="X92:X93"/>
    <mergeCell ref="X100:X101"/>
    <mergeCell ref="W100:W101"/>
    <mergeCell ref="V70:V71"/>
    <mergeCell ref="W86:W87"/>
    <mergeCell ref="X86:X87"/>
    <mergeCell ref="U104:U105"/>
    <mergeCell ref="W90:W91"/>
    <mergeCell ref="X90:X91"/>
    <mergeCell ref="W88:W89"/>
    <mergeCell ref="X88:X89"/>
    <mergeCell ref="W98:W99"/>
    <mergeCell ref="U102:U103"/>
    <mergeCell ref="X104:X105"/>
    <mergeCell ref="W104:W105"/>
    <mergeCell ref="U100:U101"/>
    <mergeCell ref="T64:T65"/>
    <mergeCell ref="T70:T71"/>
    <mergeCell ref="T72:T73"/>
    <mergeCell ref="T94:T95"/>
    <mergeCell ref="P160:Q160"/>
    <mergeCell ref="G385:H385"/>
    <mergeCell ref="D333:F333"/>
    <mergeCell ref="D340:E340"/>
    <mergeCell ref="D343:I343"/>
    <mergeCell ref="L333:N333"/>
    <mergeCell ref="E358:I358"/>
    <mergeCell ref="L350:N350"/>
    <mergeCell ref="L357:M357"/>
    <mergeCell ref="G134:H134"/>
    <mergeCell ref="P149:Q149"/>
    <mergeCell ref="K146:L146"/>
    <mergeCell ref="T100:T101"/>
    <mergeCell ref="T80:T81"/>
    <mergeCell ref="I146:J146"/>
    <mergeCell ref="D215:E215"/>
    <mergeCell ref="E146:F146"/>
    <mergeCell ref="E134:F134"/>
    <mergeCell ref="I170:J170"/>
    <mergeCell ref="C158:D158"/>
    <mergeCell ref="A1:B4"/>
    <mergeCell ref="R23:R24"/>
    <mergeCell ref="A11:B11"/>
    <mergeCell ref="C10:E10"/>
    <mergeCell ref="G10:H10"/>
    <mergeCell ref="A10:B10"/>
    <mergeCell ref="C11:E11"/>
    <mergeCell ref="A5:K5"/>
    <mergeCell ref="A7:B7"/>
    <mergeCell ref="A8:B8"/>
    <mergeCell ref="A9:B9"/>
    <mergeCell ref="I7:K7"/>
    <mergeCell ref="C7:E7"/>
    <mergeCell ref="F7:H7"/>
    <mergeCell ref="H23:Q23"/>
    <mergeCell ref="A6:B6"/>
    <mergeCell ref="C6:E6"/>
    <mergeCell ref="F6:H6"/>
    <mergeCell ref="D23:D24"/>
    <mergeCell ref="Q1:S1"/>
    <mergeCell ref="D15:D16"/>
    <mergeCell ref="E15:E16"/>
    <mergeCell ref="F15:F16"/>
    <mergeCell ref="G15:G16"/>
    <mergeCell ref="Q2:S2"/>
    <mergeCell ref="Q3:S3"/>
    <mergeCell ref="C1:P3"/>
    <mergeCell ref="C15:C16"/>
    <mergeCell ref="C4:S4"/>
    <mergeCell ref="BH59:BI59"/>
    <mergeCell ref="C122:D122"/>
    <mergeCell ref="E122:F122"/>
    <mergeCell ref="G122:H122"/>
    <mergeCell ref="I122:J122"/>
    <mergeCell ref="K122:L122"/>
    <mergeCell ref="AC68:AC69"/>
    <mergeCell ref="AC70:AC71"/>
    <mergeCell ref="AC72:AC73"/>
    <mergeCell ref="Z58:Z59"/>
    <mergeCell ref="Z60:Z61"/>
    <mergeCell ref="Z62:Z63"/>
    <mergeCell ref="Z64:Z65"/>
    <mergeCell ref="Z66:Z67"/>
    <mergeCell ref="Z68:Z69"/>
    <mergeCell ref="Z70:Z71"/>
    <mergeCell ref="Z72:Z73"/>
    <mergeCell ref="Y72:Y73"/>
    <mergeCell ref="AA72:AA73"/>
    <mergeCell ref="D520:D521"/>
    <mergeCell ref="C536:C537"/>
    <mergeCell ref="D536:D537"/>
    <mergeCell ref="D534:D535"/>
    <mergeCell ref="C532:C533"/>
    <mergeCell ref="D532:D533"/>
    <mergeCell ref="C526:C527"/>
    <mergeCell ref="D526:D527"/>
    <mergeCell ref="C534:C535"/>
    <mergeCell ref="D524:D525"/>
    <mergeCell ref="C530:C531"/>
    <mergeCell ref="C528:C529"/>
    <mergeCell ref="D522:D523"/>
    <mergeCell ref="C271:C274"/>
    <mergeCell ref="C275:C278"/>
    <mergeCell ref="G389:H389"/>
    <mergeCell ref="G388:H388"/>
    <mergeCell ref="C327:C330"/>
    <mergeCell ref="C262:C265"/>
    <mergeCell ref="C319:C322"/>
    <mergeCell ref="C518:C519"/>
    <mergeCell ref="C516:C517"/>
    <mergeCell ref="C514:C515"/>
    <mergeCell ref="C512:C513"/>
    <mergeCell ref="D413:D418"/>
    <mergeCell ref="D419:D424"/>
    <mergeCell ref="D518:D519"/>
    <mergeCell ref="D516:D517"/>
    <mergeCell ref="D431:D436"/>
    <mergeCell ref="D401:D406"/>
    <mergeCell ref="D407:D412"/>
    <mergeCell ref="D360:D366"/>
    <mergeCell ref="D367:D373"/>
    <mergeCell ref="C299:C302"/>
    <mergeCell ref="C315:C318"/>
    <mergeCell ref="D384:H384"/>
    <mergeCell ref="G393:H393"/>
    <mergeCell ref="C303:C306"/>
    <mergeCell ref="B319:B322"/>
    <mergeCell ref="C522:C523"/>
    <mergeCell ref="C524:C525"/>
    <mergeCell ref="B242:B245"/>
    <mergeCell ref="B250:B253"/>
    <mergeCell ref="B303:B306"/>
    <mergeCell ref="B262:B265"/>
    <mergeCell ref="B266:B269"/>
    <mergeCell ref="B254:B257"/>
    <mergeCell ref="C246:C249"/>
    <mergeCell ref="B323:B326"/>
    <mergeCell ref="C279:C282"/>
    <mergeCell ref="B307:B310"/>
    <mergeCell ref="B299:B302"/>
    <mergeCell ref="C250:C253"/>
    <mergeCell ref="C520:C521"/>
    <mergeCell ref="C266:C270"/>
    <mergeCell ref="C323:C326"/>
    <mergeCell ref="C258:C261"/>
    <mergeCell ref="C283:C286"/>
    <mergeCell ref="C295:C298"/>
    <mergeCell ref="C311:C314"/>
    <mergeCell ref="C287:C290"/>
    <mergeCell ref="C291:C294"/>
    <mergeCell ref="B230:B232"/>
    <mergeCell ref="B238:B241"/>
    <mergeCell ref="C225:C228"/>
    <mergeCell ref="C242:C245"/>
    <mergeCell ref="D219:E219"/>
    <mergeCell ref="D220:E220"/>
    <mergeCell ref="C238:C241"/>
    <mergeCell ref="B327:B330"/>
    <mergeCell ref="B291:B294"/>
    <mergeCell ref="B283:B286"/>
    <mergeCell ref="B271:B274"/>
    <mergeCell ref="B275:B278"/>
    <mergeCell ref="B225:B228"/>
    <mergeCell ref="C307:C310"/>
    <mergeCell ref="B311:B314"/>
    <mergeCell ref="B287:B290"/>
    <mergeCell ref="B295:B298"/>
    <mergeCell ref="B315:B318"/>
    <mergeCell ref="C233:C237"/>
    <mergeCell ref="B222:D222"/>
    <mergeCell ref="B233:B237"/>
    <mergeCell ref="B258:B261"/>
    <mergeCell ref="B279:B282"/>
    <mergeCell ref="B246:B249"/>
    <mergeCell ref="I194:J194"/>
    <mergeCell ref="I205:J205"/>
    <mergeCell ref="O122:O123"/>
    <mergeCell ref="I204:J204"/>
    <mergeCell ref="K206:L206"/>
    <mergeCell ref="K205:L205"/>
    <mergeCell ref="D530:D531"/>
    <mergeCell ref="D528:D529"/>
    <mergeCell ref="D425:D430"/>
    <mergeCell ref="D398:D400"/>
    <mergeCell ref="D209:G209"/>
    <mergeCell ref="F210:G210"/>
    <mergeCell ref="D211:E211"/>
    <mergeCell ref="G170:H170"/>
    <mergeCell ref="K158:L158"/>
    <mergeCell ref="K170:L170"/>
    <mergeCell ref="B223:D223"/>
    <mergeCell ref="G158:H158"/>
    <mergeCell ref="K182:L182"/>
    <mergeCell ref="C134:D134"/>
    <mergeCell ref="C146:D146"/>
    <mergeCell ref="C194:D194"/>
    <mergeCell ref="C254:C257"/>
    <mergeCell ref="T108:T109"/>
    <mergeCell ref="P144:R144"/>
    <mergeCell ref="P146:Q146"/>
    <mergeCell ref="P145:Q145"/>
    <mergeCell ref="B112:B113"/>
    <mergeCell ref="T106:T107"/>
    <mergeCell ref="T104:T105"/>
    <mergeCell ref="T112:T113"/>
    <mergeCell ref="T114:T115"/>
    <mergeCell ref="T110:T111"/>
    <mergeCell ref="B118:B119"/>
    <mergeCell ref="B104:B105"/>
    <mergeCell ref="Q136:R136"/>
    <mergeCell ref="I134:J134"/>
    <mergeCell ref="B106:B107"/>
    <mergeCell ref="B108:B109"/>
    <mergeCell ref="P122:P123"/>
    <mergeCell ref="T118:T119"/>
    <mergeCell ref="K134:L134"/>
    <mergeCell ref="T116:T117"/>
    <mergeCell ref="U114:U115"/>
    <mergeCell ref="U116:U117"/>
    <mergeCell ref="U112:U113"/>
    <mergeCell ref="Y110:Y111"/>
    <mergeCell ref="W114:W115"/>
    <mergeCell ref="X114:X115"/>
    <mergeCell ref="Y112:Y113"/>
    <mergeCell ref="B116:B117"/>
    <mergeCell ref="E170:F170"/>
    <mergeCell ref="X118:X119"/>
    <mergeCell ref="V116:V117"/>
    <mergeCell ref="V118:V119"/>
    <mergeCell ref="X116:X117"/>
    <mergeCell ref="Y116:Y117"/>
    <mergeCell ref="Y118:Y119"/>
    <mergeCell ref="W123:X123"/>
    <mergeCell ref="W110:W111"/>
    <mergeCell ref="X110:X111"/>
    <mergeCell ref="P157:Q157"/>
    <mergeCell ref="P156:R156"/>
    <mergeCell ref="P148:Q148"/>
    <mergeCell ref="P147:Q147"/>
    <mergeCell ref="P152:Q152"/>
    <mergeCell ref="P151:Q151"/>
    <mergeCell ref="C170:D170"/>
    <mergeCell ref="G146:H146"/>
    <mergeCell ref="E158:F158"/>
    <mergeCell ref="I182:J182"/>
    <mergeCell ref="P163:Q163"/>
    <mergeCell ref="P162:Q162"/>
    <mergeCell ref="W160:X160"/>
    <mergeCell ref="W135:X135"/>
    <mergeCell ref="W163:X163"/>
    <mergeCell ref="W161:X161"/>
    <mergeCell ref="W141:X141"/>
    <mergeCell ref="W155:X155"/>
    <mergeCell ref="W154:AA154"/>
    <mergeCell ref="W157:X157"/>
    <mergeCell ref="W156:X156"/>
    <mergeCell ref="P150:Q150"/>
    <mergeCell ref="P164:Q164"/>
    <mergeCell ref="AA116:AA117"/>
    <mergeCell ref="AA118:AA119"/>
    <mergeCell ref="Z118:Z119"/>
    <mergeCell ref="Z116:Z117"/>
    <mergeCell ref="AA68:AA69"/>
    <mergeCell ref="AF60:AF61"/>
    <mergeCell ref="AF62:AF63"/>
    <mergeCell ref="AA66:AA67"/>
    <mergeCell ref="AE68:AE69"/>
    <mergeCell ref="AF64:AF65"/>
    <mergeCell ref="AE64:AE65"/>
    <mergeCell ref="AD64:AD65"/>
    <mergeCell ref="AE60:AE61"/>
    <mergeCell ref="AC66:AC67"/>
    <mergeCell ref="AD66:AD67"/>
    <mergeCell ref="AE66:AE67"/>
    <mergeCell ref="AC62:AC63"/>
    <mergeCell ref="AC60:AC61"/>
    <mergeCell ref="AE62:AE63"/>
    <mergeCell ref="AD62:AD63"/>
    <mergeCell ref="AF66:AF67"/>
    <mergeCell ref="AF68:AF69"/>
    <mergeCell ref="AC64:AC65"/>
    <mergeCell ref="AD68:AD69"/>
    <mergeCell ref="Y60:Y61"/>
    <mergeCell ref="W64:W65"/>
    <mergeCell ref="X64:X65"/>
    <mergeCell ref="W66:W67"/>
    <mergeCell ref="W68:W69"/>
    <mergeCell ref="V64:V65"/>
    <mergeCell ref="V66:V67"/>
    <mergeCell ref="V68:V69"/>
    <mergeCell ref="B114:B115"/>
    <mergeCell ref="B80:B81"/>
    <mergeCell ref="B88:B89"/>
    <mergeCell ref="B70:B71"/>
    <mergeCell ref="B98:B99"/>
    <mergeCell ref="B100:B101"/>
    <mergeCell ref="B102:B103"/>
    <mergeCell ref="B110:B111"/>
    <mergeCell ref="X112:X113"/>
    <mergeCell ref="T66:T67"/>
    <mergeCell ref="V62:V63"/>
    <mergeCell ref="Y66:Y67"/>
    <mergeCell ref="X68:X69"/>
    <mergeCell ref="U106:U107"/>
    <mergeCell ref="V112:V113"/>
    <mergeCell ref="V106:V107"/>
    <mergeCell ref="A55:C55"/>
    <mergeCell ref="A23:A24"/>
    <mergeCell ref="B68:B69"/>
    <mergeCell ref="B66:B67"/>
    <mergeCell ref="B82:B83"/>
    <mergeCell ref="B92:B93"/>
    <mergeCell ref="B86:B87"/>
    <mergeCell ref="B84:B85"/>
    <mergeCell ref="B96:B97"/>
    <mergeCell ref="B94:B95"/>
    <mergeCell ref="B62:B63"/>
    <mergeCell ref="B90:B91"/>
    <mergeCell ref="B60:B61"/>
    <mergeCell ref="B78:B79"/>
    <mergeCell ref="B76:B77"/>
    <mergeCell ref="B74:B75"/>
    <mergeCell ref="B64:B65"/>
    <mergeCell ref="AD80:AD81"/>
    <mergeCell ref="AD82:AD83"/>
    <mergeCell ref="AD84:AD85"/>
    <mergeCell ref="AF110:AF111"/>
    <mergeCell ref="AE106:AE107"/>
    <mergeCell ref="AE108:AE109"/>
    <mergeCell ref="AE110:AE111"/>
    <mergeCell ref="AF108:AF109"/>
    <mergeCell ref="AD108:AD109"/>
    <mergeCell ref="AD110:AD111"/>
    <mergeCell ref="AD102:AD103"/>
    <mergeCell ref="AD104:AD105"/>
    <mergeCell ref="AD106:AD107"/>
    <mergeCell ref="AF104:AF105"/>
    <mergeCell ref="AD100:AD101"/>
    <mergeCell ref="AF90:AF91"/>
    <mergeCell ref="AE86:AE87"/>
    <mergeCell ref="AD98:AD99"/>
    <mergeCell ref="AE80:AE81"/>
    <mergeCell ref="AF80:AF81"/>
    <mergeCell ref="AD96:AD97"/>
    <mergeCell ref="I6:K6"/>
    <mergeCell ref="R5:S6"/>
    <mergeCell ref="D21:E21"/>
    <mergeCell ref="D22:E22"/>
    <mergeCell ref="C9:E9"/>
    <mergeCell ref="I8:K11"/>
    <mergeCell ref="B72:B73"/>
    <mergeCell ref="AD70:AD71"/>
    <mergeCell ref="Y68:Y69"/>
    <mergeCell ref="X58:X59"/>
    <mergeCell ref="Y58:Y59"/>
    <mergeCell ref="W60:W61"/>
    <mergeCell ref="W58:W59"/>
    <mergeCell ref="V58:V59"/>
    <mergeCell ref="T60:T61"/>
    <mergeCell ref="U60:U61"/>
    <mergeCell ref="V60:V61"/>
    <mergeCell ref="T62:T63"/>
    <mergeCell ref="W62:W63"/>
    <mergeCell ref="X62:X63"/>
    <mergeCell ref="Y62:Y63"/>
    <mergeCell ref="U58:U59"/>
    <mergeCell ref="Y64:Y65"/>
    <mergeCell ref="AA60:AA61"/>
    <mergeCell ref="M5:P5"/>
    <mergeCell ref="M6:N6"/>
    <mergeCell ref="M7:N7"/>
    <mergeCell ref="M8:N8"/>
    <mergeCell ref="M9:N9"/>
    <mergeCell ref="M10:P10"/>
    <mergeCell ref="M11:N11"/>
    <mergeCell ref="M12:N12"/>
    <mergeCell ref="M13:N13"/>
    <mergeCell ref="O6:P6"/>
    <mergeCell ref="O7:P7"/>
    <mergeCell ref="O8:P8"/>
    <mergeCell ref="O9:P9"/>
    <mergeCell ref="O11:P11"/>
    <mergeCell ref="C8:E8"/>
    <mergeCell ref="F8:H8"/>
    <mergeCell ref="M15:N15"/>
    <mergeCell ref="I13:K13"/>
    <mergeCell ref="C23:C24"/>
    <mergeCell ref="E23:E24"/>
    <mergeCell ref="G11:H11"/>
    <mergeCell ref="G23:G24"/>
    <mergeCell ref="A21:C22"/>
    <mergeCell ref="I12:K12"/>
    <mergeCell ref="F9:H9"/>
    <mergeCell ref="I14:K17"/>
    <mergeCell ref="A13:B13"/>
    <mergeCell ref="A14:B14"/>
    <mergeCell ref="F10:F11"/>
    <mergeCell ref="A15:B16"/>
    <mergeCell ref="A17:B17"/>
    <mergeCell ref="H15:H16"/>
    <mergeCell ref="B23:B24"/>
    <mergeCell ref="S19:S20"/>
    <mergeCell ref="V23:AO23"/>
    <mergeCell ref="Z21:AF21"/>
    <mergeCell ref="AK69:AL69"/>
    <mergeCell ref="AK60:AL60"/>
    <mergeCell ref="AK61:AL61"/>
    <mergeCell ref="AK62:AL62"/>
    <mergeCell ref="AK63:AL63"/>
    <mergeCell ref="AK64:AL64"/>
    <mergeCell ref="AK65:AL65"/>
    <mergeCell ref="AK66:AL66"/>
    <mergeCell ref="AK67:AL67"/>
    <mergeCell ref="AK68:AL68"/>
    <mergeCell ref="S23:S24"/>
    <mergeCell ref="AK59:AL59"/>
    <mergeCell ref="AB58:AF58"/>
    <mergeCell ref="B58:S58"/>
    <mergeCell ref="F23:F24"/>
    <mergeCell ref="T68:T69"/>
    <mergeCell ref="U68:U69"/>
    <mergeCell ref="X60:X61"/>
    <mergeCell ref="AA62:AA63"/>
    <mergeCell ref="AA64:AA65"/>
    <mergeCell ref="U62:U63"/>
    <mergeCell ref="AC86:AC87"/>
    <mergeCell ref="AC88:AC89"/>
    <mergeCell ref="AC78:AC79"/>
    <mergeCell ref="BB23:BH23"/>
    <mergeCell ref="O13:P13"/>
    <mergeCell ref="AM10:AN10"/>
    <mergeCell ref="AE116:AE117"/>
    <mergeCell ref="H56:P56"/>
    <mergeCell ref="O12:P12"/>
    <mergeCell ref="AF116:AF117"/>
    <mergeCell ref="AF106:AF107"/>
    <mergeCell ref="AE92:AE93"/>
    <mergeCell ref="AE94:AE95"/>
    <mergeCell ref="AE96:AE97"/>
    <mergeCell ref="AE98:AE99"/>
    <mergeCell ref="AE100:AE101"/>
    <mergeCell ref="AE102:AE103"/>
    <mergeCell ref="AE104:AE105"/>
    <mergeCell ref="AF100:AF101"/>
    <mergeCell ref="AF102:AF103"/>
    <mergeCell ref="AF96:AF97"/>
    <mergeCell ref="AF98:AF99"/>
    <mergeCell ref="V114:V115"/>
    <mergeCell ref="W112:W113"/>
    <mergeCell ref="AA88:AA89"/>
    <mergeCell ref="W108:W109"/>
    <mergeCell ref="AA70:AA71"/>
    <mergeCell ref="Z80:Z81"/>
    <mergeCell ref="Z76:Z77"/>
    <mergeCell ref="AA74:AA75"/>
    <mergeCell ref="AA76:AA77"/>
    <mergeCell ref="Z82:Z83"/>
    <mergeCell ref="Y88:Y89"/>
    <mergeCell ref="W106:W107"/>
    <mergeCell ref="Z100:Z101"/>
    <mergeCell ref="Z74:Z75"/>
    <mergeCell ref="Y86:Y87"/>
    <mergeCell ref="Y92:Y93"/>
    <mergeCell ref="Y90:Y91"/>
    <mergeCell ref="Z90:Z91"/>
    <mergeCell ref="Y96:Y97"/>
    <mergeCell ref="Z92:Z93"/>
    <mergeCell ref="Z86:Z87"/>
    <mergeCell ref="Z88:Z89"/>
    <mergeCell ref="Z102:Z103"/>
    <mergeCell ref="Y102:Y103"/>
    <mergeCell ref="AA98:AA99"/>
    <mergeCell ref="AA96:AA97"/>
  </mergeCells>
  <phoneticPr fontId="8" type="noConversion"/>
  <conditionalFormatting sqref="B25:C54">
    <cfRule type="expression" dxfId="926" priority="324">
      <formula>$F$22=0</formula>
    </cfRule>
  </conditionalFormatting>
  <conditionalFormatting sqref="B60:Y119">
    <cfRule type="expression" dxfId="925" priority="644">
      <formula>$G$55=0</formula>
    </cfRule>
  </conditionalFormatting>
  <conditionalFormatting sqref="B59:AM92">
    <cfRule type="expression" dxfId="924" priority="164">
      <formula>$F$21&lt;0.1</formula>
    </cfRule>
  </conditionalFormatting>
  <conditionalFormatting sqref="C10:E11 G10:H11 C14:H15 C17:H17">
    <cfRule type="expression" dxfId="923" priority="322">
      <formula>$I$6=0</formula>
    </cfRule>
  </conditionalFormatting>
  <conditionalFormatting sqref="C523:I523">
    <cfRule type="expression" dxfId="922" priority="2512">
      <formula>#REF!=IF($B$14&lt;&gt;#REF!,0)</formula>
    </cfRule>
  </conditionalFormatting>
  <conditionalFormatting sqref="D25">
    <cfRule type="expression" dxfId="921" priority="806">
      <formula>$C$25&lt;&gt;"Shed"</formula>
    </cfRule>
  </conditionalFormatting>
  <conditionalFormatting sqref="D26">
    <cfRule type="expression" dxfId="920" priority="805">
      <formula>$C$26&lt;&gt;"Shed"</formula>
    </cfRule>
  </conditionalFormatting>
  <conditionalFormatting sqref="D27">
    <cfRule type="expression" dxfId="919" priority="804">
      <formula>$C$27&lt;&gt;"Shed"</formula>
    </cfRule>
  </conditionalFormatting>
  <conditionalFormatting sqref="D28">
    <cfRule type="expression" dxfId="918" priority="803">
      <formula>$C$28&lt;&gt;"Shed"</formula>
    </cfRule>
  </conditionalFormatting>
  <conditionalFormatting sqref="D29">
    <cfRule type="expression" dxfId="917" priority="802">
      <formula>$C$29&lt;&gt;"Shed"</formula>
    </cfRule>
  </conditionalFormatting>
  <conditionalFormatting sqref="D30">
    <cfRule type="expression" dxfId="916" priority="801">
      <formula>$C$30&lt;&gt;"Shed"</formula>
    </cfRule>
  </conditionalFormatting>
  <conditionalFormatting sqref="D31">
    <cfRule type="expression" dxfId="915" priority="800">
      <formula>$C$31&lt;&gt;"Shed"</formula>
    </cfRule>
  </conditionalFormatting>
  <conditionalFormatting sqref="D32">
    <cfRule type="expression" dxfId="914" priority="799">
      <formula>$C$32&lt;&gt;"Shed"</formula>
    </cfRule>
  </conditionalFormatting>
  <conditionalFormatting sqref="D33">
    <cfRule type="expression" dxfId="913" priority="798">
      <formula>$C$33&lt;&gt;"Shed"</formula>
    </cfRule>
  </conditionalFormatting>
  <conditionalFormatting sqref="D34">
    <cfRule type="expression" dxfId="912" priority="797">
      <formula>$C$34&lt;&gt;"Shed"</formula>
    </cfRule>
  </conditionalFormatting>
  <conditionalFormatting sqref="D35">
    <cfRule type="expression" dxfId="911" priority="796">
      <formula>$C$35&lt;&gt;"Shed"</formula>
    </cfRule>
  </conditionalFormatting>
  <conditionalFormatting sqref="D36">
    <cfRule type="expression" dxfId="910" priority="795">
      <formula>$C$36&lt;&gt;"Shed"</formula>
    </cfRule>
  </conditionalFormatting>
  <conditionalFormatting sqref="D37">
    <cfRule type="expression" dxfId="909" priority="794">
      <formula>$C$37&lt;&gt;"Shed"</formula>
    </cfRule>
  </conditionalFormatting>
  <conditionalFormatting sqref="D38">
    <cfRule type="expression" dxfId="908" priority="793">
      <formula>$C$38&lt;&gt;"Shed"</formula>
    </cfRule>
  </conditionalFormatting>
  <conditionalFormatting sqref="D39">
    <cfRule type="expression" dxfId="907" priority="792">
      <formula>$C$39&lt;&gt;"Shed"</formula>
    </cfRule>
  </conditionalFormatting>
  <conditionalFormatting sqref="D40">
    <cfRule type="expression" dxfId="906" priority="791">
      <formula>$C$40&lt;&gt;"Shed"</formula>
    </cfRule>
  </conditionalFormatting>
  <conditionalFormatting sqref="D41">
    <cfRule type="expression" dxfId="905" priority="790">
      <formula>$C$41&lt;&gt;"Shed"</formula>
    </cfRule>
  </conditionalFormatting>
  <conditionalFormatting sqref="D42">
    <cfRule type="expression" dxfId="904" priority="789">
      <formula>$C$42&lt;&gt;"Shed"</formula>
    </cfRule>
  </conditionalFormatting>
  <conditionalFormatting sqref="D43">
    <cfRule type="expression" dxfId="903" priority="788">
      <formula>$C$43&lt;&gt;"Shed"</formula>
    </cfRule>
  </conditionalFormatting>
  <conditionalFormatting sqref="D44">
    <cfRule type="expression" dxfId="902" priority="787">
      <formula>$C$44&lt;&gt;"Shed"</formula>
    </cfRule>
  </conditionalFormatting>
  <conditionalFormatting sqref="D45">
    <cfRule type="expression" dxfId="901" priority="786">
      <formula>$C$45&lt;&gt;"Shed"</formula>
    </cfRule>
  </conditionalFormatting>
  <conditionalFormatting sqref="D46">
    <cfRule type="expression" dxfId="900" priority="785">
      <formula>$C$46&lt;&gt;"Shed"</formula>
    </cfRule>
  </conditionalFormatting>
  <conditionalFormatting sqref="D47">
    <cfRule type="expression" dxfId="899" priority="784">
      <formula>$C$47&lt;&gt;"Shed"</formula>
    </cfRule>
  </conditionalFormatting>
  <conditionalFormatting sqref="D48">
    <cfRule type="expression" dxfId="898" priority="783">
      <formula>$C$48&lt;&gt;"Shed"</formula>
    </cfRule>
  </conditionalFormatting>
  <conditionalFormatting sqref="D49">
    <cfRule type="expression" dxfId="897" priority="782">
      <formula>$C$49&lt;&gt;"Shed"</formula>
    </cfRule>
  </conditionalFormatting>
  <conditionalFormatting sqref="D50">
    <cfRule type="expression" dxfId="896" priority="781">
      <formula>$C$50&lt;&gt;"Shed"</formula>
    </cfRule>
  </conditionalFormatting>
  <conditionalFormatting sqref="D51">
    <cfRule type="expression" dxfId="895" priority="780">
      <formula>$C$51&lt;&gt;"Shed"</formula>
    </cfRule>
  </conditionalFormatting>
  <conditionalFormatting sqref="D52">
    <cfRule type="expression" dxfId="894" priority="779">
      <formula>$C$52&lt;&gt;"Shed"</formula>
    </cfRule>
  </conditionalFormatting>
  <conditionalFormatting sqref="D53">
    <cfRule type="expression" dxfId="893" priority="778">
      <formula>$C$53&lt;&gt;"Shed"</formula>
    </cfRule>
  </conditionalFormatting>
  <conditionalFormatting sqref="D54">
    <cfRule type="expression" dxfId="892" priority="777">
      <formula>$C$54&lt;&gt;"Shed"</formula>
    </cfRule>
  </conditionalFormatting>
  <conditionalFormatting sqref="D20:G20">
    <cfRule type="expression" dxfId="891" priority="193">
      <formula>$D$20="Please fill number of service connections in Site Visit sheet"</formula>
    </cfRule>
  </conditionalFormatting>
  <conditionalFormatting sqref="D60:AF61">
    <cfRule type="expression" dxfId="890" priority="532">
      <formula>$B$60=0</formula>
    </cfRule>
  </conditionalFormatting>
  <conditionalFormatting sqref="D62:AF63">
    <cfRule type="expression" dxfId="889" priority="531">
      <formula>$B$62=0</formula>
    </cfRule>
  </conditionalFormatting>
  <conditionalFormatting sqref="D64:AF65">
    <cfRule type="expression" dxfId="888" priority="530">
      <formula>$B$64=0</formula>
    </cfRule>
  </conditionalFormatting>
  <conditionalFormatting sqref="D66:AF67">
    <cfRule type="expression" dxfId="887" priority="529">
      <formula>$B$66=0</formula>
    </cfRule>
  </conditionalFormatting>
  <conditionalFormatting sqref="D68:AF69">
    <cfRule type="expression" dxfId="886" priority="528">
      <formula>$B$68=0</formula>
    </cfRule>
  </conditionalFormatting>
  <conditionalFormatting sqref="D70:AF71">
    <cfRule type="expression" dxfId="885" priority="527">
      <formula>$B$70=0</formula>
    </cfRule>
  </conditionalFormatting>
  <conditionalFormatting sqref="D72:AF73">
    <cfRule type="expression" dxfId="884" priority="526">
      <formula>$B$72=0</formula>
    </cfRule>
  </conditionalFormatting>
  <conditionalFormatting sqref="D74:AF75">
    <cfRule type="expression" dxfId="883" priority="525">
      <formula>$B$74=0</formula>
    </cfRule>
  </conditionalFormatting>
  <conditionalFormatting sqref="D76:AF77">
    <cfRule type="expression" dxfId="882" priority="524">
      <formula>$B$76=0</formula>
    </cfRule>
  </conditionalFormatting>
  <conditionalFormatting sqref="D78:AF79">
    <cfRule type="expression" dxfId="881" priority="523">
      <formula>$B$78=0</formula>
    </cfRule>
  </conditionalFormatting>
  <conditionalFormatting sqref="D80:AF81">
    <cfRule type="expression" dxfId="880" priority="522">
      <formula>$B$80=0</formula>
    </cfRule>
  </conditionalFormatting>
  <conditionalFormatting sqref="D82:AF83">
    <cfRule type="expression" dxfId="879" priority="521">
      <formula>$B$82=0</formula>
    </cfRule>
  </conditionalFormatting>
  <conditionalFormatting sqref="D84:AF85">
    <cfRule type="expression" dxfId="878" priority="520">
      <formula>$B$84=0</formula>
    </cfRule>
  </conditionalFormatting>
  <conditionalFormatting sqref="D86:AF87">
    <cfRule type="expression" dxfId="877" priority="519">
      <formula>$B$86=0</formula>
    </cfRule>
  </conditionalFormatting>
  <conditionalFormatting sqref="D88:AF89">
    <cfRule type="expression" dxfId="876" priority="518">
      <formula>$B$88=0</formula>
    </cfRule>
  </conditionalFormatting>
  <conditionalFormatting sqref="D90:AF91">
    <cfRule type="expression" dxfId="875" priority="517">
      <formula>$B$90=0</formula>
    </cfRule>
  </conditionalFormatting>
  <conditionalFormatting sqref="D92:AF93">
    <cfRule type="expression" dxfId="874" priority="516">
      <formula>$B$92=0</formula>
    </cfRule>
  </conditionalFormatting>
  <conditionalFormatting sqref="D94:AF95">
    <cfRule type="expression" dxfId="873" priority="515">
      <formula>$B$94=0</formula>
    </cfRule>
  </conditionalFormatting>
  <conditionalFormatting sqref="D96:AF97">
    <cfRule type="expression" dxfId="872" priority="514">
      <formula>$B$96=0</formula>
    </cfRule>
  </conditionalFormatting>
  <conditionalFormatting sqref="D98:AF99">
    <cfRule type="expression" dxfId="871" priority="513">
      <formula>$B$98=0</formula>
    </cfRule>
  </conditionalFormatting>
  <conditionalFormatting sqref="D100:AF101">
    <cfRule type="expression" dxfId="870" priority="512">
      <formula>$B$100=0</formula>
    </cfRule>
  </conditionalFormatting>
  <conditionalFormatting sqref="D102:AF103">
    <cfRule type="expression" dxfId="869" priority="511">
      <formula>$B$102=0</formula>
    </cfRule>
  </conditionalFormatting>
  <conditionalFormatting sqref="D104:AF105">
    <cfRule type="expression" dxfId="868" priority="510">
      <formula>$B$104=0</formula>
    </cfRule>
  </conditionalFormatting>
  <conditionalFormatting sqref="D106:AF107">
    <cfRule type="expression" dxfId="867" priority="509">
      <formula>$B$106=0</formula>
    </cfRule>
  </conditionalFormatting>
  <conditionalFormatting sqref="D108:AF109">
    <cfRule type="expression" dxfId="866" priority="508">
      <formula>$B$108=0</formula>
    </cfRule>
  </conditionalFormatting>
  <conditionalFormatting sqref="D110:AF111">
    <cfRule type="expression" dxfId="865" priority="507">
      <formula>$B$110=0</formula>
    </cfRule>
  </conditionalFormatting>
  <conditionalFormatting sqref="D112:AF113">
    <cfRule type="expression" dxfId="864" priority="506">
      <formula>$B$112=0</formula>
    </cfRule>
  </conditionalFormatting>
  <conditionalFormatting sqref="D114:AF115">
    <cfRule type="expression" dxfId="863" priority="505">
      <formula>$B$114=0</formula>
    </cfRule>
  </conditionalFormatting>
  <conditionalFormatting sqref="D116:AF117">
    <cfRule type="expression" dxfId="862" priority="504">
      <formula>$B$116=0</formula>
    </cfRule>
  </conditionalFormatting>
  <conditionalFormatting sqref="D118:AF119">
    <cfRule type="expression" dxfId="861" priority="503">
      <formula>$B$118=0</formula>
    </cfRule>
  </conditionalFormatting>
  <conditionalFormatting sqref="E25:E54">
    <cfRule type="expression" dxfId="860" priority="2076" stopIfTrue="1">
      <formula>$I$6=" "</formula>
    </cfRule>
  </conditionalFormatting>
  <conditionalFormatting sqref="E25:F25">
    <cfRule type="expression" dxfId="859" priority="705">
      <formula>$C$25=0</formula>
    </cfRule>
  </conditionalFormatting>
  <conditionalFormatting sqref="E27:F27">
    <cfRule type="expression" dxfId="858" priority="673">
      <formula>$C$27=0</formula>
    </cfRule>
  </conditionalFormatting>
  <conditionalFormatting sqref="E28:F28">
    <cfRule type="expression" dxfId="857" priority="672">
      <formula>$C$28=0</formula>
    </cfRule>
  </conditionalFormatting>
  <conditionalFormatting sqref="E29:F29">
    <cfRule type="expression" dxfId="856" priority="671">
      <formula>$C$29=0</formula>
    </cfRule>
  </conditionalFormatting>
  <conditionalFormatting sqref="E30:F30">
    <cfRule type="expression" dxfId="855" priority="670">
      <formula>$C$30=0</formula>
    </cfRule>
  </conditionalFormatting>
  <conditionalFormatting sqref="E31:F31">
    <cfRule type="expression" dxfId="854" priority="669">
      <formula>$C$31=0</formula>
    </cfRule>
  </conditionalFormatting>
  <conditionalFormatting sqref="E32:F32">
    <cfRule type="expression" dxfId="853" priority="668">
      <formula>$C$32=0</formula>
    </cfRule>
  </conditionalFormatting>
  <conditionalFormatting sqref="E33:F33">
    <cfRule type="expression" dxfId="852" priority="667">
      <formula>$C$33=0</formula>
    </cfRule>
  </conditionalFormatting>
  <conditionalFormatting sqref="E34:F34">
    <cfRule type="expression" dxfId="851" priority="666">
      <formula>$C$34=0</formula>
    </cfRule>
  </conditionalFormatting>
  <conditionalFormatting sqref="E35:F35">
    <cfRule type="expression" dxfId="850" priority="665">
      <formula>$C$35=0</formula>
    </cfRule>
  </conditionalFormatting>
  <conditionalFormatting sqref="E36:F36">
    <cfRule type="expression" dxfId="849" priority="664">
      <formula>$C$36=0</formula>
    </cfRule>
  </conditionalFormatting>
  <conditionalFormatting sqref="E37:F37">
    <cfRule type="expression" dxfId="848" priority="663">
      <formula>$C$37=0</formula>
    </cfRule>
  </conditionalFormatting>
  <conditionalFormatting sqref="E38:F38">
    <cfRule type="expression" dxfId="847" priority="662">
      <formula>$C$38=0</formula>
    </cfRule>
  </conditionalFormatting>
  <conditionalFormatting sqref="E39:F39">
    <cfRule type="expression" dxfId="846" priority="661">
      <formula>$C$39=0</formula>
    </cfRule>
  </conditionalFormatting>
  <conditionalFormatting sqref="E40:F40">
    <cfRule type="expression" dxfId="845" priority="660">
      <formula>$C$40=0</formula>
    </cfRule>
  </conditionalFormatting>
  <conditionalFormatting sqref="E41:F41">
    <cfRule type="expression" dxfId="844" priority="659">
      <formula>$C$41=0</formula>
    </cfRule>
  </conditionalFormatting>
  <conditionalFormatting sqref="E42:F42">
    <cfRule type="expression" dxfId="843" priority="658">
      <formula>$C$42=0</formula>
    </cfRule>
  </conditionalFormatting>
  <conditionalFormatting sqref="E43:F43">
    <cfRule type="expression" dxfId="842" priority="657">
      <formula>$C$43=0</formula>
    </cfRule>
  </conditionalFormatting>
  <conditionalFormatting sqref="E44:F44">
    <cfRule type="expression" dxfId="841" priority="656">
      <formula>$C$44=0</formula>
    </cfRule>
  </conditionalFormatting>
  <conditionalFormatting sqref="E45:F45">
    <cfRule type="expression" dxfId="840" priority="655">
      <formula>$C$45=0</formula>
    </cfRule>
  </conditionalFormatting>
  <conditionalFormatting sqref="E46:F46">
    <cfRule type="expression" dxfId="839" priority="654">
      <formula>$C$46=0</formula>
    </cfRule>
  </conditionalFormatting>
  <conditionalFormatting sqref="E47:F47">
    <cfRule type="expression" dxfId="838" priority="653">
      <formula>$C$47=0</formula>
    </cfRule>
  </conditionalFormatting>
  <conditionalFormatting sqref="E48:F48">
    <cfRule type="expression" dxfId="837" priority="55">
      <formula>$C$48=0</formula>
    </cfRule>
  </conditionalFormatting>
  <conditionalFormatting sqref="E49:F49">
    <cfRule type="expression" dxfId="836" priority="651">
      <formula>$C$49=0</formula>
    </cfRule>
  </conditionalFormatting>
  <conditionalFormatting sqref="E50:F50">
    <cfRule type="expression" dxfId="835" priority="650">
      <formula>$C$50=0</formula>
    </cfRule>
  </conditionalFormatting>
  <conditionalFormatting sqref="E51:F51">
    <cfRule type="expression" dxfId="834" priority="649">
      <formula>$C$51=0</formula>
    </cfRule>
  </conditionalFormatting>
  <conditionalFormatting sqref="E52:F52">
    <cfRule type="expression" dxfId="833" priority="648">
      <formula>$C$52=0</formula>
    </cfRule>
  </conditionalFormatting>
  <conditionalFormatting sqref="E53:F53">
    <cfRule type="expression" dxfId="832" priority="647">
      <formula>$C$53=0</formula>
    </cfRule>
  </conditionalFormatting>
  <conditionalFormatting sqref="E54:F54">
    <cfRule type="expression" dxfId="831" priority="646">
      <formula>$C$54=0</formula>
    </cfRule>
  </conditionalFormatting>
  <conditionalFormatting sqref="E25:R25 V25:AY25 BA25:BH25">
    <cfRule type="expression" dxfId="830" priority="56">
      <formula>$C$25=0</formula>
    </cfRule>
  </conditionalFormatting>
  <conditionalFormatting sqref="G21 F21:F22">
    <cfRule type="expression" dxfId="827" priority="323">
      <formula>$I$6=0</formula>
    </cfRule>
  </conditionalFormatting>
  <conditionalFormatting sqref="G25:R25">
    <cfRule type="expression" dxfId="826" priority="170">
      <formula>$F$25=0</formula>
    </cfRule>
  </conditionalFormatting>
  <conditionalFormatting sqref="G26:R26">
    <cfRule type="expression" dxfId="825" priority="354">
      <formula>$F$26=0</formula>
    </cfRule>
  </conditionalFormatting>
  <conditionalFormatting sqref="G27:R27">
    <cfRule type="expression" dxfId="824" priority="353">
      <formula>$F$27=0</formula>
    </cfRule>
  </conditionalFormatting>
  <conditionalFormatting sqref="G28:R28">
    <cfRule type="expression" dxfId="823" priority="352">
      <formula>$F$28=0</formula>
    </cfRule>
  </conditionalFormatting>
  <conditionalFormatting sqref="G29:R29">
    <cfRule type="expression" dxfId="822" priority="351">
      <formula>$F$29=0</formula>
    </cfRule>
  </conditionalFormatting>
  <conditionalFormatting sqref="G30:R30">
    <cfRule type="expression" dxfId="821" priority="350">
      <formula>$F$30=0</formula>
    </cfRule>
  </conditionalFormatting>
  <conditionalFormatting sqref="G31:R31">
    <cfRule type="expression" dxfId="820" priority="349">
      <formula>$F$31=0</formula>
    </cfRule>
  </conditionalFormatting>
  <conditionalFormatting sqref="G32:R32">
    <cfRule type="expression" dxfId="819" priority="348">
      <formula>$F$32=0</formula>
    </cfRule>
  </conditionalFormatting>
  <conditionalFormatting sqref="G33:R33">
    <cfRule type="expression" dxfId="818" priority="347">
      <formula>$F$33=0</formula>
    </cfRule>
  </conditionalFormatting>
  <conditionalFormatting sqref="G34:R34">
    <cfRule type="expression" dxfId="817" priority="346">
      <formula>$F$34=0</formula>
    </cfRule>
  </conditionalFormatting>
  <conditionalFormatting sqref="G35:R35">
    <cfRule type="expression" dxfId="816" priority="345">
      <formula>$F$35=0</formula>
    </cfRule>
  </conditionalFormatting>
  <conditionalFormatting sqref="G36:R36">
    <cfRule type="expression" dxfId="815" priority="344">
      <formula>$F$36=0</formula>
    </cfRule>
  </conditionalFormatting>
  <conditionalFormatting sqref="G37:R37">
    <cfRule type="expression" dxfId="814" priority="343">
      <formula>$F$37=0</formula>
    </cfRule>
  </conditionalFormatting>
  <conditionalFormatting sqref="G38:R38">
    <cfRule type="expression" dxfId="813" priority="342">
      <formula>$F$38=0</formula>
    </cfRule>
  </conditionalFormatting>
  <conditionalFormatting sqref="G39:R39">
    <cfRule type="expression" dxfId="812" priority="341">
      <formula>$F$39=0</formula>
    </cfRule>
  </conditionalFormatting>
  <conditionalFormatting sqref="G40:R40">
    <cfRule type="expression" dxfId="811" priority="340">
      <formula>$F$40=0</formula>
    </cfRule>
  </conditionalFormatting>
  <conditionalFormatting sqref="G41:R41">
    <cfRule type="expression" dxfId="810" priority="339">
      <formula>$F$41=0</formula>
    </cfRule>
  </conditionalFormatting>
  <conditionalFormatting sqref="G42:R42">
    <cfRule type="expression" dxfId="809" priority="338">
      <formula>$F$42=0</formula>
    </cfRule>
  </conditionalFormatting>
  <conditionalFormatting sqref="G43:R43">
    <cfRule type="expression" dxfId="808" priority="337">
      <formula>$F$43=0</formula>
    </cfRule>
  </conditionalFormatting>
  <conditionalFormatting sqref="G44:R44">
    <cfRule type="expression" dxfId="807" priority="336">
      <formula>$F$44=0</formula>
    </cfRule>
  </conditionalFormatting>
  <conditionalFormatting sqref="G45:R45">
    <cfRule type="expression" dxfId="806" priority="335">
      <formula>$F$45=0</formula>
    </cfRule>
  </conditionalFormatting>
  <conditionalFormatting sqref="G46:R46">
    <cfRule type="expression" dxfId="805" priority="334">
      <formula>$F$46=0</formula>
    </cfRule>
  </conditionalFormatting>
  <conditionalFormatting sqref="G47:R47">
    <cfRule type="expression" dxfId="804" priority="333">
      <formula>$F$47=0</formula>
    </cfRule>
  </conditionalFormatting>
  <conditionalFormatting sqref="G48:R48">
    <cfRule type="expression" dxfId="803" priority="332">
      <formula>$F$48=0</formula>
    </cfRule>
  </conditionalFormatting>
  <conditionalFormatting sqref="G49:R49">
    <cfRule type="expression" dxfId="802" priority="331">
      <formula>$F$49=0</formula>
    </cfRule>
  </conditionalFormatting>
  <conditionalFormatting sqref="G50:R50">
    <cfRule type="expression" dxfId="801" priority="330">
      <formula>$F$50=0</formula>
    </cfRule>
  </conditionalFormatting>
  <conditionalFormatting sqref="G51:R51">
    <cfRule type="expression" dxfId="800" priority="329">
      <formula>$F$51=0</formula>
    </cfRule>
  </conditionalFormatting>
  <conditionalFormatting sqref="G52:R52">
    <cfRule type="expression" dxfId="799" priority="328">
      <formula>$F$52=0</formula>
    </cfRule>
  </conditionalFormatting>
  <conditionalFormatting sqref="G53:R53">
    <cfRule type="expression" dxfId="798" priority="327">
      <formula>$F$53=0</formula>
    </cfRule>
  </conditionalFormatting>
  <conditionalFormatting sqref="G54:R54">
    <cfRule type="expression" dxfId="797" priority="326">
      <formula>$F$54=0</formula>
    </cfRule>
  </conditionalFormatting>
  <conditionalFormatting sqref="H25:H54">
    <cfRule type="expression" dxfId="796" priority="184">
      <formula>$H$24=0</formula>
    </cfRule>
  </conditionalFormatting>
  <conditionalFormatting sqref="H21:I21">
    <cfRule type="expression" dxfId="795" priority="192">
      <formula>$H$21="Please fill module Wp details"</formula>
    </cfRule>
  </conditionalFormatting>
  <conditionalFormatting sqref="H27:BH55 H24:BH25 AB26:BH26 H23:AP23 BB23 H26:Z26">
    <cfRule type="expression" dxfId="794" priority="194">
      <formula>$G$21=0</formula>
    </cfRule>
  </conditionalFormatting>
  <conditionalFormatting sqref="I25:I54">
    <cfRule type="expression" dxfId="793" priority="183">
      <formula>$I$24=0</formula>
    </cfRule>
  </conditionalFormatting>
  <conditionalFormatting sqref="I198:I207">
    <cfRule type="expression" dxfId="792" priority="126" stopIfTrue="1">
      <formula>$I$6=0</formula>
    </cfRule>
  </conditionalFormatting>
  <conditionalFormatting sqref="I12:K12">
    <cfRule type="expression" dxfId="791" priority="198">
      <formula>$I$12="Please fill RFQ/RFP details"</formula>
    </cfRule>
  </conditionalFormatting>
  <conditionalFormatting sqref="J25:J54">
    <cfRule type="expression" dxfId="790" priority="182">
      <formula>$J$24=0</formula>
    </cfRule>
  </conditionalFormatting>
  <conditionalFormatting sqref="K25:K54">
    <cfRule type="expression" dxfId="789" priority="181">
      <formula>$K$24=0</formula>
    </cfRule>
  </conditionalFormatting>
  <conditionalFormatting sqref="K21:L21">
    <cfRule type="expression" dxfId="788" priority="191">
      <formula>$K$21="Please fill Module Make details"</formula>
    </cfRule>
  </conditionalFormatting>
  <conditionalFormatting sqref="L5:L7">
    <cfRule type="expression" dxfId="787" priority="125">
      <formula>$L$5="Please fill Existing Plant details"</formula>
    </cfRule>
  </conditionalFormatting>
  <conditionalFormatting sqref="L25:L54">
    <cfRule type="expression" dxfId="786" priority="180">
      <formula>$L$24=0</formula>
    </cfRule>
  </conditionalFormatting>
  <conditionalFormatting sqref="L21:P21">
    <cfRule type="expression" dxfId="785" priority="59">
      <formula>$H$23&lt;&gt;$D$522</formula>
    </cfRule>
  </conditionalFormatting>
  <conditionalFormatting sqref="M25:M54">
    <cfRule type="expression" dxfId="784" priority="179">
      <formula>$M$24=0</formula>
    </cfRule>
  </conditionalFormatting>
  <conditionalFormatting sqref="M5:S13 A6:E11 F7:K11 A13:K13 C14:I14 M14 O14 A14:A15 C15:H15 M15:P15 A17 C17:H17">
    <cfRule type="expression" dxfId="783" priority="200" stopIfTrue="1">
      <formula>$I$6=0</formula>
    </cfRule>
  </conditionalFormatting>
  <conditionalFormatting sqref="N25:N54">
    <cfRule type="expression" dxfId="782" priority="178">
      <formula>$N$24=0</formula>
    </cfRule>
  </conditionalFormatting>
  <conditionalFormatting sqref="O25:O54">
    <cfRule type="expression" dxfId="781" priority="177">
      <formula>$O$24=0</formula>
    </cfRule>
  </conditionalFormatting>
  <conditionalFormatting sqref="O124:O132">
    <cfRule type="expression" dxfId="780" priority="163" stopIfTrue="1">
      <formula>$I$6=0</formula>
    </cfRule>
  </conditionalFormatting>
  <conditionalFormatting sqref="O122:P122">
    <cfRule type="expression" dxfId="779" priority="161">
      <formula>$G$21=0</formula>
    </cfRule>
  </conditionalFormatting>
  <conditionalFormatting sqref="P25:P54">
    <cfRule type="expression" dxfId="778" priority="176">
      <formula>$P$24=0</formula>
    </cfRule>
  </conditionalFormatting>
  <conditionalFormatting sqref="Q25:Q54">
    <cfRule type="expression" dxfId="777" priority="175">
      <formula>$Q$24=0</formula>
    </cfRule>
  </conditionalFormatting>
  <conditionalFormatting sqref="Q14:S16">
    <cfRule type="expression" dxfId="776" priority="162" stopIfTrue="1">
      <formula>$I$6=0</formula>
    </cfRule>
  </conditionalFormatting>
  <conditionalFormatting sqref="S25:U55">
    <cfRule type="expression" dxfId="775" priority="1280">
      <formula>AND(S25&gt;1,S25&lt;1.25)</formula>
    </cfRule>
    <cfRule type="expression" dxfId="774" priority="1279">
      <formula>AND(S25&gt;0,S25&lt;1)</formula>
    </cfRule>
    <cfRule type="expression" dxfId="773" priority="1281">
      <formula>AND(S25&gt;1.25,S25&lt;1.4)</formula>
    </cfRule>
    <cfRule type="expression" dxfId="772" priority="1283">
      <formula>AND(S25&gt;1.4,S25&lt;1.45)</formula>
    </cfRule>
    <cfRule type="expression" dxfId="771" priority="1284">
      <formula>S25&gt;1.45</formula>
    </cfRule>
  </conditionalFormatting>
  <conditionalFormatting sqref="V26:Z26 E26:F26 AB26:AO26">
    <cfRule type="expression" dxfId="770" priority="674">
      <formula>$C$26=0</formula>
    </cfRule>
  </conditionalFormatting>
  <conditionalFormatting sqref="V27:AO27">
    <cfRule type="expression" dxfId="769" priority="383">
      <formula>$C$27=0</formula>
    </cfRule>
  </conditionalFormatting>
  <conditionalFormatting sqref="V28:AO28">
    <cfRule type="expression" dxfId="768" priority="382">
      <formula>$C$28=0</formula>
    </cfRule>
  </conditionalFormatting>
  <conditionalFormatting sqref="V29:AO29">
    <cfRule type="expression" dxfId="767" priority="381">
      <formula>$C$29=0</formula>
    </cfRule>
  </conditionalFormatting>
  <conditionalFormatting sqref="V30:AO30">
    <cfRule type="expression" dxfId="766" priority="158">
      <formula>$C$30=0</formula>
    </cfRule>
  </conditionalFormatting>
  <conditionalFormatting sqref="V31:AO31">
    <cfRule type="expression" dxfId="765" priority="379">
      <formula>$C$31=0</formula>
    </cfRule>
  </conditionalFormatting>
  <conditionalFormatting sqref="V32:AO32">
    <cfRule type="expression" dxfId="764" priority="378">
      <formula>$C$32=0</formula>
    </cfRule>
  </conditionalFormatting>
  <conditionalFormatting sqref="V33:AO33">
    <cfRule type="expression" dxfId="763" priority="377">
      <formula>$C$33=0</formula>
    </cfRule>
  </conditionalFormatting>
  <conditionalFormatting sqref="V34:AO34">
    <cfRule type="expression" dxfId="762" priority="376">
      <formula>$C$34=0</formula>
    </cfRule>
  </conditionalFormatting>
  <conditionalFormatting sqref="V35:AO35">
    <cfRule type="expression" dxfId="761" priority="375">
      <formula>$C$35=0</formula>
    </cfRule>
  </conditionalFormatting>
  <conditionalFormatting sqref="V36:AO36">
    <cfRule type="expression" dxfId="760" priority="374">
      <formula>$C$36=0</formula>
    </cfRule>
  </conditionalFormatting>
  <conditionalFormatting sqref="V37:AO37">
    <cfRule type="expression" dxfId="759" priority="373">
      <formula>$C$37=0</formula>
    </cfRule>
  </conditionalFormatting>
  <conditionalFormatting sqref="V38:AO38">
    <cfRule type="expression" dxfId="758" priority="372">
      <formula>$C$38=0</formula>
    </cfRule>
  </conditionalFormatting>
  <conditionalFormatting sqref="V39:AO39">
    <cfRule type="expression" dxfId="757" priority="371">
      <formula>$C$39=0</formula>
    </cfRule>
  </conditionalFormatting>
  <conditionalFormatting sqref="V40:AO40">
    <cfRule type="expression" dxfId="756" priority="370">
      <formula>$C$40=0</formula>
    </cfRule>
  </conditionalFormatting>
  <conditionalFormatting sqref="V41:AO41">
    <cfRule type="expression" dxfId="755" priority="369">
      <formula>$C$41=0</formula>
    </cfRule>
  </conditionalFormatting>
  <conditionalFormatting sqref="V42:AO42">
    <cfRule type="expression" dxfId="754" priority="368">
      <formula>$C$42=0</formula>
    </cfRule>
  </conditionalFormatting>
  <conditionalFormatting sqref="V43:AO43">
    <cfRule type="expression" dxfId="753" priority="367">
      <formula>$C$43=0</formula>
    </cfRule>
  </conditionalFormatting>
  <conditionalFormatting sqref="V44:AO44">
    <cfRule type="expression" dxfId="752" priority="366">
      <formula>$C$44=0</formula>
    </cfRule>
  </conditionalFormatting>
  <conditionalFormatting sqref="V45:AO45">
    <cfRule type="expression" dxfId="751" priority="365">
      <formula>$C$45=0</formula>
    </cfRule>
  </conditionalFormatting>
  <conditionalFormatting sqref="V46:AO46">
    <cfRule type="expression" dxfId="750" priority="364">
      <formula>$C$46=0</formula>
    </cfRule>
  </conditionalFormatting>
  <conditionalFormatting sqref="V47:AO47">
    <cfRule type="expression" dxfId="749" priority="363">
      <formula>$C$47=0</formula>
    </cfRule>
  </conditionalFormatting>
  <conditionalFormatting sqref="V48:AO48">
    <cfRule type="expression" dxfId="748" priority="362">
      <formula>$C$48=0</formula>
    </cfRule>
  </conditionalFormatting>
  <conditionalFormatting sqref="V49:AO49">
    <cfRule type="expression" dxfId="747" priority="54">
      <formula>$C$49=0</formula>
    </cfRule>
  </conditionalFormatting>
  <conditionalFormatting sqref="V50:AO50">
    <cfRule type="expression" dxfId="746" priority="53">
      <formula>$C$50=0</formula>
    </cfRule>
  </conditionalFormatting>
  <conditionalFormatting sqref="V51:AO51">
    <cfRule type="expression" dxfId="745" priority="359">
      <formula>$C$51=0</formula>
    </cfRule>
  </conditionalFormatting>
  <conditionalFormatting sqref="V52:AO52">
    <cfRule type="expression" dxfId="744" priority="358">
      <formula>$C$52=0</formula>
    </cfRule>
  </conditionalFormatting>
  <conditionalFormatting sqref="V53:AO53">
    <cfRule type="expression" dxfId="743" priority="357">
      <formula>$C$53=0</formula>
    </cfRule>
  </conditionalFormatting>
  <conditionalFormatting sqref="V54:AO54">
    <cfRule type="expression" dxfId="742" priority="356">
      <formula>$C$54=0</formula>
    </cfRule>
  </conditionalFormatting>
  <conditionalFormatting sqref="W25">
    <cfRule type="expression" dxfId="741" priority="319" stopIfTrue="1">
      <formula>$W$25&gt;8</formula>
    </cfRule>
    <cfRule type="expression" dxfId="740" priority="320" stopIfTrue="1">
      <formula>$W$25&lt;5.01</formula>
    </cfRule>
    <cfRule type="expression" dxfId="739" priority="318" stopIfTrue="1">
      <formula>AND($W$25&gt;5,$W$25&lt;8.01)</formula>
    </cfRule>
  </conditionalFormatting>
  <conditionalFormatting sqref="W26">
    <cfRule type="expression" dxfId="738" priority="315" stopIfTrue="1">
      <formula>AND($W$26&gt;5,$W$26&lt;8.01)</formula>
    </cfRule>
    <cfRule type="expression" dxfId="737" priority="58">
      <formula>$C$26=0</formula>
    </cfRule>
    <cfRule type="expression" dxfId="736" priority="317" stopIfTrue="1">
      <formula>$W$26&lt;5.01</formula>
    </cfRule>
    <cfRule type="expression" dxfId="735" priority="316" stopIfTrue="1">
      <formula>$W$26&gt;8</formula>
    </cfRule>
  </conditionalFormatting>
  <conditionalFormatting sqref="W27">
    <cfRule type="expression" dxfId="734" priority="313" stopIfTrue="1">
      <formula>$W$27&gt;8</formula>
    </cfRule>
    <cfRule type="expression" dxfId="733" priority="314" stopIfTrue="1">
      <formula>$W$27&lt;5.01</formula>
    </cfRule>
    <cfRule type="expression" dxfId="732" priority="57">
      <formula>$C$27=0</formula>
    </cfRule>
    <cfRule type="expression" dxfId="731" priority="312" stopIfTrue="1">
      <formula>AND($W$27&gt;5,$W$27&lt;8.01)</formula>
    </cfRule>
  </conditionalFormatting>
  <conditionalFormatting sqref="W28">
    <cfRule type="expression" dxfId="730" priority="171">
      <formula>$C$30=0</formula>
    </cfRule>
    <cfRule type="expression" dxfId="729" priority="311" stopIfTrue="1">
      <formula>$W$29&lt;5.01</formula>
    </cfRule>
    <cfRule type="expression" dxfId="728" priority="310" stopIfTrue="1">
      <formula>$W$29&gt;8</formula>
    </cfRule>
    <cfRule type="expression" dxfId="727" priority="309" stopIfTrue="1">
      <formula>AND($W$29&gt;5,$W$29&lt;8.01)</formula>
    </cfRule>
  </conditionalFormatting>
  <conditionalFormatting sqref="W29">
    <cfRule type="expression" dxfId="726" priority="308">
      <formula>$W$29&lt;5.01</formula>
    </cfRule>
    <cfRule type="expression" dxfId="725" priority="307">
      <formula>$W$29&gt;8</formula>
    </cfRule>
    <cfRule type="expression" dxfId="724" priority="306">
      <formula>AND($W$29&gt;5,$W$29&lt;8.01)</formula>
    </cfRule>
  </conditionalFormatting>
  <conditionalFormatting sqref="W30">
    <cfRule type="expression" dxfId="723" priority="303">
      <formula>AND($W$30&lt;8.01,$W$30&gt;5)</formula>
    </cfRule>
    <cfRule type="expression" dxfId="722" priority="304">
      <formula>$W$30&gt;8</formula>
    </cfRule>
    <cfRule type="expression" dxfId="721" priority="305">
      <formula>$W$30&lt;5.01</formula>
    </cfRule>
  </conditionalFormatting>
  <conditionalFormatting sqref="W31">
    <cfRule type="expression" dxfId="720" priority="302">
      <formula>$W$31&lt;5.01</formula>
    </cfRule>
    <cfRule type="expression" dxfId="719" priority="301">
      <formula>$W$31&gt;8</formula>
    </cfRule>
    <cfRule type="expression" dxfId="718" priority="300">
      <formula>AND($W$31&lt;8.01,$W$31&gt;5)</formula>
    </cfRule>
  </conditionalFormatting>
  <conditionalFormatting sqref="W32">
    <cfRule type="expression" dxfId="717" priority="299">
      <formula>$W$32&lt;5.01</formula>
    </cfRule>
    <cfRule type="expression" dxfId="716" priority="297">
      <formula>AND($W$32&gt;5,$W$32&lt;8.01)</formula>
    </cfRule>
    <cfRule type="expression" dxfId="715" priority="298">
      <formula>$W$32&gt;8</formula>
    </cfRule>
  </conditionalFormatting>
  <conditionalFormatting sqref="W33">
    <cfRule type="expression" dxfId="714" priority="294">
      <formula>AND($W$33&gt;5,$W$33&lt;8.01)</formula>
    </cfRule>
    <cfRule type="expression" dxfId="713" priority="295">
      <formula>$W$33&gt;8</formula>
    </cfRule>
    <cfRule type="expression" dxfId="712" priority="296">
      <formula>$W$33&lt;5.01</formula>
    </cfRule>
  </conditionalFormatting>
  <conditionalFormatting sqref="W34">
    <cfRule type="expression" dxfId="711" priority="291">
      <formula>AND($W$34&gt;5,$W$34&lt;8.01)</formula>
    </cfRule>
    <cfRule type="expression" dxfId="710" priority="292">
      <formula>$W$34&gt;8</formula>
    </cfRule>
    <cfRule type="expression" dxfId="709" priority="293">
      <formula>$W$34&lt;5.01</formula>
    </cfRule>
  </conditionalFormatting>
  <conditionalFormatting sqref="W35">
    <cfRule type="expression" dxfId="708" priority="290">
      <formula>$W$35&lt;5.01</formula>
    </cfRule>
    <cfRule type="expression" dxfId="707" priority="288">
      <formula>AND($W$35&gt;5,$W$35&lt;8.01)</formula>
    </cfRule>
    <cfRule type="expression" dxfId="706" priority="289">
      <formula>$W$35&gt;8</formula>
    </cfRule>
  </conditionalFormatting>
  <conditionalFormatting sqref="W36">
    <cfRule type="expression" dxfId="705" priority="285">
      <formula>AND($W$36&gt;5,$W$36&lt;8.01)</formula>
    </cfRule>
    <cfRule type="expression" dxfId="704" priority="287">
      <formula>$W$36&lt;5.01</formula>
    </cfRule>
    <cfRule type="expression" dxfId="703" priority="286">
      <formula>$W$36&gt;8</formula>
    </cfRule>
  </conditionalFormatting>
  <conditionalFormatting sqref="W37">
    <cfRule type="expression" dxfId="702" priority="284">
      <formula>$W$37&lt;5.01</formula>
    </cfRule>
    <cfRule type="expression" dxfId="701" priority="283">
      <formula>$W$37&gt;8</formula>
    </cfRule>
    <cfRule type="expression" dxfId="700" priority="282">
      <formula>AND($W$37&gt;5,$W$37&lt;8.01)</formula>
    </cfRule>
  </conditionalFormatting>
  <conditionalFormatting sqref="W38">
    <cfRule type="expression" dxfId="699" priority="280">
      <formula>$W$38&gt;8</formula>
    </cfRule>
    <cfRule type="expression" dxfId="698" priority="279">
      <formula>AND($W$38&gt;5,$W$38&lt;8.01)</formula>
    </cfRule>
    <cfRule type="expression" dxfId="697" priority="281">
      <formula>$W$38&lt;5.01</formula>
    </cfRule>
  </conditionalFormatting>
  <conditionalFormatting sqref="W39">
    <cfRule type="expression" dxfId="696" priority="246">
      <formula>AND($W$39&gt;5,$W$39&lt;8.01)</formula>
    </cfRule>
    <cfRule type="expression" dxfId="695" priority="247">
      <formula>$W$39&gt;8</formula>
    </cfRule>
    <cfRule type="expression" dxfId="694" priority="248">
      <formula>$W$39&lt;5.01</formula>
    </cfRule>
  </conditionalFormatting>
  <conditionalFormatting sqref="W40">
    <cfRule type="expression" dxfId="693" priority="244">
      <formula>$W$40&gt;8</formula>
    </cfRule>
    <cfRule type="expression" dxfId="692" priority="245">
      <formula>$W$40&lt;5.01</formula>
    </cfRule>
    <cfRule type="expression" dxfId="691" priority="243">
      <formula>AND($W$40&gt;5,$W$40&lt;8.01)</formula>
    </cfRule>
  </conditionalFormatting>
  <conditionalFormatting sqref="W41">
    <cfRule type="expression" dxfId="690" priority="240">
      <formula>AND($W$41&gt;5,$W$41&lt;8.01)</formula>
    </cfRule>
    <cfRule type="expression" dxfId="689" priority="241">
      <formula>$W$41&gt;8</formula>
    </cfRule>
    <cfRule type="expression" dxfId="688" priority="242">
      <formula>$W$41&lt;5.01</formula>
    </cfRule>
  </conditionalFormatting>
  <conditionalFormatting sqref="W42">
    <cfRule type="expression" dxfId="687" priority="238">
      <formula>$W$42&gt;8</formula>
    </cfRule>
    <cfRule type="expression" dxfId="686" priority="239">
      <formula>$W$42&lt;5.01</formula>
    </cfRule>
    <cfRule type="expression" dxfId="685" priority="237">
      <formula>AND($W$42&gt;5,$W$42&lt;8.01)</formula>
    </cfRule>
  </conditionalFormatting>
  <conditionalFormatting sqref="W43">
    <cfRule type="expression" dxfId="684" priority="234">
      <formula>AND($W$43&gt;5,$W$43&lt;8.01)</formula>
    </cfRule>
    <cfRule type="expression" dxfId="683" priority="235">
      <formula>$W$43&gt;8</formula>
    </cfRule>
    <cfRule type="expression" dxfId="682" priority="236">
      <formula>$W$43&lt;5.01</formula>
    </cfRule>
  </conditionalFormatting>
  <conditionalFormatting sqref="W44">
    <cfRule type="expression" dxfId="681" priority="232">
      <formula>$W$44&gt;8</formula>
    </cfRule>
    <cfRule type="expression" dxfId="680" priority="233">
      <formula>$W$44&lt;5.01</formula>
    </cfRule>
    <cfRule type="expression" dxfId="679" priority="231">
      <formula>AND($W$44&gt;5,$W$44&lt;8.01)</formula>
    </cfRule>
  </conditionalFormatting>
  <conditionalFormatting sqref="W45">
    <cfRule type="expression" dxfId="678" priority="228">
      <formula>AND($W$45&gt;5,$W$45&lt;8.01)</formula>
    </cfRule>
    <cfRule type="expression" dxfId="677" priority="229">
      <formula>$W$45&gt;8</formula>
    </cfRule>
    <cfRule type="expression" dxfId="676" priority="230">
      <formula>$W$45&lt;5.01</formula>
    </cfRule>
  </conditionalFormatting>
  <conditionalFormatting sqref="W46">
    <cfRule type="expression" dxfId="675" priority="227">
      <formula>$W$46&lt;5.01</formula>
    </cfRule>
    <cfRule type="expression" dxfId="674" priority="226">
      <formula>$W$46&gt;8</formula>
    </cfRule>
    <cfRule type="expression" dxfId="673" priority="225">
      <formula>AND($W$46&gt;5,$W$46&lt;8.01)</formula>
    </cfRule>
  </conditionalFormatting>
  <conditionalFormatting sqref="W47">
    <cfRule type="expression" dxfId="672" priority="223">
      <formula>$W$47&gt;8</formula>
    </cfRule>
    <cfRule type="expression" dxfId="671" priority="222">
      <formula>AND($W$47&gt;5,$W$47&lt;8.01)</formula>
    </cfRule>
    <cfRule type="expression" dxfId="670" priority="224">
      <formula>$W$47&lt;5.01</formula>
    </cfRule>
  </conditionalFormatting>
  <conditionalFormatting sqref="W48">
    <cfRule type="expression" dxfId="669" priority="221">
      <formula>$W$48&lt;5.01</formula>
    </cfRule>
    <cfRule type="expression" dxfId="668" priority="220">
      <formula>$W$48&gt;8</formula>
    </cfRule>
    <cfRule type="expression" dxfId="667" priority="219">
      <formula>AND($W$48&gt;5,$W$48&lt;8.01)</formula>
    </cfRule>
  </conditionalFormatting>
  <conditionalFormatting sqref="W49">
    <cfRule type="expression" dxfId="666" priority="188">
      <formula>AND($W$49&gt;5.01,$W$49&lt;8.01)</formula>
    </cfRule>
    <cfRule type="expression" dxfId="665" priority="190">
      <formula>AND($W$49&lt;5.01)</formula>
    </cfRule>
    <cfRule type="expression" dxfId="664" priority="189">
      <formula>$W$49&gt;8</formula>
    </cfRule>
  </conditionalFormatting>
  <conditionalFormatting sqref="W50">
    <cfRule type="expression" dxfId="663" priority="187">
      <formula>AND($W$50&lt;5.01)</formula>
    </cfRule>
    <cfRule type="expression" dxfId="662" priority="185">
      <formula>AND($W$50&gt;5.01,$W$50&lt;8.01)</formula>
    </cfRule>
    <cfRule type="expression" dxfId="661" priority="186">
      <formula>$W$50&gt;8</formula>
    </cfRule>
  </conditionalFormatting>
  <conditionalFormatting sqref="W51">
    <cfRule type="expression" dxfId="660" priority="212">
      <formula>$W$51&lt;5.01</formula>
    </cfRule>
    <cfRule type="expression" dxfId="659" priority="211">
      <formula>$W$51&gt;8</formula>
    </cfRule>
    <cfRule type="expression" dxfId="658" priority="210">
      <formula>AND($W$51&gt;5,$W$51&lt;8.01)</formula>
    </cfRule>
  </conditionalFormatting>
  <conditionalFormatting sqref="W52">
    <cfRule type="expression" dxfId="657" priority="207">
      <formula>AND($W$52&gt;5,$W$52&lt;8.01)</formula>
    </cfRule>
    <cfRule type="expression" dxfId="656" priority="208">
      <formula>$W$52&gt;8</formula>
    </cfRule>
    <cfRule type="expression" dxfId="655" priority="209">
      <formula>$W$52&lt;5.01</formula>
    </cfRule>
  </conditionalFormatting>
  <conditionalFormatting sqref="W53">
    <cfRule type="expression" dxfId="654" priority="206">
      <formula>$W$53&lt;5.01</formula>
    </cfRule>
    <cfRule type="expression" dxfId="653" priority="205">
      <formula>$W$53&gt;8</formula>
    </cfRule>
    <cfRule type="expression" dxfId="652" priority="204">
      <formula>AND($W$53&gt;5,$W$53&lt;8.01)</formula>
    </cfRule>
  </conditionalFormatting>
  <conditionalFormatting sqref="W54">
    <cfRule type="expression" dxfId="651" priority="202">
      <formula>$W$54&gt;8</formula>
    </cfRule>
    <cfRule type="expression" dxfId="650" priority="203">
      <formula>$W$54&lt;5.01</formula>
    </cfRule>
    <cfRule type="expression" dxfId="649" priority="201">
      <formula>AND($W$54&gt;5,$W$54&lt;8.01)</formula>
    </cfRule>
  </conditionalFormatting>
  <conditionalFormatting sqref="W25:X25">
    <cfRule type="expression" dxfId="648" priority="385">
      <formula>$C$25=0</formula>
    </cfRule>
  </conditionalFormatting>
  <conditionalFormatting sqref="Z484">
    <cfRule type="expression" dxfId="647" priority="2465">
      <formula>#REF!&gt;7.9</formula>
    </cfRule>
  </conditionalFormatting>
  <conditionalFormatting sqref="Z60:AF61">
    <cfRule type="expression" dxfId="646" priority="743">
      <formula>$Y$60=0</formula>
    </cfRule>
  </conditionalFormatting>
  <conditionalFormatting sqref="Z62:AF63">
    <cfRule type="expression" dxfId="645" priority="742">
      <formula>$Y$62=0</formula>
    </cfRule>
  </conditionalFormatting>
  <conditionalFormatting sqref="Z64:AF65">
    <cfRule type="expression" dxfId="644" priority="741">
      <formula>$Y$64=0</formula>
    </cfRule>
  </conditionalFormatting>
  <conditionalFormatting sqref="Z66:AF67">
    <cfRule type="expression" dxfId="643" priority="740">
      <formula>$Y$66=0</formula>
    </cfRule>
  </conditionalFormatting>
  <conditionalFormatting sqref="Z68:AF69">
    <cfRule type="expression" dxfId="642" priority="739">
      <formula>$Y$68=0</formula>
    </cfRule>
  </conditionalFormatting>
  <conditionalFormatting sqref="Z70:AF71">
    <cfRule type="expression" dxfId="641" priority="737">
      <formula>$Y$70=0</formula>
    </cfRule>
  </conditionalFormatting>
  <conditionalFormatting sqref="Z72:AF73">
    <cfRule type="expression" dxfId="640" priority="736">
      <formula>$Y$72=0</formula>
    </cfRule>
  </conditionalFormatting>
  <conditionalFormatting sqref="Z74:AF75">
    <cfRule type="expression" dxfId="639" priority="735">
      <formula>$Y$74=0</formula>
    </cfRule>
  </conditionalFormatting>
  <conditionalFormatting sqref="Z76:AF77">
    <cfRule type="expression" dxfId="638" priority="734">
      <formula>$Y$76=0</formula>
    </cfRule>
  </conditionalFormatting>
  <conditionalFormatting sqref="Z78:AF79">
    <cfRule type="expression" dxfId="637" priority="733">
      <formula>$Y$78=0</formula>
    </cfRule>
  </conditionalFormatting>
  <conditionalFormatting sqref="Z80:AF81">
    <cfRule type="expression" dxfId="636" priority="732">
      <formula>$Y$80=0</formula>
    </cfRule>
  </conditionalFormatting>
  <conditionalFormatting sqref="Z82:AF83">
    <cfRule type="expression" dxfId="635" priority="731">
      <formula>$Y$82=0</formula>
    </cfRule>
  </conditionalFormatting>
  <conditionalFormatting sqref="Z84:AF85">
    <cfRule type="expression" dxfId="634" priority="730">
      <formula>$Y$84=0</formula>
    </cfRule>
  </conditionalFormatting>
  <conditionalFormatting sqref="Z86:AF87">
    <cfRule type="expression" dxfId="633" priority="729">
      <formula>$Y$86=0</formula>
    </cfRule>
  </conditionalFormatting>
  <conditionalFormatting sqref="Z88:AF89">
    <cfRule type="expression" dxfId="632" priority="728">
      <formula>$Y$88=0</formula>
    </cfRule>
  </conditionalFormatting>
  <conditionalFormatting sqref="Z90:AF91">
    <cfRule type="expression" dxfId="631" priority="727">
      <formula>$Y$90=0</formula>
    </cfRule>
  </conditionalFormatting>
  <conditionalFormatting sqref="Z92:AF93">
    <cfRule type="expression" dxfId="630" priority="726">
      <formula>$Y$92=0</formula>
    </cfRule>
  </conditionalFormatting>
  <conditionalFormatting sqref="Z94:AF95">
    <cfRule type="expression" dxfId="629" priority="725">
      <formula>$Y$94=0</formula>
    </cfRule>
  </conditionalFormatting>
  <conditionalFormatting sqref="Z96:AF97">
    <cfRule type="expression" dxfId="628" priority="724">
      <formula>$Y$96=0</formula>
    </cfRule>
  </conditionalFormatting>
  <conditionalFormatting sqref="Z98:AF99">
    <cfRule type="expression" dxfId="627" priority="723">
      <formula>$Y$98=0</formula>
    </cfRule>
  </conditionalFormatting>
  <conditionalFormatting sqref="Z100:AF101">
    <cfRule type="expression" dxfId="626" priority="722">
      <formula>$Y$100=0</formula>
    </cfRule>
  </conditionalFormatting>
  <conditionalFormatting sqref="Z102:AF103">
    <cfRule type="expression" dxfId="625" priority="721">
      <formula>$Y$102=0</formula>
    </cfRule>
  </conditionalFormatting>
  <conditionalFormatting sqref="Z104:AF105">
    <cfRule type="expression" dxfId="624" priority="720">
      <formula>$Y$104=0</formula>
    </cfRule>
  </conditionalFormatting>
  <conditionalFormatting sqref="Z106:AF107">
    <cfRule type="expression" dxfId="623" priority="719">
      <formula>$Y$106=0</formula>
    </cfRule>
  </conditionalFormatting>
  <conditionalFormatting sqref="Z108:AF109">
    <cfRule type="expression" dxfId="622" priority="718">
      <formula>$Y$108=0</formula>
    </cfRule>
  </conditionalFormatting>
  <conditionalFormatting sqref="Z110:AF111">
    <cfRule type="expression" dxfId="621" priority="717">
      <formula>$Y$110=0</formula>
    </cfRule>
  </conditionalFormatting>
  <conditionalFormatting sqref="Z112:AF113">
    <cfRule type="expression" dxfId="620" priority="716">
      <formula>$Y$112=0</formula>
    </cfRule>
  </conditionalFormatting>
  <conditionalFormatting sqref="Z114:AF115">
    <cfRule type="expression" dxfId="619" priority="715">
      <formula>$Y$114=0</formula>
    </cfRule>
  </conditionalFormatting>
  <conditionalFormatting sqref="Z116:AF117">
    <cfRule type="expression" dxfId="618" priority="714">
      <formula>$Y$116=0</formula>
    </cfRule>
  </conditionalFormatting>
  <conditionalFormatting sqref="Z118:AF119">
    <cfRule type="expression" dxfId="617" priority="713">
      <formula>$Y$118=0</formula>
    </cfRule>
  </conditionalFormatting>
  <conditionalFormatting sqref="AA60:AA119">
    <cfRule type="cellIs" dxfId="616" priority="744" operator="equal">
      <formula>"NO MATCH"</formula>
    </cfRule>
  </conditionalFormatting>
  <conditionalFormatting sqref="AG21:AL21 A23:G55 H56:Q56 B58:AH58 AN59:AN93 B93:AH93 B94:AM120">
    <cfRule type="expression" dxfId="615" priority="195">
      <formula>$F$21&lt;0.1</formula>
    </cfRule>
  </conditionalFormatting>
  <conditionalFormatting sqref="AH480 AK482:AP482 AA484:AB484 AQ484:AZ484">
    <cfRule type="expression" dxfId="614" priority="2336">
      <formula>$C$38&lt;&gt;$R$7</formula>
    </cfRule>
  </conditionalFormatting>
  <conditionalFormatting sqref="AI60:AN92">
    <cfRule type="expression" dxfId="613" priority="426">
      <formula>$G$55=0</formula>
    </cfRule>
  </conditionalFormatting>
  <conditionalFormatting sqref="AJ25:AJ54">
    <cfRule type="expression" dxfId="612" priority="128">
      <formula>AND(COUNTIF($R$7:$R$11,$C25)&gt;0,$W25&gt;=8)</formula>
    </cfRule>
  </conditionalFormatting>
  <conditionalFormatting sqref="AJ25:AM25">
    <cfRule type="expression" dxfId="611" priority="89">
      <formula>OR($C$25=$R$9,$C$25=$R$12,$C$25=$R$15)</formula>
    </cfRule>
  </conditionalFormatting>
  <conditionalFormatting sqref="AJ26:AM26">
    <cfRule type="expression" dxfId="610" priority="88">
      <formula>OR($C$26=$R$9,$C$26=$R$12,$C$26=$R$15)</formula>
    </cfRule>
  </conditionalFormatting>
  <conditionalFormatting sqref="AJ27:AM27">
    <cfRule type="expression" dxfId="609" priority="87">
      <formula>OR($C$27=$R$9,$C$27=$R$12,$C$27=$R$15)</formula>
    </cfRule>
  </conditionalFormatting>
  <conditionalFormatting sqref="AJ28:AM28">
    <cfRule type="expression" dxfId="608" priority="20">
      <formula>OR($C$28=$R$9,$C$28=$R$12,$C$28=$R$15)</formula>
    </cfRule>
  </conditionalFormatting>
  <conditionalFormatting sqref="AJ29:AM29">
    <cfRule type="expression" dxfId="607" priority="19">
      <formula>OR($C$29=$R$9,$C$29=$R$12,$C$29=$R$15)</formula>
    </cfRule>
  </conditionalFormatting>
  <conditionalFormatting sqref="AJ30:AM30">
    <cfRule type="expression" dxfId="606" priority="18">
      <formula>OR($C$30=$R$9,$C$30=$R$12,$C$30=$R$15)</formula>
    </cfRule>
    <cfRule type="expression" dxfId="605" priority="84">
      <formula>$C$29=$R$12</formula>
    </cfRule>
  </conditionalFormatting>
  <conditionalFormatting sqref="AJ31:AM31">
    <cfRule type="expression" dxfId="604" priority="17">
      <formula>OR($C$31=$R$9,$C$31=$R$12,$C$31=$R$15)</formula>
    </cfRule>
    <cfRule type="expression" dxfId="603" priority="83">
      <formula>$C$30=$R$12</formula>
    </cfRule>
  </conditionalFormatting>
  <conditionalFormatting sqref="AJ32:AM32">
    <cfRule type="expression" dxfId="602" priority="82">
      <formula>OR($C$32=$R$9,$C$32=$R$12,$C$32=$R$15)</formula>
    </cfRule>
  </conditionalFormatting>
  <conditionalFormatting sqref="AJ33:AM33">
    <cfRule type="expression" dxfId="601" priority="81">
      <formula>OR($C$33=$R$9,$C$33=$R$12,$C$33=$R$15)</formula>
    </cfRule>
  </conditionalFormatting>
  <conditionalFormatting sqref="AJ34:AM34">
    <cfRule type="expression" dxfId="600" priority="80">
      <formula>OR($C$34=$R$9,$C$34=$R$12,$C$34=$R$15)</formula>
    </cfRule>
  </conditionalFormatting>
  <conditionalFormatting sqref="AJ35:AM35">
    <cfRule type="expression" dxfId="599" priority="79">
      <formula>OR($C$35=$R$9,$C$35=$R$12,$C$35=$R$15)</formula>
    </cfRule>
  </conditionalFormatting>
  <conditionalFormatting sqref="AJ36:AM36">
    <cfRule type="expression" dxfId="598" priority="78">
      <formula>OR($C$36=$R$9,$C$36=$R$12,$C$36=$R$15)</formula>
    </cfRule>
  </conditionalFormatting>
  <conditionalFormatting sqref="AJ37:AM37">
    <cfRule type="expression" dxfId="597" priority="77">
      <formula>OR($C$37=$R$9,$C$37=$R$12,$C$37=$R$15)</formula>
    </cfRule>
  </conditionalFormatting>
  <conditionalFormatting sqref="AJ38:AM38">
    <cfRule type="expression" dxfId="596" priority="76">
      <formula>OR($C$38=$R$9,$C$38=$R$12,$C$38=$R$15)</formula>
    </cfRule>
  </conditionalFormatting>
  <conditionalFormatting sqref="AJ39:AM39">
    <cfRule type="expression" dxfId="595" priority="75">
      <formula>OR($C$39=$R$9,$C$39=$R$12,$C$39=$R$15)</formula>
    </cfRule>
  </conditionalFormatting>
  <conditionalFormatting sqref="AJ40:AM40">
    <cfRule type="expression" dxfId="594" priority="74">
      <formula>OR($C$40=$R$9,$C$40=$R$12,$C$40=$R$15)</formula>
    </cfRule>
  </conditionalFormatting>
  <conditionalFormatting sqref="AJ41:AM41">
    <cfRule type="expression" dxfId="593" priority="73">
      <formula>OR($C$41=$R$9,$C$41=$R$12,$C$41=$R$15)</formula>
    </cfRule>
  </conditionalFormatting>
  <conditionalFormatting sqref="AJ42:AM42">
    <cfRule type="expression" dxfId="592" priority="72">
      <formula>OR($C$42=$R$9,$C$42=$R$12,$C$42=$R$15)</formula>
    </cfRule>
  </conditionalFormatting>
  <conditionalFormatting sqref="AJ43:AM43">
    <cfRule type="expression" dxfId="591" priority="71">
      <formula>OR($C$43=$R$9,$C$43=$R$12,$C$43=$R$15)</formula>
    </cfRule>
  </conditionalFormatting>
  <conditionalFormatting sqref="AJ44:AM44">
    <cfRule type="expression" dxfId="590" priority="70">
      <formula>OR($C$44=$R$9,$C$44=$R$12,$C$44=$R$15)</formula>
    </cfRule>
  </conditionalFormatting>
  <conditionalFormatting sqref="AJ45:AM45">
    <cfRule type="expression" dxfId="589" priority="69">
      <formula>OR($C$45=$R$9,$C$45=$R$12,$C$45=$R$15)</formula>
    </cfRule>
  </conditionalFormatting>
  <conditionalFormatting sqref="AJ46:AM46">
    <cfRule type="expression" dxfId="588" priority="68">
      <formula>OR($C$46=$R$9,$C$46=$R$12,$C$46=$R$15)</formula>
    </cfRule>
  </conditionalFormatting>
  <conditionalFormatting sqref="AJ47:AM47">
    <cfRule type="expression" dxfId="587" priority="67">
      <formula>OR($C$47=$R$9,$C$47=$R$12,$C$47=$R$15)</formula>
    </cfRule>
  </conditionalFormatting>
  <conditionalFormatting sqref="AJ48:AM48">
    <cfRule type="expression" dxfId="586" priority="66">
      <formula>OR($C$48=$R$9,$C$48=$R$12,$C$48=$R$15)</formula>
    </cfRule>
  </conditionalFormatting>
  <conditionalFormatting sqref="AJ49:AM49">
    <cfRule type="expression" dxfId="585" priority="65">
      <formula>OR($C$49=$R$9,$C$49=$R$12,$C$49=$R$15)</formula>
    </cfRule>
  </conditionalFormatting>
  <conditionalFormatting sqref="AJ50:AM50">
    <cfRule type="expression" dxfId="584" priority="64">
      <formula>OR($C$50=$R$9,$C$50=$R$12,$C$50=$R$15)</formula>
    </cfRule>
  </conditionalFormatting>
  <conditionalFormatting sqref="AJ51:AM51">
    <cfRule type="expression" dxfId="583" priority="63">
      <formula>OR($C$51=$R$9,$C$51=$R$12,$C$51=$R$15)</formula>
    </cfRule>
  </conditionalFormatting>
  <conditionalFormatting sqref="AJ52:AM52">
    <cfRule type="expression" dxfId="582" priority="62">
      <formula>OR($C$52=$R$9,$C$52=$R$12,$C$52=$R$15)</formula>
    </cfRule>
  </conditionalFormatting>
  <conditionalFormatting sqref="AJ53:AM53">
    <cfRule type="expression" dxfId="581" priority="61">
      <formula>OR($C$53=$R$9,$C$53=$R$12,$C$53=$R$15)</formula>
    </cfRule>
  </conditionalFormatting>
  <conditionalFormatting sqref="AJ54:AM54">
    <cfRule type="expression" dxfId="580" priority="60">
      <formula>OR($C$54=$R$9,$C$54=$R$12,$C$54=$R$15)</formula>
    </cfRule>
  </conditionalFormatting>
  <conditionalFormatting sqref="AL25:AM25">
    <cfRule type="expression" dxfId="579" priority="123">
      <formula>$C$25=$R$9</formula>
    </cfRule>
  </conditionalFormatting>
  <conditionalFormatting sqref="AL26:AM26">
    <cfRule type="expression" dxfId="578" priority="122">
      <formula>$C$26=$R$9</formula>
    </cfRule>
  </conditionalFormatting>
  <conditionalFormatting sqref="AL40:AM40">
    <cfRule type="expression" dxfId="577" priority="104">
      <formula>$C$39=$R$9</formula>
    </cfRule>
  </conditionalFormatting>
  <conditionalFormatting sqref="AL41:AM41 AR41:AY41">
    <cfRule type="expression" dxfId="576" priority="103">
      <formula>$C$41=$R$9</formula>
    </cfRule>
  </conditionalFormatting>
  <conditionalFormatting sqref="AL42:AM42 AR42:AY42">
    <cfRule type="expression" dxfId="575" priority="102">
      <formula>$C$42=$R$9</formula>
    </cfRule>
  </conditionalFormatting>
  <conditionalFormatting sqref="AL43:AM43 AR43:AY43">
    <cfRule type="expression" dxfId="574" priority="101">
      <formula>$C$43=$R$9</formula>
    </cfRule>
  </conditionalFormatting>
  <conditionalFormatting sqref="AL44:AM44 AR44:AY44">
    <cfRule type="expression" dxfId="573" priority="100">
      <formula>$C$44=$R$9</formula>
    </cfRule>
  </conditionalFormatting>
  <conditionalFormatting sqref="AL46:AM46 AR46:AY46">
    <cfRule type="expression" dxfId="572" priority="98">
      <formula>$C$46=$R$9</formula>
    </cfRule>
  </conditionalFormatting>
  <conditionalFormatting sqref="AL47:AM47 AR47:AY47">
    <cfRule type="expression" dxfId="571" priority="97">
      <formula>$C$47=$R$9</formula>
    </cfRule>
  </conditionalFormatting>
  <conditionalFormatting sqref="AL48:AM48 AR48:AY48">
    <cfRule type="expression" dxfId="570" priority="96">
      <formula>$C$48=$R$9</formula>
    </cfRule>
  </conditionalFormatting>
  <conditionalFormatting sqref="AL49:AM49 AR49:AY49">
    <cfRule type="expression" dxfId="569" priority="95">
      <formula>$C$49=$R$9</formula>
    </cfRule>
  </conditionalFormatting>
  <conditionalFormatting sqref="AL50:AM50 AR50:AY50">
    <cfRule type="expression" dxfId="568" priority="94">
      <formula>$C$50=$R$9</formula>
    </cfRule>
  </conditionalFormatting>
  <conditionalFormatting sqref="AL51:AM51 AR51:AY51">
    <cfRule type="expression" dxfId="567" priority="93">
      <formula>$C$51=$R$9</formula>
    </cfRule>
  </conditionalFormatting>
  <conditionalFormatting sqref="AL52:AM52 AR52:AY52">
    <cfRule type="expression" dxfId="566" priority="92">
      <formula>$C$52=$R$9</formula>
    </cfRule>
  </conditionalFormatting>
  <conditionalFormatting sqref="AL53:AM53 AR53:AY53">
    <cfRule type="expression" dxfId="565" priority="91">
      <formula>$C$53=$R$9</formula>
    </cfRule>
  </conditionalFormatting>
  <conditionalFormatting sqref="AL54:AM54 AR54:AY54">
    <cfRule type="expression" dxfId="564" priority="90">
      <formula>$C$54=$R$9</formula>
    </cfRule>
  </conditionalFormatting>
  <conditionalFormatting sqref="AP26:AZ26">
    <cfRule type="expression" dxfId="563" priority="277">
      <formula>AND($C$26&lt;&gt;$R$7,$C$26&lt;&gt;$R$8,$C$26&lt;&gt;$R$9,$C$26&lt;&gt;$R$10,$C$26&lt;&gt;$R$11)</formula>
    </cfRule>
  </conditionalFormatting>
  <conditionalFormatting sqref="AP27:AZ27">
    <cfRule type="expression" dxfId="562" priority="276">
      <formula>AND($C$27&lt;&gt;$R$7,$C$27&lt;&gt;$R$8,$C$27&lt;&gt;$R$9,$C$27&lt;&gt;$R$10,$C$27&lt;&gt;$R$11)</formula>
    </cfRule>
  </conditionalFormatting>
  <conditionalFormatting sqref="AP28:AZ28">
    <cfRule type="expression" dxfId="561" priority="275">
      <formula>AND($C$28&lt;&gt;$R$7,$C$28&lt;&gt;$R$8,$C$28&lt;&gt;$R$9,$C$28&lt;&gt;$R$10,$C$28&lt;&gt;$R$11)</formula>
    </cfRule>
  </conditionalFormatting>
  <conditionalFormatting sqref="AP29:AZ29">
    <cfRule type="expression" dxfId="560" priority="274">
      <formula>AND($C$29&lt;&gt;$R$7,$C$29&lt;&gt;$R$8,$C$29&lt;&gt;$R$9,$C$29&lt;&gt;$R$10,$C$29&lt;&gt;$R$11)</formula>
    </cfRule>
  </conditionalFormatting>
  <conditionalFormatting sqref="AP30:AZ30">
    <cfRule type="expression" dxfId="559" priority="273">
      <formula>AND($C$30&lt;&gt;$R$7,$C$30&lt;&gt;$R$8,$C$30&lt;&gt;$R$9,$C$30&lt;&gt;$R$10,$C$30&lt;&gt;$R$11)</formula>
    </cfRule>
  </conditionalFormatting>
  <conditionalFormatting sqref="AP31:AZ31">
    <cfRule type="expression" dxfId="558" priority="272">
      <formula>AND($C$31&lt;&gt;$R$7,$C$31&lt;&gt;$R$8,$C$31&lt;&gt;$R$9,$C$31&lt;&gt;$R$10,$C$31&lt;&gt;$R$11)</formula>
    </cfRule>
  </conditionalFormatting>
  <conditionalFormatting sqref="AP32:AZ32">
    <cfRule type="expression" dxfId="557" priority="271">
      <formula>AND($C$32&lt;&gt;$R$7,$C$32&lt;&gt;$R$8,$C$32&lt;&gt;$R$9,$C$32&lt;&gt;$R$10,$C$32&lt;&gt;$R$11)</formula>
    </cfRule>
  </conditionalFormatting>
  <conditionalFormatting sqref="AP33:AZ33">
    <cfRule type="expression" dxfId="556" priority="270">
      <formula>AND($C$33&lt;&gt;$R$7,$C$33&lt;&gt;$R$8,$C$33&lt;&gt;$R$9,$C$33&lt;&gt;$R$10,$C$33&lt;&gt;$R$11)</formula>
    </cfRule>
  </conditionalFormatting>
  <conditionalFormatting sqref="AP34:AZ34">
    <cfRule type="expression" dxfId="555" priority="269">
      <formula>AND($C$34&lt;&gt;$R$7,$C$34&lt;&gt;$R$8,$C$34&lt;&gt;$R$9,$C$34&lt;&gt;$R$10,$C$34&lt;&gt;$R$11)</formula>
    </cfRule>
  </conditionalFormatting>
  <conditionalFormatting sqref="AP35:AZ35">
    <cfRule type="expression" dxfId="554" priority="268">
      <formula>AND($C$35&lt;&gt;$R$7,$C$35&lt;&gt;$R$8,$C$35&lt;&gt;$R$9,$C$35&lt;&gt;$R$10,$C$35&lt;&gt;$R$11)</formula>
    </cfRule>
  </conditionalFormatting>
  <conditionalFormatting sqref="AP36:AZ36">
    <cfRule type="expression" dxfId="553" priority="267">
      <formula>AND($C$36&lt;&gt;$R$7,$C$36&lt;&gt;$R$8,$C$36&lt;&gt;$R$9,$C$36&lt;&gt;$R$10,$C$36&lt;&gt;$R$11)</formula>
    </cfRule>
  </conditionalFormatting>
  <conditionalFormatting sqref="AP37:AZ37">
    <cfRule type="expression" dxfId="552" priority="266">
      <formula>AND($C$37&lt;&gt;$R$7,$C$37&lt;&gt;$R$8,$C$37&lt;&gt;$R$9,$C$37&lt;&gt;$R$10,$C$37&lt;&gt;$R$11)</formula>
    </cfRule>
  </conditionalFormatting>
  <conditionalFormatting sqref="AP38:AZ38">
    <cfRule type="expression" dxfId="551" priority="265">
      <formula>AND($C$38&lt;&gt;$R$7,$C$38&lt;&gt;$R$8,$C$38&lt;&gt;$R$9,$C$38&lt;&gt;$R$10,$C$38&lt;&gt;$R$11)</formula>
    </cfRule>
  </conditionalFormatting>
  <conditionalFormatting sqref="AP39:AZ39">
    <cfRule type="expression" dxfId="550" priority="264">
      <formula>AND($C$39&lt;&gt;$R$7,$C$39&lt;&gt;$R$8,$C$39&lt;&gt;$R$9,$C$39&lt;&gt;$R$10,$C$39&lt;&gt;$R$11)</formula>
    </cfRule>
  </conditionalFormatting>
  <conditionalFormatting sqref="AP40:AZ40">
    <cfRule type="expression" dxfId="549" priority="263">
      <formula>AND($C$40&lt;&gt;$R$7,$C$40&lt;&gt;$R$8,$C$40&lt;&gt;$R$9,$C$40&lt;&gt;$R$10,$C$40&lt;&gt;$R$11)</formula>
    </cfRule>
  </conditionalFormatting>
  <conditionalFormatting sqref="AP41:AZ41">
    <cfRule type="expression" dxfId="548" priority="262">
      <formula>AND($C$41&lt;&gt;$R$7,$C$41&lt;&gt;$R$8,$C$41&lt;&gt;$R$9,$C$41&lt;&gt;$R$10,$C$41&lt;&gt;$R$11)</formula>
    </cfRule>
  </conditionalFormatting>
  <conditionalFormatting sqref="AP42:AZ42">
    <cfRule type="expression" dxfId="547" priority="261">
      <formula>AND($C$42&lt;&gt;$R$7,$C$42&lt;&gt;$R$8,$C$42&lt;&gt;$R$9,$C$42&lt;&gt;$R$10,$C$42&lt;&gt;$R$11)</formula>
    </cfRule>
  </conditionalFormatting>
  <conditionalFormatting sqref="AP43:AZ43">
    <cfRule type="expression" dxfId="546" priority="260">
      <formula>AND($C$43&lt;&gt;$R$7,$C$43&lt;&gt;$R$8,$C$43&lt;&gt;$R$9,$C$43&lt;&gt;$R$10,$C$43&lt;&gt;$R$11)</formula>
    </cfRule>
  </conditionalFormatting>
  <conditionalFormatting sqref="AP44:AZ44">
    <cfRule type="expression" dxfId="545" priority="259">
      <formula>AND($C$44&lt;&gt;$R$7,$C$44&lt;&gt;$R$8,$C$44&lt;&gt;$R$9,$C$44&lt;&gt;$R$10,$C$44&lt;&gt;$R$11)</formula>
    </cfRule>
  </conditionalFormatting>
  <conditionalFormatting sqref="AP45:AZ45">
    <cfRule type="expression" dxfId="544" priority="258">
      <formula>AND($C$45&lt;&gt;$R$7,$C$45&lt;&gt;$R$8,$C$45&lt;&gt;$R$9,$C$45&lt;&gt;$R$10,$C$45&lt;&gt;$R$11)</formula>
    </cfRule>
  </conditionalFormatting>
  <conditionalFormatting sqref="AP46:AZ46">
    <cfRule type="expression" dxfId="543" priority="257">
      <formula>AND($C$46&lt;&gt;$R$7,$C$46&lt;&gt;$R$8,$C$46&lt;&gt;$R$9,$C$46&lt;&gt;$R$10,$C$46&lt;&gt;$R$11)</formula>
    </cfRule>
  </conditionalFormatting>
  <conditionalFormatting sqref="AP47:AZ47">
    <cfRule type="expression" dxfId="542" priority="256">
      <formula>AND($C$47&lt;&gt;$R$7,$C$47&lt;&gt;$R$8,$C$47&lt;&gt;$R$9,$C$47&lt;&gt;$R$10,$C$47&lt;&gt;$R$11)</formula>
    </cfRule>
  </conditionalFormatting>
  <conditionalFormatting sqref="AP48:AZ48">
    <cfRule type="expression" dxfId="541" priority="255">
      <formula>AND($C$48&lt;&gt;$R$7,$C$48&lt;&gt;$R$8,$C$48&lt;&gt;$R$9,$C$48&lt;&gt;$R$10,$C$48&lt;&gt;$R$11)</formula>
    </cfRule>
  </conditionalFormatting>
  <conditionalFormatting sqref="AP49:AZ49">
    <cfRule type="expression" dxfId="540" priority="254">
      <formula>AND($C$49&lt;&gt;$R$7,$C$49&lt;&gt;$R$8,$C$49&lt;&gt;$R$9,$C$49&lt;&gt;$R$10,$C$49&lt;&gt;$R$11)</formula>
    </cfRule>
  </conditionalFormatting>
  <conditionalFormatting sqref="AP50:AZ50">
    <cfRule type="expression" dxfId="539" priority="253">
      <formula>AND($C$50&lt;&gt;$R$7,$C$50&lt;&gt;$R$8,$C$50&lt;&gt;$R$9,$C$50&lt;&gt;$R$10,$C$50&lt;&gt;$R$11)</formula>
    </cfRule>
  </conditionalFormatting>
  <conditionalFormatting sqref="AP51:AZ51">
    <cfRule type="expression" dxfId="538" priority="252">
      <formula>AND($C$51&lt;&gt;$R$7,$C$51&lt;&gt;$R$8,$C$51&lt;&gt;$R$9,$C$51&lt;&gt;$R$10,$C$51&lt;&gt;$R$11)</formula>
    </cfRule>
  </conditionalFormatting>
  <conditionalFormatting sqref="AP52:AZ52">
    <cfRule type="expression" dxfId="537" priority="251">
      <formula>AND($C$52&lt;&gt;$R$7,$C$52&lt;&gt;$R$8,$C$52&lt;&gt;$R$9,$C$52&lt;&gt;$R$10,$C$52&lt;&gt;$R$11)</formula>
    </cfRule>
  </conditionalFormatting>
  <conditionalFormatting sqref="AP53:AZ53">
    <cfRule type="expression" dxfId="536" priority="250">
      <formula>AND($C$53&lt;&gt;$R$7,$C$53&lt;&gt;$R$8,$C$53&lt;&gt;$R$9,$C$53&lt;&gt;$R$10,$C$53&lt;&gt;$R$11)</formula>
    </cfRule>
  </conditionalFormatting>
  <conditionalFormatting sqref="AP54:AZ54">
    <cfRule type="expression" dxfId="535" priority="249">
      <formula>AND($C$54&lt;&gt;$R$7,$C$54&lt;&gt;$R$8,$C$54&lt;&gt;$R$9,$C$54&lt;&gt;$R$10,$C$54&lt;&gt;$R$11)</formula>
    </cfRule>
  </conditionalFormatting>
  <conditionalFormatting sqref="AP25:BA25 AU26 BA26:BA54">
    <cfRule type="expression" dxfId="534" priority="278">
      <formula>AND($C$25&lt;&gt;$R$7,$C$25&lt;&gt;$R$8,$C$25&lt;&gt;$R$9,$C$25&lt;&gt;$R$10,$C$25&lt;&gt;$R$11)</formula>
    </cfRule>
  </conditionalFormatting>
  <conditionalFormatting sqref="AR25:AS25">
    <cfRule type="expression" dxfId="533" priority="52">
      <formula>$W$25&lt;8</formula>
    </cfRule>
  </conditionalFormatting>
  <conditionalFormatting sqref="AR26:AS26">
    <cfRule type="expression" dxfId="532" priority="51">
      <formula>$W$26&lt;8</formula>
    </cfRule>
  </conditionalFormatting>
  <conditionalFormatting sqref="AR27:AS27">
    <cfRule type="expression" dxfId="531" priority="50">
      <formula>$W$27&lt;8</formula>
    </cfRule>
  </conditionalFormatting>
  <conditionalFormatting sqref="AR28:AS28">
    <cfRule type="expression" dxfId="530" priority="49">
      <formula>$W$28&lt;8</formula>
    </cfRule>
  </conditionalFormatting>
  <conditionalFormatting sqref="AR29:AS29">
    <cfRule type="expression" dxfId="529" priority="48">
      <formula>$W$29&lt;8</formula>
    </cfRule>
  </conditionalFormatting>
  <conditionalFormatting sqref="AR30:AS30">
    <cfRule type="expression" dxfId="528" priority="47">
      <formula>$W$30&lt;8</formula>
    </cfRule>
  </conditionalFormatting>
  <conditionalFormatting sqref="AR31:AS31">
    <cfRule type="expression" dxfId="527" priority="46">
      <formula>$W$31&lt;8</formula>
    </cfRule>
  </conditionalFormatting>
  <conditionalFormatting sqref="AR32:AS32">
    <cfRule type="expression" dxfId="526" priority="44">
      <formula>$W$32&lt;8</formula>
    </cfRule>
  </conditionalFormatting>
  <conditionalFormatting sqref="AR33:AS33">
    <cfRule type="expression" dxfId="525" priority="43">
      <formula>$W$33&lt;8</formula>
    </cfRule>
  </conditionalFormatting>
  <conditionalFormatting sqref="AR34:AS34">
    <cfRule type="expression" dxfId="524" priority="42">
      <formula>$W$34&lt;8</formula>
    </cfRule>
  </conditionalFormatting>
  <conditionalFormatting sqref="AR35:AS35">
    <cfRule type="expression" dxfId="523" priority="41">
      <formula>$W$35&lt;8</formula>
    </cfRule>
  </conditionalFormatting>
  <conditionalFormatting sqref="AR36:AS36">
    <cfRule type="expression" dxfId="522" priority="40">
      <formula>$W$36&lt;8</formula>
    </cfRule>
  </conditionalFormatting>
  <conditionalFormatting sqref="AR37:AS37">
    <cfRule type="expression" dxfId="521" priority="39">
      <formula>$W$37&lt;8</formula>
    </cfRule>
  </conditionalFormatting>
  <conditionalFormatting sqref="AR38:AS38">
    <cfRule type="expression" dxfId="520" priority="38">
      <formula>$W$38&lt;8</formula>
    </cfRule>
  </conditionalFormatting>
  <conditionalFormatting sqref="AR39:AS39">
    <cfRule type="expression" dxfId="519" priority="37">
      <formula>$W$39&lt;8</formula>
    </cfRule>
  </conditionalFormatting>
  <conditionalFormatting sqref="AR40:AS40">
    <cfRule type="expression" dxfId="518" priority="36">
      <formula>$W$40&lt;8</formula>
    </cfRule>
  </conditionalFormatting>
  <conditionalFormatting sqref="AR41:AS41">
    <cfRule type="expression" dxfId="517" priority="35">
      <formula>$W$41&lt;8</formula>
    </cfRule>
  </conditionalFormatting>
  <conditionalFormatting sqref="AR42:AS42">
    <cfRule type="expression" dxfId="516" priority="34">
      <formula>$W$42&lt;8</formula>
    </cfRule>
  </conditionalFormatting>
  <conditionalFormatting sqref="AR43:AS43">
    <cfRule type="expression" dxfId="515" priority="33">
      <formula>$W$43&lt;8</formula>
    </cfRule>
  </conditionalFormatting>
  <conditionalFormatting sqref="AR44:AS44">
    <cfRule type="expression" dxfId="514" priority="32">
      <formula>$W$44&lt;8</formula>
    </cfRule>
  </conditionalFormatting>
  <conditionalFormatting sqref="AR45:AS45">
    <cfRule type="expression" dxfId="513" priority="31">
      <formula>$W$45&lt;8</formula>
    </cfRule>
  </conditionalFormatting>
  <conditionalFormatting sqref="AR46:AS46">
    <cfRule type="expression" dxfId="512" priority="30">
      <formula>$W$46&lt;8</formula>
    </cfRule>
  </conditionalFormatting>
  <conditionalFormatting sqref="AR47:AS47">
    <cfRule type="expression" dxfId="511" priority="29">
      <formula>$W$47&lt;8</formula>
    </cfRule>
  </conditionalFormatting>
  <conditionalFormatting sqref="AR48:AS48">
    <cfRule type="expression" dxfId="510" priority="28">
      <formula>$W$48&lt;8</formula>
    </cfRule>
  </conditionalFormatting>
  <conditionalFormatting sqref="AR49:AS49">
    <cfRule type="expression" dxfId="509" priority="27">
      <formula>$W$49&lt;8</formula>
    </cfRule>
  </conditionalFormatting>
  <conditionalFormatting sqref="AR50:AS50">
    <cfRule type="expression" dxfId="508" priority="26">
      <formula>$W$50&lt;8</formula>
    </cfRule>
  </conditionalFormatting>
  <conditionalFormatting sqref="AR51:AS51">
    <cfRule type="expression" dxfId="507" priority="25">
      <formula>$W$51&lt;8</formula>
    </cfRule>
  </conditionalFormatting>
  <conditionalFormatting sqref="AR52:AS52">
    <cfRule type="expression" dxfId="506" priority="24">
      <formula>$W$52&lt;8</formula>
    </cfRule>
  </conditionalFormatting>
  <conditionalFormatting sqref="AR53:AS53">
    <cfRule type="expression" dxfId="505" priority="23">
      <formula>$W$53&lt;8</formula>
    </cfRule>
  </conditionalFormatting>
  <conditionalFormatting sqref="AR54:AS54">
    <cfRule type="expression" dxfId="504" priority="22">
      <formula>$W$54&lt;8</formula>
    </cfRule>
  </conditionalFormatting>
  <conditionalFormatting sqref="AR25:AY25">
    <cfRule type="expression" dxfId="503" priority="120">
      <formula>OR($C$25=$R$9,$C$25=$R$10,$C$25=$R$11)</formula>
    </cfRule>
  </conditionalFormatting>
  <conditionalFormatting sqref="AR26:AY26">
    <cfRule type="expression" dxfId="502" priority="121">
      <formula>OR($C$26=$R$9,$C$26=$R$10,$C$26=$R$11)</formula>
    </cfRule>
  </conditionalFormatting>
  <conditionalFormatting sqref="AR27:AY27">
    <cfRule type="expression" dxfId="501" priority="119">
      <formula>OR($C$27=$R$9,$C$27=$R$10,$C$27=$R$11)</formula>
    </cfRule>
  </conditionalFormatting>
  <conditionalFormatting sqref="AR28:AY28">
    <cfRule type="expression" dxfId="500" priority="118">
      <formula>OR($C$28=$R$9,$C$28=$R$10,$C$28=$R$11)</formula>
    </cfRule>
  </conditionalFormatting>
  <conditionalFormatting sqref="AR29:AY29">
    <cfRule type="expression" dxfId="499" priority="117">
      <formula>OR($C$29=$R$9,$C$29=$R$10,$C$29=$R$11)</formula>
    </cfRule>
  </conditionalFormatting>
  <conditionalFormatting sqref="AR30:AY30">
    <cfRule type="expression" dxfId="498" priority="116">
      <formula>OR($C$30=$R$9,$C$30=$R$10,$C$30=$R$11)</formula>
    </cfRule>
  </conditionalFormatting>
  <conditionalFormatting sqref="AR31:AY31">
    <cfRule type="expression" dxfId="497" priority="115">
      <formula>OR($C$31=$R$9,$C$31=$R$10,$C$31=$R$11)</formula>
    </cfRule>
  </conditionalFormatting>
  <conditionalFormatting sqref="AR32:AY32">
    <cfRule type="expression" dxfId="496" priority="114">
      <formula>OR($C$32=$R$9,$C$32=$R$10,$C$32=$R$11)</formula>
    </cfRule>
  </conditionalFormatting>
  <conditionalFormatting sqref="AR33:AY33">
    <cfRule type="expression" dxfId="495" priority="113">
      <formula>OR($C$33=$R$9,$C$33=$R$10,$C$33=$R$11)</formula>
    </cfRule>
  </conditionalFormatting>
  <conditionalFormatting sqref="AR34:AY34">
    <cfRule type="expression" dxfId="494" priority="112">
      <formula>OR($C$34=$R$9,$C$34=$R$10,$C$34=$R$11)</formula>
    </cfRule>
  </conditionalFormatting>
  <conditionalFormatting sqref="AR35:AY35">
    <cfRule type="expression" dxfId="493" priority="111">
      <formula>OR($C$35=$R$9,$C$35=$R$10,$C$35=$R$11)</formula>
    </cfRule>
  </conditionalFormatting>
  <conditionalFormatting sqref="AR36:AY36">
    <cfRule type="expression" dxfId="492" priority="110">
      <formula>OR($C$36=$R$9,$C$36=$R$10,$C$36=$R$11)</formula>
    </cfRule>
  </conditionalFormatting>
  <conditionalFormatting sqref="AR37:AY37">
    <cfRule type="expression" dxfId="491" priority="109">
      <formula>OR($C$37=$R$9,$C$37=$R$10,$C$37=$R$11)</formula>
    </cfRule>
  </conditionalFormatting>
  <conditionalFormatting sqref="AR38:AY38">
    <cfRule type="expression" dxfId="490" priority="107">
      <formula>OR($C$38=$R$9,$C$38=$R$10,$C$38=$R$11)</formula>
    </cfRule>
  </conditionalFormatting>
  <conditionalFormatting sqref="AR39:AY39">
    <cfRule type="expression" dxfId="489" priority="16">
      <formula>OR($C$39=$R$9,$C$39=$R$10,$C$39=$R$11)</formula>
    </cfRule>
  </conditionalFormatting>
  <conditionalFormatting sqref="AR40:AY40">
    <cfRule type="expression" dxfId="488" priority="105">
      <formula>OR($C$40=$R$9,$C$40=$R$10,$C$40=$R$11)</formula>
    </cfRule>
  </conditionalFormatting>
  <conditionalFormatting sqref="AR41:AY41">
    <cfRule type="expression" dxfId="487" priority="15">
      <formula>OR($C$41=$R$9,$C$41=$R$10,$C$41=$R$11)</formula>
    </cfRule>
  </conditionalFormatting>
  <conditionalFormatting sqref="AR42:AY42">
    <cfRule type="expression" dxfId="486" priority="14">
      <formula>OR($C$42=$R$9,$C$42=$R$10,$C$42=$R$11)</formula>
    </cfRule>
  </conditionalFormatting>
  <conditionalFormatting sqref="AR43:AY43">
    <cfRule type="expression" dxfId="485" priority="13">
      <formula>OR($C$43=$R$9,$C$43=$R$10,$C$43=$R$11)</formula>
    </cfRule>
  </conditionalFormatting>
  <conditionalFormatting sqref="AR44:AY44">
    <cfRule type="expression" dxfId="484" priority="12">
      <formula>OR($C$44=$R$9,$C$44=$R$10,$C$44=$R$11)</formula>
    </cfRule>
  </conditionalFormatting>
  <conditionalFormatting sqref="AR45:AY45">
    <cfRule type="expression" dxfId="483" priority="1">
      <formula>OR($C$45=$R$9,$C$45=$R$10,$C$45=$R$11)</formula>
    </cfRule>
  </conditionalFormatting>
  <conditionalFormatting sqref="AR46:AY46">
    <cfRule type="expression" dxfId="482" priority="10">
      <formula>OR($C$46=$R$9,$C$46=$R$10,$C$46=$R$11)</formula>
    </cfRule>
  </conditionalFormatting>
  <conditionalFormatting sqref="AR47:AY47">
    <cfRule type="expression" dxfId="481" priority="9">
      <formula>OR($C$47=$R$9,$C$47=$R$10,$C$47=$R$11)</formula>
    </cfRule>
  </conditionalFormatting>
  <conditionalFormatting sqref="AR48:AY48">
    <cfRule type="expression" dxfId="480" priority="8">
      <formula>OR($C$48=$R$9,$C$48=$R$10,$C$48=$R$11)</formula>
    </cfRule>
  </conditionalFormatting>
  <conditionalFormatting sqref="AR49:AY49">
    <cfRule type="expression" dxfId="479" priority="7">
      <formula>OR($C$49=$R$9,$C$49=$R$10,$C$49=$R$11)</formula>
    </cfRule>
  </conditionalFormatting>
  <conditionalFormatting sqref="AR50:AY50">
    <cfRule type="expression" dxfId="478" priority="6">
      <formula>OR($C$50=$R$9,$C$50=$R$10,$C$50=$R$11)</formula>
    </cfRule>
  </conditionalFormatting>
  <conditionalFormatting sqref="AR51:AY51">
    <cfRule type="expression" dxfId="477" priority="5">
      <formula>OR($C$51=$R$9,$C$51=$R$10,$C$51=$R$11)</formula>
    </cfRule>
  </conditionalFormatting>
  <conditionalFormatting sqref="AR52:AY52">
    <cfRule type="expression" dxfId="476" priority="4">
      <formula>OR($C$52=$R$9,$C$52=$R$10,$C$52=$R$11)</formula>
    </cfRule>
  </conditionalFormatting>
  <conditionalFormatting sqref="AR53:AY53">
    <cfRule type="expression" dxfId="475" priority="3">
      <formula>OR($C$53=$R$9,$C$53=$R$10,$C$53=$R$11)</formula>
    </cfRule>
  </conditionalFormatting>
  <conditionalFormatting sqref="AR54:AY54">
    <cfRule type="expression" dxfId="474" priority="2">
      <formula>OR($C$54=$R$9,$C$54=$R$10,$C$54=$R$11)</formula>
    </cfRule>
  </conditionalFormatting>
  <conditionalFormatting sqref="BB25:BH25">
    <cfRule type="expression" dxfId="472" priority="2341">
      <formula>AND($C$25&lt;&gt;$R$12,$C$25&lt;&gt;$R$13,$C$25&lt;&gt;$R$15,$C$25&lt;&gt;$R$14)</formula>
    </cfRule>
  </conditionalFormatting>
  <conditionalFormatting sqref="BB26:BH26">
    <cfRule type="expression" dxfId="471" priority="2342">
      <formula>AND($C$26&lt;&gt;$R$12,$C$26&lt;&gt;$R$13,$C$26&lt;&gt;$R$15,$C$26&lt;&gt;$R$14)</formula>
    </cfRule>
  </conditionalFormatting>
  <conditionalFormatting sqref="BB27:BH27">
    <cfRule type="expression" dxfId="470" priority="2343">
      <formula>AND($C$27&lt;&gt;$R$12,$C$27&lt;&gt;$R$13,$C$27&lt;&gt;$R$15,$C$27&lt;&gt;$R$14)</formula>
    </cfRule>
  </conditionalFormatting>
  <conditionalFormatting sqref="BB28:BH28">
    <cfRule type="expression" dxfId="469" priority="2344">
      <formula>AND($C$28&lt;&gt;$R$12,$C$28&lt;&gt;$R$13,$C$28&lt;&gt;$R$15,$C$28&lt;&gt;$R$14)</formula>
    </cfRule>
  </conditionalFormatting>
  <conditionalFormatting sqref="BB29:BH29">
    <cfRule type="expression" dxfId="468" priority="2345">
      <formula>AND($C$29&lt;&gt;$R$12,$C$29&lt;&gt;$R$13,$C$29&lt;&gt;$R$15,$C$29&lt;&gt;$R$14)</formula>
    </cfRule>
  </conditionalFormatting>
  <conditionalFormatting sqref="BB30:BH30">
    <cfRule type="expression" dxfId="467" priority="2346">
      <formula>AND($C$30&lt;&gt;$R$12,$C$30&lt;&gt;$R$13,$C$30&lt;&gt;$R$15,$C$30&lt;&gt;$R$14)</formula>
    </cfRule>
  </conditionalFormatting>
  <conditionalFormatting sqref="BB31:BH31">
    <cfRule type="expression" dxfId="466" priority="2347">
      <formula>AND($C$31&lt;&gt;$R$12,$C$31&lt;&gt;$R$13,$C$31&lt;&gt;$R$15,$C$31&lt;&gt;$R$14)</formula>
    </cfRule>
  </conditionalFormatting>
  <conditionalFormatting sqref="BB32:BH32">
    <cfRule type="expression" dxfId="465" priority="2348">
      <formula>AND($C$32&lt;&gt;$R$12,$C$32&lt;&gt;$R$13,$C$32&lt;&gt;$R$15,$C$32&lt;&gt;$R$14)</formula>
    </cfRule>
  </conditionalFormatting>
  <conditionalFormatting sqref="BB33:BH33">
    <cfRule type="expression" dxfId="464" priority="2349">
      <formula>AND($C$33&lt;&gt;$R$12,$C$33&lt;&gt;$R$13,$C$33&lt;&gt;$R$15,$C$33&lt;&gt;$R$14)</formula>
    </cfRule>
  </conditionalFormatting>
  <conditionalFormatting sqref="BB34:BH34">
    <cfRule type="expression" dxfId="463" priority="2350">
      <formula>AND($C$34&lt;&gt;$R$12,$C$34&lt;&gt;$R$13,$C$34&lt;&gt;$R$15,$C$34&lt;&gt;$R$14)</formula>
    </cfRule>
  </conditionalFormatting>
  <conditionalFormatting sqref="BB35:BH35">
    <cfRule type="expression" dxfId="462" priority="2351">
      <formula>AND($C$35&lt;&gt;$R$12,$C$35&lt;&gt;$R$13,$C$35&lt;&gt;$R$15,$C$35&lt;&gt;$R$14)</formula>
    </cfRule>
  </conditionalFormatting>
  <conditionalFormatting sqref="BB36:BH36">
    <cfRule type="expression" dxfId="461" priority="2352">
      <formula>AND($C$36&lt;&gt;$R$12,$C$36&lt;&gt;$R$13,$C$36&lt;&gt;$R$15,$C$36&lt;&gt;$R$14)</formula>
    </cfRule>
  </conditionalFormatting>
  <conditionalFormatting sqref="BB37:BH37">
    <cfRule type="expression" dxfId="460" priority="2353">
      <formula>AND($C$37&lt;&gt;$R$12,$C$37&lt;&gt;$R$13,$C$37&lt;&gt;$R$15,$C$37&lt;&gt;$R$14)</formula>
    </cfRule>
  </conditionalFormatting>
  <conditionalFormatting sqref="BB38:BH38">
    <cfRule type="expression" dxfId="459" priority="2354">
      <formula>AND($C$38&lt;&gt;$R$12,$C$38&lt;&gt;$R$13,$C$38&lt;&gt;$R$15,$C$38&lt;&gt;$R$14)</formula>
    </cfRule>
  </conditionalFormatting>
  <conditionalFormatting sqref="BB39:BH39">
    <cfRule type="expression" dxfId="458" priority="2355">
      <formula>AND($C$39&lt;&gt;$R$12,$C$39&lt;&gt;$R$13,$C$39&lt;&gt;$R$15,$C$39&lt;&gt;$R$14)</formula>
    </cfRule>
  </conditionalFormatting>
  <conditionalFormatting sqref="BB40:BH40">
    <cfRule type="expression" dxfId="457" priority="2356">
      <formula>AND($C$40&lt;&gt;$R$12,$C$40&lt;&gt;$R$13,$C$40&lt;&gt;$R$15,$C$40&lt;&gt;$R$14)</formula>
    </cfRule>
  </conditionalFormatting>
  <conditionalFormatting sqref="BB41:BH41">
    <cfRule type="expression" dxfId="456" priority="2357">
      <formula>AND($C$41&lt;&gt;$R$12,$C$41&lt;&gt;$R$13,$C$41&lt;&gt;$R$15,$C$41&lt;&gt;$R$14)</formula>
    </cfRule>
  </conditionalFormatting>
  <conditionalFormatting sqref="BB42:BH42">
    <cfRule type="expression" dxfId="455" priority="2358">
      <formula>AND($C$42&lt;&gt;$R$12,$C$42&lt;&gt;$R$13,$C$42&lt;&gt;$R$15,$C$42&lt;&gt;$R$14)</formula>
    </cfRule>
  </conditionalFormatting>
  <conditionalFormatting sqref="BB43:BH43">
    <cfRule type="expression" dxfId="454" priority="2359">
      <formula>AND($C$43&lt;&gt;$R$12,$C$43&lt;&gt;$R$13,$C$43&lt;&gt;$R$15,$C$43&lt;&gt;$R$14)</formula>
    </cfRule>
  </conditionalFormatting>
  <conditionalFormatting sqref="BB44:BH45">
    <cfRule type="expression" dxfId="453" priority="2360">
      <formula>AND($C$45&lt;&gt;$R$12,$C$45&lt;&gt;$R$13,$C$45&lt;&gt;$R$14,$C$45&lt;&gt;$R$15)</formula>
    </cfRule>
  </conditionalFormatting>
  <conditionalFormatting sqref="BB46:BH46">
    <cfRule type="expression" dxfId="452" priority="2361">
      <formula>AND($C$46&lt;&gt;$R$12,$C$46&lt;&gt;$R$13,$C$46&lt;&gt;$R$15,$C$46&lt;&gt;$R$14)</formula>
    </cfRule>
  </conditionalFormatting>
  <conditionalFormatting sqref="BB47:BH47">
    <cfRule type="expression" dxfId="451" priority="2362">
      <formula>AND($C$47&lt;&gt;$R$12,$C$47&lt;&gt;$R$13,$C$47&lt;&gt;$R$15,$C$47&lt;&gt;$R$14)</formula>
    </cfRule>
  </conditionalFormatting>
  <conditionalFormatting sqref="BB48:BH48">
    <cfRule type="expression" dxfId="450" priority="2363">
      <formula>AND($C$48&lt;&gt;$R$12,$C$48&lt;&gt;$R$13,$C$48&lt;&gt;$R$15,$C$48&lt;&gt;$R$14)</formula>
    </cfRule>
  </conditionalFormatting>
  <conditionalFormatting sqref="BB49:BH49">
    <cfRule type="expression" dxfId="449" priority="2364">
      <formula>AND($C$49&lt;&gt;$R$12,$C$49&lt;&gt;$R$13,$C$49&lt;&gt;$R$15,$C$49&lt;&gt;$R$14)</formula>
    </cfRule>
  </conditionalFormatting>
  <conditionalFormatting sqref="BB50:BH50">
    <cfRule type="expression" dxfId="448" priority="2365">
      <formula>AND($C$50&lt;&gt;$R$12,$C$50&lt;&gt;$R$13,$C$50&lt;&gt;$R$15,$C$50&lt;&gt;$R$14)</formula>
    </cfRule>
  </conditionalFormatting>
  <conditionalFormatting sqref="BB51:BH51">
    <cfRule type="expression" dxfId="447" priority="2366">
      <formula>AND($C$51&lt;&gt;$R$12,$C$51&lt;&gt;$R$13,$C$51&lt;&gt;$R$15,$C$51&lt;&gt;$R$14)</formula>
    </cfRule>
  </conditionalFormatting>
  <conditionalFormatting sqref="BB52:BH52">
    <cfRule type="expression" dxfId="446" priority="2367">
      <formula>AND($C$52&lt;&gt;$R$12,$C$52&lt;&gt;$R$13,$C$52&lt;&gt;$R$15,$C$52&lt;&gt;$R$14)</formula>
    </cfRule>
  </conditionalFormatting>
  <conditionalFormatting sqref="BB53:BH53">
    <cfRule type="expression" dxfId="445" priority="2368">
      <formula>AND($C$53&lt;&gt;$R$12,$C$53&lt;&gt;$R$13,$C$53&lt;&gt;$R$15,$C$53&lt;&gt;$R$14)</formula>
    </cfRule>
  </conditionalFormatting>
  <conditionalFormatting sqref="BB54:BH54">
    <cfRule type="expression" dxfId="444" priority="2369">
      <formula>AND($C$54&lt;&gt;$R$12,$C$54&lt;&gt;$R$13,$C$54&lt;&gt;$R$15,$C$54&lt;&gt;$R$14)</formula>
    </cfRule>
  </conditionalFormatting>
  <dataValidations count="454">
    <dataValidation type="custom" allowBlank="1" showInputMessage="1" showErrorMessage="1" errorTitle="Air Lighting Terminal" error="Need to specify Total Plant area" sqref="AH25:AH54" xr:uid="{89FC1248-D7A2-410C-B7FF-E3DE92D572AA}">
      <formula1>AG25&lt;&gt;"Air Lighting Terminal"</formula1>
    </dataValidation>
    <dataValidation type="custom" errorStyle="information" allowBlank="1" showInputMessage="1" showErrorMessage="1" errorTitle="Inverter loading" error="Please check the inverter loading. The ratio is more than 1.4 time inverter/AC capacity." sqref="S25:U55" xr:uid="{0490E5E1-8EC7-47A7-96E5-0907CA4CBA73}">
      <formula1>S25&lt;1.4</formula1>
    </dataValidation>
    <dataValidation type="list" allowBlank="1" showInputMessage="1" showErrorMessage="1" sqref="S113 S111 S109 S107 S105 S103 S101 S99 S97 S95 S93 S91 S89 S87 S85 S83 S81 S79 S77 S75 S73 S71 S69 S67 S65 S63 S119 S61 S117 S115" xr:uid="{D245CE6C-8582-41C1-966A-BBDF0A7C8F9F}">
      <formula1>$P$145:$P$152</formula1>
    </dataValidation>
    <dataValidation type="list" allowBlank="1" showInputMessage="1" showErrorMessage="1" sqref="AD25:AD54 AB25:AB54 Z25:Z54" xr:uid="{380D86B6-3B6E-4158-BC15-F0E4CA38E1AC}">
      <formula1>$Z$155:$Z$158</formula1>
    </dataValidation>
    <dataValidation type="list" allowBlank="1" showInputMessage="1" showErrorMessage="1" sqref="AB61 AB119 AB117 AB89 AB91 AB101 AB99 AB97 AB95 AB93 AB75 AB77 AB87 AB85 AB83 AB81 AB79 AB63 AB73 AB71 AB69 AB67 AB65 AB103 AB105 AB115 AB113 AB111 AB109 AB107" xr:uid="{667D87C5-F996-4D01-A74A-315A476671BE}">
      <formula1>$P$145:$P$151</formula1>
    </dataValidation>
    <dataValidation type="list" allowBlank="1" showInputMessage="1" showErrorMessage="1" sqref="D119:R119 D61:R61 D115:R115 D113:R113 D111:R111 D109:R109 D107:R107 D105:R105 D103:R103 D101:R101 D99:R99 D97:R97 D95:R95 D93:R93 D91:R91 D89:R89 D87:R87 D85:R85 D83:R83 D81:R81 D79:R79 D77:R77 D75:R75 D73:R73 D71:R71 D69:R69 D67:R67 D65:R65 D63:R63 D117:R117" xr:uid="{3B2D74D7-4B8D-48A1-9146-1CCEBE5FF95D}">
      <formula1>$P$170:$P$180</formula1>
    </dataValidation>
    <dataValidation type="list" showInputMessage="1" showErrorMessage="1" sqref="AG25:AG54" xr:uid="{6916E3EC-E109-467D-B3DC-303F8B4B41D0}">
      <formula1>$P$199:$P$200</formula1>
    </dataValidation>
    <dataValidation type="list" allowBlank="1" showInputMessage="1" showErrorMessage="1" sqref="AZ25:AZ54" xr:uid="{E56B2E91-81B3-4CA8-B895-F79270D3F9FF}">
      <formula1>$P$192:$P$193</formula1>
    </dataValidation>
    <dataValidation type="custom" errorStyle="warning" allowBlank="1" showInputMessage="1" showErrorMessage="1" errorTitle="NO MATCH" error="Increase Runs." sqref="AA60:AA119" xr:uid="{ACDC8673-E67A-4ED0-A63E-2D82C48BEA1E}">
      <formula1>"Y62:Y121=NO MATCH"</formula1>
    </dataValidation>
    <dataValidation type="list" allowBlank="1" showInputMessage="1" showErrorMessage="1" sqref="AK482:AP482 AQ484:AX484" xr:uid="{717D0E6D-0B7A-474B-8B16-595EC99EC893}">
      <formula1>#REF!</formula1>
    </dataValidation>
    <dataValidation type="list" allowBlank="1" showInputMessage="1" showErrorMessage="1" sqref="AU25:AU54" xr:uid="{88C0BA61-B2D5-43DD-B9D6-B647AA9DC3D5}">
      <formula1>$Q$137:$Q$140</formula1>
    </dataValidation>
    <dataValidation type="list" allowBlank="1" showInputMessage="1" showErrorMessage="1" sqref="AF25:AF54" xr:uid="{D6F02102-D541-4594-9623-931CB1904A94}">
      <formula1>$Z$156</formula1>
    </dataValidation>
    <dataValidation type="list" allowBlank="1" showInputMessage="1" showErrorMessage="1" sqref="I6:K6" xr:uid="{3363CC94-B95F-4567-A2C6-7DBC7532ED31}">
      <formula1>"Yes,No-As per 4PEL Std"</formula1>
    </dataValidation>
    <dataValidation type="custom" showInputMessage="1" showErrorMessage="1" errorTitle="Input restricted" error="RFQ/RFP Details should be filled" sqref="E25:E54" xr:uid="{9547B98D-58ED-4AD9-8639-756C9299840C}">
      <formula1>ISBLANK($I$6)=FALSE</formula1>
    </dataValidation>
    <dataValidation type="list" allowBlank="1" showInputMessage="1" showErrorMessage="1" sqref="C25:C54" xr:uid="{C4789350-D87E-4EDA-838A-B744BF2B665C}">
      <formula1>$R$7:$R$15</formula1>
    </dataValidation>
    <dataValidation type="list" errorStyle="information" showInputMessage="1" showErrorMessage="1" errorTitle="Didn't find the make you want?!" error="If the inverter make you require is not in the list, you may add the inverter make and model in Table 4. Please add and try again._x000a_" promptTitle="Inverter Selection" prompt="Choose inverter from drop down list_x000a_" sqref="H23:Q23" xr:uid="{F54BD19E-A037-4447-BF71-33DE4772429A}">
      <formula1>$E$494:$E$506</formula1>
    </dataValidation>
    <dataValidation allowBlank="1" showInputMessage="1" showErrorMessage="1" errorTitle="Inpriopriate Selection" error="Railings are not applicable for tilt less than 8" sqref="AK25:AK54" xr:uid="{675C952C-2089-4D44-89BC-88292648714A}"/>
    <dataValidation type="custom" allowBlank="1" showInputMessage="1" showErrorMessage="1" errorTitle="Select correct rating of INV" error="Current selection of inverter is not available" sqref="H25:H54" xr:uid="{7474AD49-A38C-4C91-AA60-A48FF82C1634}">
      <formula1>$H$24&lt;&gt;0</formula1>
    </dataValidation>
    <dataValidation type="custom" allowBlank="1" showInputMessage="1" showErrorMessage="1" errorTitle="Select correct rating of INV" error="Current selection of inverter is not available" sqref="I25:I54" xr:uid="{82D42CF6-53C5-4CB9-B6AD-EDF19CF4A67E}">
      <formula1>$I$24&lt;&gt;0</formula1>
    </dataValidation>
    <dataValidation type="custom" allowBlank="1" showInputMessage="1" showErrorMessage="1" errorTitle="Select correct rating of INV" error="Current selection of inverter is not available" sqref="J25:J54" xr:uid="{7317C415-8771-42AB-8204-98BDCFB200D0}">
      <formula1>$J$24&lt;&gt;0</formula1>
    </dataValidation>
    <dataValidation type="custom" allowBlank="1" showInputMessage="1" showErrorMessage="1" errorTitle="Select correct rating of INV" error="Current selection of inverter is not available" sqref="K25:K54" xr:uid="{AA1DFC4C-F027-4F5E-ADCE-F3AFBE1BBC73}">
      <formula1>$K$24&lt;&gt;0</formula1>
    </dataValidation>
    <dataValidation type="custom" allowBlank="1" showInputMessage="1" showErrorMessage="1" errorTitle="Select correct rating of INV" error="Current selection of inverter is not available" sqref="L25:L54" xr:uid="{38667E98-AD61-4BFA-ABF4-763D2DC66AFA}">
      <formula1>$L$24&lt;&gt;0</formula1>
    </dataValidation>
    <dataValidation type="custom" allowBlank="1" showInputMessage="1" showErrorMessage="1" errorTitle="Select correct rating of INV" error="Current selection of inverter is not available" sqref="M25:M54" xr:uid="{063E5275-5213-4FCC-A8BD-CECAE1F59AE9}">
      <formula1>$M$24&lt;&gt;0</formula1>
    </dataValidation>
    <dataValidation type="custom" allowBlank="1" showInputMessage="1" showErrorMessage="1" errorTitle="Select correct rating of INV" error="Current selection of inverter is not available" sqref="N25:N54" xr:uid="{40F05091-82C8-41E8-9887-0B0FEB7C5781}">
      <formula1>$N$24&lt;&gt;0</formula1>
    </dataValidation>
    <dataValidation type="custom" allowBlank="1" showInputMessage="1" showErrorMessage="1" errorTitle="Select correct rating of INV" error="Current selection of inverter is not available" sqref="O25:O54" xr:uid="{0675093E-97B1-4135-9052-4DEE4C6A95DC}">
      <formula1>$O$24&lt;&gt;0</formula1>
    </dataValidation>
    <dataValidation type="custom" allowBlank="1" showInputMessage="1" showErrorMessage="1" errorTitle="Select correct rating of INV" error="Current selection of inverter is not available" sqref="P25:P54" xr:uid="{58099D48-105C-463A-BB6C-7125B14FECF6}">
      <formula1>$P$24&lt;&gt;0</formula1>
    </dataValidation>
    <dataValidation type="custom" allowBlank="1" showInputMessage="1" showErrorMessage="1" errorTitle="Select correct rating of INV" error="Current selection of inverter is not available " sqref="Q25:Q54" xr:uid="{5D31D63D-E781-4DDC-9CB4-45EC7DA32216}">
      <formula1>$Q$24&lt;&gt;0</formula1>
    </dataValidation>
    <dataValidation type="custom" allowBlank="1" showInputMessage="1" showErrorMessage="1" errorTitle="Not Applicable" error="Applicable only on Ground mounted Projects" sqref="BF25:BF54 BB25" xr:uid="{231591A1-2518-4A2B-A74A-0CF1227474E2}">
      <formula1>OR(C$25=R$12,C$25=R$13,C$25=R$15)</formula1>
    </dataValidation>
    <dataValidation type="custom" allowBlank="1" showInputMessage="1" showErrorMessage="1" errorTitle="na" sqref="AP18" xr:uid="{B477517E-8C1D-4642-ACEE-40558C248239}">
      <formula1>C25=R12</formula1>
    </dataValidation>
    <dataValidation type="custom" allowBlank="1" showInputMessage="1" showErrorMessage="1" errorTitle="Not Applicable" error="Applicable only on Ground mounted Projects" sqref="BC25" xr:uid="{708AE7F3-8E50-4058-BBD6-A529D744730F}">
      <formula1>OR(C$25=R$12,C$25=R$13,C$25=R$15)</formula1>
    </dataValidation>
    <dataValidation type="custom" allowBlank="1" showInputMessage="1" showErrorMessage="1" errorTitle="Not Applicable" error="Applicable only on Ground mounted Projects" sqref="BD25" xr:uid="{66B4F59F-5A04-45B8-B14A-F4B6BDE76410}">
      <formula1>OR(C$25=R$12,C$25=R$13,C$25=R$15)</formula1>
    </dataValidation>
    <dataValidation type="custom" allowBlank="1" showInputMessage="1" showErrorMessage="1" errorTitle="Not Applicable" error="Applicable only on Ground mounted Projects" sqref="BE25" xr:uid="{095E949D-47F1-4F7F-867B-41002477D33C}">
      <formula1>OR(C$25=R$12,C$25=R$13,C$25=R$15)</formula1>
    </dataValidation>
    <dataValidation type="custom" allowBlank="1" showInputMessage="1" showErrorMessage="1" errorTitle="Not Applicable" error="Applicable only on Ground mounted Projects" sqref="BG25" xr:uid="{1EBE3E9B-3DEB-4F38-8000-59573CC7A827}">
      <formula1>OR(C$25=R$12,C$25=R$13,C$25=R$15)</formula1>
    </dataValidation>
    <dataValidation type="custom" allowBlank="1" showInputMessage="1" showErrorMessage="1" errorTitle="Not Applicable" error="Applicable only on Ground mounted Projects" sqref="BH25" xr:uid="{EF21F9AA-B430-4BA7-82AA-E688804306D8}">
      <formula1>OR(C$25=R$12,C$25=R$13,C$25=R$15)</formula1>
    </dataValidation>
    <dataValidation type="custom" allowBlank="1" showInputMessage="1" showErrorMessage="1" errorTitle="Not Applicable" error="Applicable only on Ground mounted Projects" sqref="BB26" xr:uid="{AFE8CDE5-00D2-4528-8B0C-F32F8607B111}">
      <formula1>OR(C$26=R$12,C$26=R$13,C$26=R$15)</formula1>
    </dataValidation>
    <dataValidation type="custom" allowBlank="1" showInputMessage="1" showErrorMessage="1" errorTitle="Not Applicable" error="Applicable only on Ground mounted Projects" sqref="BC26" xr:uid="{FAB33C25-56D8-4E10-8108-1CFA8340CB10}">
      <formula1>OR(C$26=R$12,C$26=R$13,C$26=R$15)</formula1>
    </dataValidation>
    <dataValidation type="custom" allowBlank="1" showInputMessage="1" showErrorMessage="1" errorTitle="Not Applicable" error="Applicable only on Ground mounted Projects" sqref="BD26" xr:uid="{8A56D50E-E8D3-4F0F-A8D4-30455FCF860C}">
      <formula1>OR(C$26=R$12,C$26=R$13,C$26=R$15)</formula1>
    </dataValidation>
    <dataValidation type="custom" allowBlank="1" showInputMessage="1" showErrorMessage="1" errorTitle="Not Applicable" error="Applicable only on Ground mounted Projects" sqref="BE26" xr:uid="{5B7EEBFD-3C55-4D64-AE9F-10BABBA1B88C}">
      <formula1>OR(C$26=R$12,C$26=R$13,C$26=R$15)</formula1>
    </dataValidation>
    <dataValidation type="custom" allowBlank="1" showInputMessage="1" showErrorMessage="1" errorTitle="Not Applicable" error="Applicable only on Ground mounted Projects" sqref="BG26" xr:uid="{E421759E-13CD-4A28-A386-C3E5FE15B872}">
      <formula1>OR(C$26=R$12,C$26=R$13,C$26=R$15)</formula1>
    </dataValidation>
    <dataValidation type="custom" allowBlank="1" showInputMessage="1" showErrorMessage="1" errorTitle="Not Applicable" error="Applicable only on Ground mounted Projects" sqref="BH26" xr:uid="{483DE984-DF26-473E-B3CE-6EB1ADB2BF71}">
      <formula1>OR(C$26=R$12,C$26=R$13,C$26=R$15)</formula1>
    </dataValidation>
    <dataValidation type="custom" allowBlank="1" showInputMessage="1" showErrorMessage="1" errorTitle="Not Applicable" error="Applicable only on Ground mounted Projects" sqref="BB27" xr:uid="{6DA8EDA3-7452-483E-B40A-B3F0B3824CAE}">
      <formula1>OR(C$27=R$12,C$27=R$13,C$27=R$15)</formula1>
    </dataValidation>
    <dataValidation type="custom" allowBlank="1" showInputMessage="1" showErrorMessage="1" errorTitle="Not Applicable" error="Applicable only on Ground mounted Projects" sqref="BC27" xr:uid="{30056B93-21E1-4494-A102-F7857A083506}">
      <formula1>OR(C$27=R$12,C$27=R$13,C$27=R$15)</formula1>
    </dataValidation>
    <dataValidation type="custom" allowBlank="1" showInputMessage="1" showErrorMessage="1" errorTitle="Not Applicable" error="Applicable only on Ground mounted Projects" sqref="BD27" xr:uid="{35EF27C2-39BA-4A7D-AA7A-8EBCE11C797A}">
      <formula1>OR(C$27=R$12,C$27=R$13,C$27=R$15)</formula1>
    </dataValidation>
    <dataValidation type="custom" allowBlank="1" showInputMessage="1" showErrorMessage="1" errorTitle="Not Applicable" error="Applicable only on Ground mounted Projects" sqref="BE27" xr:uid="{F3F89B6D-0F73-4DB1-94D3-1E842E711D4B}">
      <formula1>OR(C$27=R$12,C$27=R$13,C$27=R$15)</formula1>
    </dataValidation>
    <dataValidation type="custom" allowBlank="1" showInputMessage="1" showErrorMessage="1" errorTitle="Not Applicable" error="Applicable only on Ground mounted Projects" sqref="BG27" xr:uid="{996B7F29-5821-4EE0-8811-8AC07ADA6B46}">
      <formula1>OR(C$27=R$12,C$27=R$13,C$27=R$15)</formula1>
    </dataValidation>
    <dataValidation type="custom" allowBlank="1" showInputMessage="1" showErrorMessage="1" errorTitle="Not Applicable" error="Applicable only on Ground mounted Projects" sqref="BH27" xr:uid="{3AB1B4FA-95F3-414F-9D7B-37AB8AE8D76A}">
      <formula1>OR(C$27=R$12,C$27=R$13,C$27=R$15)</formula1>
    </dataValidation>
    <dataValidation type="custom" allowBlank="1" showInputMessage="1" showErrorMessage="1" errorTitle="Not Applicable" error="Applicable only on Ground mounted Projects" sqref="BB28" xr:uid="{C75222B2-E4AD-4AA9-9F07-DA9375C2862B}">
      <formula1>OR(C$28=R$12,C$28=R$13,C$28=R$15)</formula1>
    </dataValidation>
    <dataValidation type="custom" allowBlank="1" showInputMessage="1" showErrorMessage="1" errorTitle="Not Applicable" error="Applicable only on Ground mounted Projects" sqref="BC28" xr:uid="{E37CA5AF-80B5-49E7-9F37-2CC93CCE7DCA}">
      <formula1>OR(C$28=R$12,C$28=R$13,C$28=R$15)</formula1>
    </dataValidation>
    <dataValidation type="custom" allowBlank="1" showInputMessage="1" showErrorMessage="1" errorTitle="Not Applicable" error="Applicable only on Ground mounted Projects" sqref="BD28" xr:uid="{9E8788CE-1DC7-4537-B2CD-C1E8DB3CFD1C}">
      <formula1>OR(C$28=R$12,C$28=R$13,C$28=R$15)</formula1>
    </dataValidation>
    <dataValidation type="custom" allowBlank="1" showInputMessage="1" showErrorMessage="1" errorTitle="Not Applicable" error="Applicable only on Ground mounted Projects" sqref="BE28" xr:uid="{C3783578-002A-43D8-A942-3801AF4C38EE}">
      <formula1>OR(C$28=R$12,C$28=R$13,C$28=R$15)</formula1>
    </dataValidation>
    <dataValidation type="custom" allowBlank="1" showInputMessage="1" showErrorMessage="1" errorTitle="Not Applicable" error="Applicable only on Ground mounted Projects" sqref="BG28" xr:uid="{49B81BC2-5958-401A-B390-86D457746B04}">
      <formula1>OR(C$28=R$12,C$28=R$13,C$28=R$15)</formula1>
    </dataValidation>
    <dataValidation type="custom" allowBlank="1" showInputMessage="1" showErrorMessage="1" errorTitle="Not Applicable" error="Applicable only on Ground mounted Projects" sqref="BH28" xr:uid="{83ED5C7B-F58E-4B12-A75F-D9BCCE42D863}">
      <formula1>OR(C$28=R$12,C$28=R$13,C$28=R$15)</formula1>
    </dataValidation>
    <dataValidation type="custom" allowBlank="1" showInputMessage="1" showErrorMessage="1" errorTitle="Not Applicable" error="Applicable only on Ground mounted Projects" sqref="BB30" xr:uid="{4F870AEE-EC9A-48E2-973F-C18B492F12AA}">
      <formula1>OR(C$30=R$12,C$30=R$13,C$30=R$15)</formula1>
    </dataValidation>
    <dataValidation type="custom" allowBlank="1" showInputMessage="1" showErrorMessage="1" errorTitle="Not Applicable" error="Applicable only on Ground mounted Projects" sqref="BC29" xr:uid="{98FF28F6-616C-4E50-A37A-82958557AD17}">
      <formula1>OR(C$29=R$12,C$29=R$13,C$29=R$15)</formula1>
    </dataValidation>
    <dataValidation type="custom" allowBlank="1" showInputMessage="1" showErrorMessage="1" errorTitle="Not Applicable" error="Applicable only on Ground mounted Projects" sqref="BD29" xr:uid="{AC3904C8-F07C-4530-AC4A-71B44F96571E}">
      <formula1>OR(C$29=R$12,C$29=R$13,C$29=R$15)</formula1>
    </dataValidation>
    <dataValidation type="custom" allowBlank="1" showInputMessage="1" showErrorMessage="1" errorTitle="Not Applicable" error="Applicable only on Ground mounted Projects" sqref="BE29" xr:uid="{5DBCFB07-6A5F-4475-9959-B60F085BA95A}">
      <formula1>OR(C$29=R$12,C$29=R$13,C$29=R$15)</formula1>
    </dataValidation>
    <dataValidation type="custom" allowBlank="1" showInputMessage="1" showErrorMessage="1" errorTitle="Not Applicable" error="Applicable only on Ground mounted Projects" sqref="BG29" xr:uid="{307109B6-DEBE-47E8-99AE-D8B7428D3337}">
      <formula1>OR(C$29=R$12,C$29=R$13,C$29=R$15)</formula1>
    </dataValidation>
    <dataValidation type="custom" allowBlank="1" showInputMessage="1" showErrorMessage="1" errorTitle="Not Applicable" error="Applicable only on Ground mounted Projects" sqref="BH29" xr:uid="{38C889E3-8A09-41BD-A2F0-6683180ED26A}">
      <formula1>OR(C$29=R$12,C$29=R$13,C$29=R$15)</formula1>
    </dataValidation>
    <dataValidation type="custom" allowBlank="1" showInputMessage="1" showErrorMessage="1" errorTitle="Not Applicable" error="Applicable only on Ground mounted Projects" sqref="BB29" xr:uid="{2BB6EF8D-1DE9-4935-8616-FCB92933A5FA}">
      <formula1>OR(C$29=R$12,C$29=R$13,C$29=R$15)</formula1>
    </dataValidation>
    <dataValidation type="custom" allowBlank="1" showInputMessage="1" showErrorMessage="1" errorTitle="Not Applicable" error="Applicable only on Ground mounted Projects" sqref="BC30" xr:uid="{C73F913B-A025-45C1-A50B-9AE78F18039A}">
      <formula1>OR(C$30=R$12,C$30=R$13,C$30=R$15)</formula1>
    </dataValidation>
    <dataValidation type="custom" allowBlank="1" showInputMessage="1" showErrorMessage="1" errorTitle="Not Applicable" error="Applicable only on Ground mounted Projects" sqref="BD30" xr:uid="{1B985239-5510-4B0F-9C95-991A337C339D}">
      <formula1>OR(C$30=R$12,C$30=R$13,C$30=R$15)</formula1>
    </dataValidation>
    <dataValidation type="custom" allowBlank="1" showInputMessage="1" showErrorMessage="1" errorTitle="Not Applicable" error="Applicable only on Ground mounted Projects" sqref="BE30" xr:uid="{F48F0D89-10B4-45F6-8560-2F120B8F8855}">
      <formula1>OR(C$30=R$12,C$30=R$13,C$30=R$15)</formula1>
    </dataValidation>
    <dataValidation type="custom" allowBlank="1" showInputMessage="1" showErrorMessage="1" errorTitle="Not Applicable" error="Applicable only on Ground mounted Projects" sqref="BG30" xr:uid="{2A49DEBD-8DA7-4FD0-A674-56A9D8101388}">
      <formula1>OR(C$30=R$12,C$30=R$13,C$30=R$15)</formula1>
    </dataValidation>
    <dataValidation type="custom" allowBlank="1" showInputMessage="1" showErrorMessage="1" errorTitle="Not Applicable" error="Applicable only on Ground mounted Projects" sqref="BH30" xr:uid="{A87FB842-565D-4CCA-B0BC-7C62BE591CB1}">
      <formula1>OR(C$30=R$12,C$30=R$13,C$30=R$15)</formula1>
    </dataValidation>
    <dataValidation type="custom" allowBlank="1" showInputMessage="1" showErrorMessage="1" errorTitle="Not Applicable" error="Applicable only on Ground mounted Projects" sqref="BB31" xr:uid="{4028029B-8988-4ABD-BBFF-431072DDE37D}">
      <formula1>OR(C$31=R$12,C$31=R$13,C$31=R$15)</formula1>
    </dataValidation>
    <dataValidation type="custom" allowBlank="1" showInputMessage="1" showErrorMessage="1" errorTitle="Not Applicable" error="Applicable only on Ground mounted Projects" sqref="BC31" xr:uid="{2CEF18F3-BC78-4E2A-8138-8160236DEE95}">
      <formula1>OR(C$31=R$12,C$31=R$13,C$31=R$15)</formula1>
    </dataValidation>
    <dataValidation type="custom" allowBlank="1" showInputMessage="1" showErrorMessage="1" errorTitle="Not Applicable" error="Applicable only on Ground mounted Projects" sqref="BD31" xr:uid="{01917005-2A18-444F-A542-BF3F97A32095}">
      <formula1>OR(C$31=R$12,C$31=R$13,C$31=R$15)</formula1>
    </dataValidation>
    <dataValidation type="custom" allowBlank="1" showInputMessage="1" showErrorMessage="1" errorTitle="Not Applicable" error="Applicable only on Ground mounted Projects" sqref="BE31" xr:uid="{23EECD72-295F-464C-8E22-93235A25256E}">
      <formula1>OR(C$31=R$12,C$31=R$13,C$31=R$15)</formula1>
    </dataValidation>
    <dataValidation type="custom" allowBlank="1" showInputMessage="1" showErrorMessage="1" errorTitle="Not Applicable" error="Applicable only on Ground mounted Projects" sqref="BG31" xr:uid="{7F9A63BB-205F-4450-96E9-F236CA5F18E6}">
      <formula1>OR(C$31=R$12,C$31=R$13,C$31=R$15)</formula1>
    </dataValidation>
    <dataValidation type="custom" allowBlank="1" showInputMessage="1" showErrorMessage="1" errorTitle="Not Applicable" error="Applicable only on Ground mounted Projects" sqref="BH31" xr:uid="{BC5569F8-55E6-43A3-A7F5-B48983B1D340}">
      <formula1>OR(C$31=R$12,C$31=R$13,C$31=R$15)</formula1>
    </dataValidation>
    <dataValidation type="custom" allowBlank="1" showInputMessage="1" showErrorMessage="1" errorTitle="Not Applicable" error="Applicable only on Ground mounted Projects" sqref="BB32" xr:uid="{7EA15EA1-A416-4318-AD9B-69C19CC18EE3}">
      <formula1>OR(C$32=R$12,C$32=R$13,C$32=R$15)</formula1>
    </dataValidation>
    <dataValidation type="custom" allowBlank="1" showInputMessage="1" showErrorMessage="1" errorTitle="Not Applicable" error="Applicable only on Ground mounted Projects" sqref="BC32" xr:uid="{2E7FF55E-C6BB-4BFF-999B-6FBDC98ECEE0}">
      <formula1>OR(C$32=R$12,C$32=R$13,C$32=R$15)</formula1>
    </dataValidation>
    <dataValidation type="custom" allowBlank="1" showInputMessage="1" showErrorMessage="1" errorTitle="Not Applicable" error="Applicable only on Ground mounted Projects" sqref="BD32" xr:uid="{992A1484-E2C0-45F9-A9E4-E7327782DB08}">
      <formula1>OR(C$32=R$12,C$32=R$13,C$32=R$15)</formula1>
    </dataValidation>
    <dataValidation type="custom" allowBlank="1" showInputMessage="1" showErrorMessage="1" errorTitle="Not Applicable" error="Applicable only on Ground mounted Projects" sqref="BE32" xr:uid="{1D9DCEEB-A7D2-4C44-97A9-B11A872187AF}">
      <formula1>OR(C$32=R$12,C$32=R$13,C$32=R$15)</formula1>
    </dataValidation>
    <dataValidation type="custom" allowBlank="1" showInputMessage="1" showErrorMessage="1" errorTitle="Not Applicable" error="Applicable only on Ground mounted Projects" sqref="BG32" xr:uid="{16A7B6D0-F0EF-49B0-AC1B-340714F821AA}">
      <formula1>OR(C$32=R$12,C$32=R$13,C$32=R$15)</formula1>
    </dataValidation>
    <dataValidation type="custom" allowBlank="1" showInputMessage="1" showErrorMessage="1" errorTitle="Not Applicable" error="Applicable only on Ground mounted Projects" sqref="BH32" xr:uid="{E7AB201F-A623-4B19-A55C-5F2F4680BFD6}">
      <formula1>OR(C$32=R$12,C$32=R$13,C$32=R$15)</formula1>
    </dataValidation>
    <dataValidation type="custom" allowBlank="1" showInputMessage="1" showErrorMessage="1" errorTitle="Not Applicable" error="Applicable only on Ground mounted Projects" sqref="BB33" xr:uid="{E908D099-3DFA-424B-863C-154D64821A4C}">
      <formula1>OR(C$33=R$12,C$33=R$13,C$33=R$15)</formula1>
    </dataValidation>
    <dataValidation type="custom" allowBlank="1" showInputMessage="1" showErrorMessage="1" errorTitle="Not Applicable" error="Applicable only on Ground mounted Projects" sqref="BC33" xr:uid="{F58E34D2-A5D6-4A70-A883-A31B5CB90035}">
      <formula1>OR(C$33=R$12,C$33=R$13,C$33=R$15)</formula1>
    </dataValidation>
    <dataValidation type="custom" allowBlank="1" showInputMessage="1" showErrorMessage="1" errorTitle="Not Applicable" error="Applicable only on Ground mounted Projects" sqref="BD33" xr:uid="{06DE0420-7861-4077-B622-9C27CDDD5A99}">
      <formula1>OR(C$33=R$12,C$33=R$13,C$33=R$15)</formula1>
    </dataValidation>
    <dataValidation type="custom" allowBlank="1" showInputMessage="1" showErrorMessage="1" errorTitle="Not Applicable" error="Applicable only on Ground mounted Projects" sqref="BE33" xr:uid="{56015487-69EB-4284-9B8C-0D09B00808F4}">
      <formula1>OR(C$33=R$12,C$33=R$13,C$33=R$15)</formula1>
    </dataValidation>
    <dataValidation type="custom" allowBlank="1" showInputMessage="1" showErrorMessage="1" errorTitle="Not Applicable" error="Applicable only on Ground mounted Projects" sqref="BG33" xr:uid="{C445F0E3-B81C-4848-B2B5-4054B9B2F50B}">
      <formula1>OR(C$33=R$12,C$33=R$13,C$33=R$15)</formula1>
    </dataValidation>
    <dataValidation type="custom" allowBlank="1" showInputMessage="1" showErrorMessage="1" errorTitle="Not Applicable" error="Applicable only on Ground mounted Projects" sqref="BH33" xr:uid="{4BA47FB8-88FA-4C76-ABA7-5F099C0B6819}">
      <formula1>OR(C$33=R$12,C$33=R$13,C$33=R$15)</formula1>
    </dataValidation>
    <dataValidation type="custom" allowBlank="1" showInputMessage="1" showErrorMessage="1" errorTitle="Not Applicable" error="Applicable only on Ground mounted Projects" sqref="BB34" xr:uid="{57F4F200-D898-4C8C-9B12-776838BAF313}">
      <formula1>OR(C$34=R$12,C$34=R$13,C$34=R$15)</formula1>
    </dataValidation>
    <dataValidation type="custom" allowBlank="1" showInputMessage="1" showErrorMessage="1" errorTitle="Not Applicable" error="Applicable only on Ground mounted Projects" sqref="BC34" xr:uid="{E6500740-918D-43F1-87BD-101FFDA91743}">
      <formula1>OR(C$34=R$12,C$34=R$13,C$34=R$15)</formula1>
    </dataValidation>
    <dataValidation type="custom" allowBlank="1" showInputMessage="1" showErrorMessage="1" errorTitle="Not Applicable" error="Applicable only on Ground mounted Projects" sqref="BD34" xr:uid="{4495C86F-45C7-4E25-9296-B2971B3D9953}">
      <formula1>OR(C$34=R$12,C$34=R$13,C$34=R$15)</formula1>
    </dataValidation>
    <dataValidation type="custom" allowBlank="1" showInputMessage="1" showErrorMessage="1" errorTitle="Not Applicable" error="Applicable only on Ground mounted Projects" sqref="BE34" xr:uid="{2AF23793-4386-4B75-A88C-BEC40DF4CA1B}">
      <formula1>OR(C$34=R$12,C$34=R$13,C$34=R$15)</formula1>
    </dataValidation>
    <dataValidation type="custom" allowBlank="1" showInputMessage="1" showErrorMessage="1" errorTitle="Not Applicable" error="Applicable only on Ground mounted Projects" sqref="BG34" xr:uid="{0A342A40-6F2D-4FCA-AAD1-14F85B7E0A33}">
      <formula1>OR(C$34=R$12,C$34=R$13,C$34=R$15)</formula1>
    </dataValidation>
    <dataValidation type="custom" allowBlank="1" showInputMessage="1" showErrorMessage="1" errorTitle="Not Applicable" error="Applicable only on Ground mounted Projects" sqref="BH34" xr:uid="{DDD8AA29-8BF9-477A-A1F4-117B06C7BC02}">
      <formula1>OR(C$34=R$12,C$34=R$13,C$34=R$15)</formula1>
    </dataValidation>
    <dataValidation type="custom" allowBlank="1" showInputMessage="1" showErrorMessage="1" errorTitle="Not Applicable" error="Applicable only on Ground mounted Projects" sqref="BB35" xr:uid="{F2DFB869-6203-4130-8B79-18AF9506F470}">
      <formula1>OR(C$35=R$12,C$35=R$13,C$35=R$15)</formula1>
    </dataValidation>
    <dataValidation type="custom" allowBlank="1" showInputMessage="1" showErrorMessage="1" errorTitle="Not Applicable" error="Applicable only on Ground mounted Projects" sqref="BC35" xr:uid="{CDE9E64E-7735-44C9-AD26-00BBA197D9D9}">
      <formula1>OR(C$35=R$12,C$35=R$13,C$35=R$15)</formula1>
    </dataValidation>
    <dataValidation type="custom" allowBlank="1" showInputMessage="1" showErrorMessage="1" errorTitle="Not Applicable" error="Applicable only on Ground mounted Projects" sqref="BD35" xr:uid="{D54E8AFE-52ED-4011-8D9C-C20A6823D262}">
      <formula1>OR(C$35=R$12,C$35=R$13,C$35=R$15)</formula1>
    </dataValidation>
    <dataValidation type="custom" allowBlank="1" showInputMessage="1" showErrorMessage="1" errorTitle="Not Applicable" error="Applicable only on Ground mounted Projects" sqref="BE35" xr:uid="{FE66987C-CD34-457F-8706-9014C65EC8ED}">
      <formula1>OR(C$35=R$12,C$35=R$13,C$35=R$15)</formula1>
    </dataValidation>
    <dataValidation type="custom" allowBlank="1" showInputMessage="1" showErrorMessage="1" errorTitle="Not Applicable" error="Applicable only on Ground mounted Projects" sqref="BG35" xr:uid="{DC7BFAC9-3B2E-469F-9D17-0197C1F7F244}">
      <formula1>OR(C$35=R$12,C$35=R$13,C$35=R$15)</formula1>
    </dataValidation>
    <dataValidation type="custom" allowBlank="1" showInputMessage="1" showErrorMessage="1" errorTitle="Not Applicable" error="Applicable only on Ground mounted Projects" sqref="BH35" xr:uid="{4CFA1FF6-F944-4AD1-96E8-2502E310FD47}">
      <formula1>OR(C$35=R$12,C$35=R$13,C$35=R$15)</formula1>
    </dataValidation>
    <dataValidation type="custom" allowBlank="1" showInputMessage="1" showErrorMessage="1" errorTitle="Not Applicable" error="Applicable only on Ground mounted Projects" sqref="BB36" xr:uid="{EE529745-73D7-490E-B460-47ACAF627C8D}">
      <formula1>OR(C$36=R$12,C$36=R$13,C$36=R$15)</formula1>
    </dataValidation>
    <dataValidation type="custom" allowBlank="1" showInputMessage="1" showErrorMessage="1" errorTitle="Not Applicable" error="Applicable only on Ground mounted Projects" sqref="BC36" xr:uid="{D339640B-1BC9-4BB0-895E-CB12AF67E468}">
      <formula1>OR(C$36=R$12,C$36=R$13,C$36=R$15)</formula1>
    </dataValidation>
    <dataValidation type="custom" allowBlank="1" showInputMessage="1" showErrorMessage="1" errorTitle="Not Applicable" error="Applicable only on Ground mounted Projects" sqref="BD36" xr:uid="{A30E6683-05D4-4AF2-9C0C-6395D0D96F90}">
      <formula1>OR(C$36=R$12,C$36=R$13,C$36=R$15)</formula1>
    </dataValidation>
    <dataValidation type="custom" allowBlank="1" showInputMessage="1" showErrorMessage="1" errorTitle="Not Applicable" error="Applicable only on Ground mounted Projects" sqref="BE36" xr:uid="{D46A2036-39E4-4A4B-A81F-88CB3AB8AF3C}">
      <formula1>OR(C$36=R$12,C$36=R$13,C$36=R$15)</formula1>
    </dataValidation>
    <dataValidation type="custom" allowBlank="1" showInputMessage="1" showErrorMessage="1" errorTitle="Not Applicable" error="Applicable only on Ground mounted Projects" sqref="BG36" xr:uid="{0FCD9154-0888-41A1-A129-9733BC254A28}">
      <formula1>OR(C$36=R$12,C$36=R$13,C$36=R$15)</formula1>
    </dataValidation>
    <dataValidation type="custom" allowBlank="1" showInputMessage="1" showErrorMessage="1" errorTitle="Not Applicable" error="Applicable only on Ground mounted Projects" sqref="BH36" xr:uid="{BDF4E99C-461A-47EC-A2BD-BA72DF84605B}">
      <formula1>OR(C$36=R$12,C$36=R$13,C$36=R$15)</formula1>
    </dataValidation>
    <dataValidation type="custom" allowBlank="1" showInputMessage="1" showErrorMessage="1" errorTitle="Not Applicable" error="Applicable only on Ground mounted Projects" sqref="BB37" xr:uid="{0A38275F-E71E-4840-9875-F45A7769E38E}">
      <formula1>OR(C$37=R$12,C$37=R$13,C$37=R$15)</formula1>
    </dataValidation>
    <dataValidation type="custom" allowBlank="1" showInputMessage="1" showErrorMessage="1" errorTitle="Not Applicable" error="Applicable only on Ground mounted Projects" sqref="BC37" xr:uid="{D6F6742A-6D88-4725-ACD2-8843592B96C8}">
      <formula1>OR(C$37=R$12,C$37=R$13,C$37=R$15)</formula1>
    </dataValidation>
    <dataValidation type="custom" allowBlank="1" showInputMessage="1" showErrorMessage="1" errorTitle="Not Applicable" error="Applicable only on Ground mounted Projects" sqref="BD37" xr:uid="{7DBC85EC-AB8E-41A8-A7AD-5A96CC94565E}">
      <formula1>OR(C$37=R$12,C$37=R$13,C$37=R$15)</formula1>
    </dataValidation>
    <dataValidation type="custom" allowBlank="1" showInputMessage="1" showErrorMessage="1" errorTitle="Not Applicable" error="Applicable only on Ground mounted Projects" sqref="BE37" xr:uid="{B6DE2CCA-309F-4F46-8E39-FDC4ED1A97E8}">
      <formula1>OR(C$37=R$12,C$37=R$13,C$37=R$15)</formula1>
    </dataValidation>
    <dataValidation type="custom" allowBlank="1" showInputMessage="1" showErrorMessage="1" errorTitle="Not Applicable" error="Applicable only on Ground mounted Projects" sqref="BG37" xr:uid="{C2DCFB0C-4891-473A-87CC-43ACC4D8B831}">
      <formula1>OR(C$37=R$12,C$37=R$13,C$37=R$15)</formula1>
    </dataValidation>
    <dataValidation type="custom" allowBlank="1" showInputMessage="1" showErrorMessage="1" errorTitle="Not Applicable" error="Applicable only on Ground mounted Projects" sqref="BH37" xr:uid="{E24D6C0D-401B-4029-B303-FBA435D23F04}">
      <formula1>OR(C$37=R$12,C$37=R$13,C$37=R$15)</formula1>
    </dataValidation>
    <dataValidation type="custom" allowBlank="1" showInputMessage="1" showErrorMessage="1" errorTitle="Not Applicable" error="Applicable only on Ground mounted Projects" sqref="BB38" xr:uid="{76E945B4-ED82-4877-8C63-D173325D8242}">
      <formula1>OR(C$38=R$12,C$38=R$13,C$38=R$15)</formula1>
    </dataValidation>
    <dataValidation type="custom" allowBlank="1" showInputMessage="1" showErrorMessage="1" errorTitle="Not Applicable" error="Applicable only on Ground mounted Projects" sqref="BC38" xr:uid="{28D8606A-B8BF-42A4-8EEC-BEA0D1A8AE62}">
      <formula1>OR(C$38=R$12,C$38=R$13,C$38=R$15)</formula1>
    </dataValidation>
    <dataValidation type="custom" allowBlank="1" showInputMessage="1" showErrorMessage="1" errorTitle="Not Applicable" error="Applicable only on Ground mounted Projects" sqref="BD38" xr:uid="{649A621D-1BBB-477F-95C3-669C4E79244E}">
      <formula1>OR(C$38=R$12,C$38=R$13,C$38=R$15)</formula1>
    </dataValidation>
    <dataValidation type="custom" allowBlank="1" showInputMessage="1" showErrorMessage="1" errorTitle="Not Applicable" error="Applicable only on Ground mounted Projects" sqref="BE38" xr:uid="{DF88A2D0-FC45-43A4-B32A-A1D1689BAD91}">
      <formula1>OR(C$38=R$12,C$38=R$13,C$38=R$15)</formula1>
    </dataValidation>
    <dataValidation type="custom" allowBlank="1" showInputMessage="1" showErrorMessage="1" errorTitle="Not Applicable" error="Applicable only on Ground mounted Projects" sqref="BG38" xr:uid="{E8C38912-F37E-4A10-8E4C-7DF64CE75016}">
      <formula1>OR(C$38=R$12,C$38=R$13,C$38=R$15)</formula1>
    </dataValidation>
    <dataValidation type="custom" allowBlank="1" showInputMessage="1" showErrorMessage="1" errorTitle="Not Applicable" error="Applicable only on Ground mounted Projects" sqref="BH38" xr:uid="{44599737-5FBC-4338-B85A-1982C05B47EA}">
      <formula1>OR(C$38=R$12,C$38=R$13,C$38=R$15)</formula1>
    </dataValidation>
    <dataValidation type="custom" allowBlank="1" showInputMessage="1" showErrorMessage="1" errorTitle="Not Applicable" error="Applicable only on Ground mounted Projects" sqref="BB39" xr:uid="{CD437D03-147C-49CD-A6F7-BB87B47FEDE0}">
      <formula1>OR(C$39=R$12,C$39=R$13,C$39=R$15)</formula1>
    </dataValidation>
    <dataValidation type="custom" allowBlank="1" showInputMessage="1" showErrorMessage="1" errorTitle="Not Applicable" error="Applicable only on Ground mounted Projects" sqref="BC39" xr:uid="{F37B9AC2-AEF8-4F6E-8A9A-404E4A961A6F}">
      <formula1>OR(C$39=R$12,C$39=R$13,C$39=R$15)</formula1>
    </dataValidation>
    <dataValidation type="custom" allowBlank="1" showInputMessage="1" showErrorMessage="1" errorTitle="Not Applicable" error="Applicable only on Ground mounted Projects" sqref="BD39" xr:uid="{64C6DCE8-CAF6-4E95-8A07-55313ED4DB1D}">
      <formula1>OR(C$39=R$12,C$39=R$13,C$39=R$15)</formula1>
    </dataValidation>
    <dataValidation type="custom" allowBlank="1" showInputMessage="1" showErrorMessage="1" errorTitle="Not Applicable" error="Applicable only on Ground mounted Projects" sqref="BE39" xr:uid="{D60469D4-3974-4BA1-B212-1D78BE3CA295}">
      <formula1>OR(C$39=R$12,C$39=R$13,C$39=R$15)</formula1>
    </dataValidation>
    <dataValidation type="custom" allowBlank="1" showInputMessage="1" showErrorMessage="1" errorTitle="Not Applicable" error="Applicable only on Ground mounted Projects" sqref="BG39" xr:uid="{3B4600BC-D2E4-4970-A506-5CBF497CF47A}">
      <formula1>OR(C$39=R$12,C$39=R$13,C$39=R$15)</formula1>
    </dataValidation>
    <dataValidation type="custom" allowBlank="1" showInputMessage="1" showErrorMessage="1" errorTitle="Not Applicable" error="Applicable only on Ground mounted Projects" sqref="BH39" xr:uid="{C0A6B500-5A18-40F9-B77A-1C65225EF019}">
      <formula1>OR(C$39=R$12,C$39=R$13,C$39=R$15)</formula1>
    </dataValidation>
    <dataValidation type="custom" allowBlank="1" showInputMessage="1" showErrorMessage="1" errorTitle="Not Applicable" error="Applicable only on Ground mounted Projects" sqref="BB40" xr:uid="{A9B38319-F73E-4A3D-A8EE-E4AF4BCE844A}">
      <formula1>OR(C$40=R$12,C$40=R$13,C$40=R$15)</formula1>
    </dataValidation>
    <dataValidation type="custom" allowBlank="1" showInputMessage="1" showErrorMessage="1" errorTitle="Not Applicable" error="Applicable only on Ground mounted Projects" sqref="BC40" xr:uid="{0F607014-CCCA-440B-BCAB-54F0BC2C479F}">
      <formula1>OR(C$40=R$12,C$40=R$13,C$40=R$15)</formula1>
    </dataValidation>
    <dataValidation type="custom" allowBlank="1" showInputMessage="1" showErrorMessage="1" errorTitle="Not Applicable" error="Applicable only on Ground mounted Projects" sqref="BD40" xr:uid="{BFB1C1BE-076C-4D79-B401-1684B991BC8A}">
      <formula1>OR(C$40=R$12,C$40=R$13,C$40=R$15)</formula1>
    </dataValidation>
    <dataValidation type="custom" allowBlank="1" showInputMessage="1" showErrorMessage="1" errorTitle="Not Applicable" error="Applicable only on Ground mounted Projects" sqref="BE40" xr:uid="{00C8101F-B00F-4EFA-A61F-B8143B6F6B0D}">
      <formula1>OR(C$40=R$12,C$40=R$13,C$40=R$15)</formula1>
    </dataValidation>
    <dataValidation type="custom" allowBlank="1" showInputMessage="1" showErrorMessage="1" errorTitle="Not Applicable" error="Applicable only on Ground mounted Projects" sqref="BG40" xr:uid="{01B618A5-DAE5-4F39-89F4-34F64F029DBF}">
      <formula1>OR(C$40=R$12,C$40=R$13,C$40=R$15)</formula1>
    </dataValidation>
    <dataValidation type="custom" allowBlank="1" showInputMessage="1" showErrorMessage="1" errorTitle="Not Applicable" error="Applicable only on Ground mounted Projects" sqref="BH40" xr:uid="{37C70D07-DCA2-4B84-8FF3-84855A5EC980}">
      <formula1>OR(C$40=R$12,C$40=R$13,C$40=R$15)</formula1>
    </dataValidation>
    <dataValidation type="custom" allowBlank="1" showInputMessage="1" showErrorMessage="1" errorTitle="Not Applicable" error="Applicable only on Ground mounted Projects" sqref="BB41" xr:uid="{12DE5D8E-4889-4DCB-9CC6-C94B5E3582B2}">
      <formula1>OR(C$41=R$12,C$41=R$13,C$41=R$15)</formula1>
    </dataValidation>
    <dataValidation type="custom" allowBlank="1" showInputMessage="1" showErrorMessage="1" errorTitle="Not Applicable" error="Applicable only on Ground mounted Projects" sqref="BC41" xr:uid="{68340E45-7D4A-4C84-AB09-9000EDFCBA62}">
      <formula1>OR(C$41=R$12,C$41=R$13,C$41=R$15)</formula1>
    </dataValidation>
    <dataValidation type="custom" allowBlank="1" showInputMessage="1" showErrorMessage="1" errorTitle="Not Applicable" error="Applicable only on Ground mounted Projects" sqref="BD41" xr:uid="{BB10C37B-50AD-4288-8EF1-5C6466259CCC}">
      <formula1>OR(C$41=R$12,C$41=R$13,C$41=R$15)</formula1>
    </dataValidation>
    <dataValidation type="custom" allowBlank="1" showInputMessage="1" showErrorMessage="1" errorTitle="Not Applicable" error="Applicable only on Ground mounted Projects" sqref="BE41" xr:uid="{711149D1-85CF-4EA0-BAA8-9DE214C643F9}">
      <formula1>OR(C$41=R$12,C$41=R$13,C$41=R$15)</formula1>
    </dataValidation>
    <dataValidation type="custom" allowBlank="1" showInputMessage="1" showErrorMessage="1" errorTitle="Not Applicable" error="Applicable only on Ground mounted Projects" sqref="BG41" xr:uid="{065D2813-255C-41B4-87BD-61E42D861919}">
      <formula1>OR(C$41=R$12,C$41=R$13,C$41=R$15)</formula1>
    </dataValidation>
    <dataValidation type="custom" allowBlank="1" showInputMessage="1" showErrorMessage="1" errorTitle="Not Applicable" error="Applicable only on Ground mounted Projects" sqref="BH41" xr:uid="{007CBC56-B9BD-489B-ADE4-B8B3414F2727}">
      <formula1>OR(C$41=R$12,C$41=R$13,C$41=R$15)</formula1>
    </dataValidation>
    <dataValidation type="custom" allowBlank="1" showInputMessage="1" showErrorMessage="1" errorTitle="Not Applicable" error="Applicable only on Ground mounted Projects" sqref="BB42" xr:uid="{AA1C30B4-8093-4AF8-B43B-A12BCD272B58}">
      <formula1>OR(C$42=R$12,C$42=R$13,C$42=R$15)</formula1>
    </dataValidation>
    <dataValidation type="custom" allowBlank="1" showInputMessage="1" showErrorMessage="1" errorTitle="Not Applicable" error="Applicable only on Ground mounted Projects" sqref="BC42" xr:uid="{64704729-955E-4641-98AB-1083EEC7577B}">
      <formula1>OR(C$42=R$12,C$42=R$13,C$42=R$15)</formula1>
    </dataValidation>
    <dataValidation type="custom" allowBlank="1" showInputMessage="1" showErrorMessage="1" errorTitle="Not Applicable" error="Applicable only on Ground mounted Projects" sqref="BD42" xr:uid="{46E63741-82F2-493B-8938-5FC83C99FA3A}">
      <formula1>OR(C$42=R$12,C$42=R$13,C$42=R$15)</formula1>
    </dataValidation>
    <dataValidation type="custom" allowBlank="1" showInputMessage="1" showErrorMessage="1" errorTitle="Not Applicable" error="Applicable only on Ground mounted Projects" sqref="BE42" xr:uid="{DD8DB1F7-FA3B-4E48-B229-24DDFF47D452}">
      <formula1>OR(C$42=R$12,C$42=R$13,C$42=R$15)</formula1>
    </dataValidation>
    <dataValidation type="custom" allowBlank="1" showInputMessage="1" showErrorMessage="1" errorTitle="Not Applicable" error="Applicable only on Ground mounted Projects" sqref="BG42" xr:uid="{F411088E-0B83-4875-85FA-33CAEE1F0383}">
      <formula1>OR(C$42=R$12,C$42=R$13,C$42=R$15)</formula1>
    </dataValidation>
    <dataValidation type="custom" allowBlank="1" showInputMessage="1" showErrorMessage="1" errorTitle="Not Applicable" error="Applicable only on Ground mounted Projects" sqref="BH42" xr:uid="{88B9DEA4-BBA9-4327-912E-F646102A2DBC}">
      <formula1>OR(C$42=R$12,C$42=R$13,C$42=R$15)</formula1>
    </dataValidation>
    <dataValidation type="custom" allowBlank="1" showInputMessage="1" showErrorMessage="1" errorTitle="Not Applicable" error="Applicable only on Ground mounted Projects" sqref="BB43" xr:uid="{91578779-C930-4F65-9263-CE0AFC134A7A}">
      <formula1>OR(C$43=R$12,C$43=R$13,C$43=R$15)</formula1>
    </dataValidation>
    <dataValidation type="custom" allowBlank="1" showInputMessage="1" showErrorMessage="1" errorTitle="Not Applicable" error="Applicable only on Ground mounted Projects" sqref="BC43" xr:uid="{683DA952-451A-41DA-A8DE-DA158E62DB55}">
      <formula1>OR(C$43=R$12,C$43=R$13,C$43=R$15)</formula1>
    </dataValidation>
    <dataValidation type="custom" allowBlank="1" showInputMessage="1" showErrorMessage="1" errorTitle="Not Applicable" error="Applicable only on Ground mounted Projects" sqref="BD43" xr:uid="{99C3DA5E-C233-4F12-9A23-B1F3B5CE8299}">
      <formula1>OR(C$43=R$12,C$43=R$13,C$43=R$15)</formula1>
    </dataValidation>
    <dataValidation type="custom" allowBlank="1" showInputMessage="1" showErrorMessage="1" errorTitle="Not Applicable" error="Applicable only on Ground mounted Projects" sqref="BE43" xr:uid="{EE09E83F-A3AD-47BB-8E3C-DE7E4AF87039}">
      <formula1>OR(C$43=R$12,C$43=R$13,C$43=R$15)</formula1>
    </dataValidation>
    <dataValidation type="custom" allowBlank="1" showInputMessage="1" showErrorMessage="1" errorTitle="Not Applicable" error="Applicable only on Ground mounted Projects" sqref="BG43" xr:uid="{C6A453B3-A549-4733-A7C1-8E0C1DF1FAF6}">
      <formula1>OR(C$43=R$12,C$43=R$13,C$43=R$15)</formula1>
    </dataValidation>
    <dataValidation type="custom" allowBlank="1" showInputMessage="1" showErrorMessage="1" errorTitle="Not Applicable" error="Applicable only on Ground mounted Projects" sqref="BH43" xr:uid="{0DFC6D5D-55E0-424C-A06E-2B69436B0DE7}">
      <formula1>OR(C$43=R$12,C$43=R$13,C$43=R$15)</formula1>
    </dataValidation>
    <dataValidation type="custom" allowBlank="1" showInputMessage="1" showErrorMessage="1" errorTitle="Not Applicable" error="Applicable only on Ground mounted Projects" sqref="BB44" xr:uid="{CD928A97-4CE1-46D3-9554-1BC0AABA13D2}">
      <formula1>OR(C$44=R$12,C$44=R$13,C$44=R$15)</formula1>
    </dataValidation>
    <dataValidation type="custom" allowBlank="1" showInputMessage="1" showErrorMessage="1" errorTitle="Not Applicable" error="Applicable only on Ground mounted Projects" sqref="BC44" xr:uid="{EB5169B5-0526-4C82-BAED-51A1B20DBF36}">
      <formula1>OR(C$44=R$12,C$44=R$13,C$44=R$15)</formula1>
    </dataValidation>
    <dataValidation type="custom" allowBlank="1" showInputMessage="1" showErrorMessage="1" errorTitle="Not Applicable" error="Applicable only on Ground mounted Projects" sqref="BD44" xr:uid="{F77F1087-9FAB-43FB-9854-7478850BF9DF}">
      <formula1>OR(C$44=R$12,C$44=R$13,C$44=R$15)</formula1>
    </dataValidation>
    <dataValidation type="custom" allowBlank="1" showInputMessage="1" showErrorMessage="1" errorTitle="Not Applicable" error="Applicable only on Ground mounted Projects" sqref="BE44" xr:uid="{0A5E0975-EABD-4762-9B18-DB984827DC76}">
      <formula1>OR(C$44=R$12,C$44=R$13,C$44=R$15)</formula1>
    </dataValidation>
    <dataValidation type="custom" allowBlank="1" showInputMessage="1" showErrorMessage="1" errorTitle="Not Applicable" error="Applicable only on Ground mounted Projects" sqref="BG44" xr:uid="{4A66D7F5-B413-44F6-886C-2CEBBDD3C83F}">
      <formula1>OR(C$44=R$12,C$44=R$13,C$44=R$15)</formula1>
    </dataValidation>
    <dataValidation type="custom" allowBlank="1" showInputMessage="1" showErrorMessage="1" errorTitle="Not Applicable" error="Applicable only on Ground mounted Projects" sqref="BH44" xr:uid="{7A8E71F1-4F98-47A9-8107-961E52DD7246}">
      <formula1>OR(C$44=R$12,C$44=R$13,C$44=R$15)</formula1>
    </dataValidation>
    <dataValidation type="custom" allowBlank="1" showInputMessage="1" showErrorMessage="1" errorTitle="Not Applicable" error="Applicable only on Ground mounted Projects" sqref="BB45" xr:uid="{4F9863B0-B3E4-4B0B-8392-2C083B01A937}">
      <formula1>OR(C$45=R$12,C$45=R$13,C$45=R$15)</formula1>
    </dataValidation>
    <dataValidation type="custom" allowBlank="1" showInputMessage="1" showErrorMessage="1" errorTitle="Not Applicable" error="Applicable only on Ground mounted Projects" sqref="BC45" xr:uid="{86B4CD79-B6A7-4C76-9E9F-F30174A9EB30}">
      <formula1>OR(C$45=R$12,C$45=R$13,C$45=R$15)</formula1>
    </dataValidation>
    <dataValidation type="custom" allowBlank="1" showInputMessage="1" showErrorMessage="1" errorTitle="Not Applicable" error="Applicable only on Ground mounted Projects" sqref="BD45" xr:uid="{88DB17FA-79DC-43F2-BF4A-5324441B5878}">
      <formula1>OR(C$45=R$12,C$45=R$13,C$45=R$15)</formula1>
    </dataValidation>
    <dataValidation type="custom" allowBlank="1" showInputMessage="1" showErrorMessage="1" errorTitle="Not Applicable" error="Applicable only on Ground mounted Projects" sqref="BE45" xr:uid="{87D9F108-9293-46E8-9495-93177ECECDA0}">
      <formula1>OR(C$45=R$12,C$45=R$13,C$45=R$15)</formula1>
    </dataValidation>
    <dataValidation type="custom" allowBlank="1" showInputMessage="1" showErrorMessage="1" errorTitle="Not Applicable" error="Applicable only on Ground mounted Projects" sqref="BG45" xr:uid="{E5446D48-D95A-4766-860B-25C2F4D25853}">
      <formula1>OR(C$45=R$12,C$45=R$13,C$45=R$15)</formula1>
    </dataValidation>
    <dataValidation type="custom" allowBlank="1" showInputMessage="1" showErrorMessage="1" errorTitle="Not Applicable" error="Applicable only on Ground mounted Projects" sqref="BH45" xr:uid="{E9767D39-7C4D-4F34-AEE7-D30E6E49208E}">
      <formula1>OR(C$45=R$12,C$45=R$13,C$45=R$15)</formula1>
    </dataValidation>
    <dataValidation type="custom" allowBlank="1" showInputMessage="1" showErrorMessage="1" errorTitle="Not Applicable" error="Applicable only on Ground mounted Projects" sqref="BB46" xr:uid="{D52D6348-A071-400F-9FEC-1DAE54C8B125}">
      <formula1>OR(C$46=R$12,C$46=R$13,C$46=R$15)</formula1>
    </dataValidation>
    <dataValidation type="custom" allowBlank="1" showInputMessage="1" showErrorMessage="1" errorTitle="Not Applicable" error="Applicable only on Ground mounted Projects" sqref="BC46" xr:uid="{F83EC2AF-4FCA-4E7A-95E1-A435F76C368B}">
      <formula1>OR(C$46=R$12,C$46=R$13,C$46=R$15)</formula1>
    </dataValidation>
    <dataValidation type="custom" allowBlank="1" showInputMessage="1" showErrorMessage="1" errorTitle="Not Applicable" error="Applicable only on Ground mounted Projects" sqref="BD46" xr:uid="{DAEBDBAE-0CD5-47C5-B767-BFD6CC12DF8A}">
      <formula1>OR(C$46=R$12,C$46=R$13,C$46=R$15)</formula1>
    </dataValidation>
    <dataValidation type="custom" allowBlank="1" showInputMessage="1" showErrorMessage="1" errorTitle="Not Applicable" error="Applicable only on Ground mounted Projects" sqref="BE46" xr:uid="{A0A15996-7547-4202-9D08-C115DB118756}">
      <formula1>OR(C$46=R$12,C$46=R$13,C$46=R$15)</formula1>
    </dataValidation>
    <dataValidation type="custom" allowBlank="1" showInputMessage="1" showErrorMessage="1" errorTitle="Not Applicable" error="Applicable only on Ground mounted Projects" sqref="BG46" xr:uid="{E31C75BD-2517-43A2-9EA4-C1467587945A}">
      <formula1>OR(C$46=R$12,C$46=R$13,C$46=R$15)</formula1>
    </dataValidation>
    <dataValidation type="custom" allowBlank="1" showInputMessage="1" showErrorMessage="1" errorTitle="Not Applicable" error="Applicable only on Ground mounted Projects" sqref="BH46" xr:uid="{3EA0A8FE-02E2-4E52-A00A-29033D82949A}">
      <formula1>OR(C$46=R$12,C$46=R$13,C$46=R$15)</formula1>
    </dataValidation>
    <dataValidation type="custom" allowBlank="1" showInputMessage="1" showErrorMessage="1" errorTitle="Not Applicable" error="Applicable only on Ground mounted Projects" sqref="BB47" xr:uid="{1AF6C2FF-7B2E-4A5D-A51E-B2B6E194F243}">
      <formula1>OR(C$47=R$12,C$47=R$13,C$47=R$15)</formula1>
    </dataValidation>
    <dataValidation type="custom" allowBlank="1" showInputMessage="1" showErrorMessage="1" errorTitle="Not Applicable" error="Applicable only on Ground mounted Projects" sqref="BC47" xr:uid="{6DBAFC84-4F21-418A-8B25-574BEB1DFBDA}">
      <formula1>OR(C$47=R$12,C$47=R$13,C$47=R$15)</formula1>
    </dataValidation>
    <dataValidation type="custom" allowBlank="1" showInputMessage="1" showErrorMessage="1" errorTitle="Not Applicable" error="Applicable only on Ground mounted Projects" sqref="BD47" xr:uid="{5EE65AE3-D25F-44B7-8AF5-70FB977AFA23}">
      <formula1>OR(C$47=R$12,C$47=R$13,C$47=R$15)</formula1>
    </dataValidation>
    <dataValidation type="custom" allowBlank="1" showInputMessage="1" showErrorMessage="1" errorTitle="Not Applicable" error="Applicable only on Ground mounted Projects" sqref="BE47" xr:uid="{9E4DCD93-0ACA-4E77-8206-252B4B120FCF}">
      <formula1>OR(C$47=R$12,C$47=R$13,C$47=R$15)</formula1>
    </dataValidation>
    <dataValidation type="custom" allowBlank="1" showInputMessage="1" showErrorMessage="1" errorTitle="Not Applicable" error="Applicable only on Ground mounted Projects" sqref="BG47" xr:uid="{286DE7F7-0A9F-4C99-BA8E-35633EDC4B1C}">
      <formula1>OR(C$47=R$12,C$47=R$13,C$47=R$15)</formula1>
    </dataValidation>
    <dataValidation type="custom" allowBlank="1" showInputMessage="1" showErrorMessage="1" errorTitle="Not Applicable" error="Applicable only on Ground mounted Projects" sqref="BH47" xr:uid="{194725A0-7748-4C0E-8EDF-A693A4F1F813}">
      <formula1>OR(C$47=R$12,C$47=R$13,C$47=R$15)</formula1>
    </dataValidation>
    <dataValidation type="custom" allowBlank="1" showInputMessage="1" showErrorMessage="1" errorTitle="Not Applicable" error="Applicable only on Ground mounted Projects" sqref="BB48" xr:uid="{D90BBF29-E829-4FBE-A129-45AF94EB1DB4}">
      <formula1>OR(C$48=R$12,C$48=R$13,C$48=R$15)</formula1>
    </dataValidation>
    <dataValidation type="custom" allowBlank="1" showInputMessage="1" showErrorMessage="1" errorTitle="Not Applicable" error="Applicable only on Ground mounted Projects" sqref="BC48" xr:uid="{E6F34C13-98EB-4CA8-90DA-F7D740FD693F}">
      <formula1>OR(C$48=R$12,C$48=R$13,C$48=R$15)</formula1>
    </dataValidation>
    <dataValidation type="custom" allowBlank="1" showInputMessage="1" showErrorMessage="1" errorTitle="Not Applicable" error="Applicable only on Ground mounted Projects" sqref="BD48" xr:uid="{E2C479E1-4B9C-4CF6-BABF-1F7BF994CF48}">
      <formula1>OR(C$48=R$12,C$48=R$13,C$48=R$15)</formula1>
    </dataValidation>
    <dataValidation type="custom" allowBlank="1" showInputMessage="1" showErrorMessage="1" errorTitle="Not Applicable" error="Applicable only on Ground mounted Projects" sqref="BE48" xr:uid="{5733935F-F0B7-4824-A970-172A06717849}">
      <formula1>OR(C$48=R$12,C$48=R$13,C$48=R$15)</formula1>
    </dataValidation>
    <dataValidation type="custom" allowBlank="1" showInputMessage="1" showErrorMessage="1" errorTitle="Not Applicable" error="Applicable only on Ground mounted Projects" sqref="BG48" xr:uid="{D8EC05A6-50A6-48D5-A3F9-45D01964160C}">
      <formula1>OR(C$48=R$12,C$48=R$13,C$48=R$15)</formula1>
    </dataValidation>
    <dataValidation type="custom" allowBlank="1" showInputMessage="1" showErrorMessage="1" errorTitle="Not Applicable" error="Applicable only on Ground mounted Projects" sqref="BH48" xr:uid="{FA9E4C5F-7909-4EF7-9B53-AB0EDE02D2B1}">
      <formula1>OR(C$48=R$12,C$48=R$13,C$48=R$15)</formula1>
    </dataValidation>
    <dataValidation type="custom" allowBlank="1" showInputMessage="1" showErrorMessage="1" errorTitle="Not Applicable" error="Applicable only on Ground mounted Projects" sqref="BB49" xr:uid="{7FCAF785-D232-4E5B-B787-C2D17569C67E}">
      <formula1>OR(C$49=R$12,C$49=R$13,C$49=R$15)</formula1>
    </dataValidation>
    <dataValidation type="custom" allowBlank="1" showInputMessage="1" showErrorMessage="1" errorTitle="Not Applicable" error="Applicable only on Ground mounted Projects" sqref="BC49" xr:uid="{10C6CD4D-5CF4-49F0-AF62-638D1FC4B39B}">
      <formula1>OR(C$49=R$12,C$49=R$13,C$49=R$15)</formula1>
    </dataValidation>
    <dataValidation type="custom" allowBlank="1" showInputMessage="1" showErrorMessage="1" errorTitle="Not Applicable" error="Applicable only on Ground mounted Projects" sqref="BD49" xr:uid="{ADC14A09-F6C2-4641-9B0B-9319C44D166A}">
      <formula1>OR(C$49=R$12,C$49=R$13,C$49=R$15)</formula1>
    </dataValidation>
    <dataValidation type="custom" allowBlank="1" showInputMessage="1" showErrorMessage="1" errorTitle="Not Applicable" error="Applicable only on Ground mounted Projects" sqref="BE49" xr:uid="{F9CE24A2-85D1-4410-B421-B0B700B805E6}">
      <formula1>OR(C$49=R$12,C$49=R$13,C$49=R$15)</formula1>
    </dataValidation>
    <dataValidation type="custom" allowBlank="1" showInputMessage="1" showErrorMessage="1" errorTitle="Not Applicable" error="Applicable only on Ground mounted Projects" sqref="BG49" xr:uid="{3DB3E351-F187-4960-92F9-7B0F463C5A72}">
      <formula1>OR(C$49=R$12,C$49=R$13,C$49=R$15)</formula1>
    </dataValidation>
    <dataValidation type="custom" allowBlank="1" showInputMessage="1" showErrorMessage="1" errorTitle="Not Applicable" error="Applicable only on Ground mounted Projects" sqref="BH49" xr:uid="{0472D03C-F157-472B-B593-1E46BEABFA17}">
      <formula1>OR(C$49=R$12,C$49=R$13,C$49=R$15)</formula1>
    </dataValidation>
    <dataValidation type="custom" allowBlank="1" showInputMessage="1" showErrorMessage="1" errorTitle="Not Applicable" error="Applicable only on Ground mounted Projects" sqref="BB50" xr:uid="{DBF935DE-F569-4C69-9DA6-EB82A898B727}">
      <formula1>OR(C$50=R$12,C$50=R$13,C$50=R$15)</formula1>
    </dataValidation>
    <dataValidation type="custom" allowBlank="1" showInputMessage="1" showErrorMessage="1" errorTitle="Not Applicable" error="Applicable only on Ground mounted Projects" sqref="BC50" xr:uid="{A03ABD1B-C350-4482-8B37-CFEC764D7B35}">
      <formula1>OR(C$50=R$12,C$50=R$13,C$50=R$15)</formula1>
    </dataValidation>
    <dataValidation type="custom" allowBlank="1" showInputMessage="1" showErrorMessage="1" errorTitle="Not Applicable" error="Applicable only on Ground mounted Projects" sqref="BD50" xr:uid="{4E420A07-B787-449C-86C4-618C9D21B451}">
      <formula1>OR(C$50=R$12,C$50=R$13,C$50=R$15)</formula1>
    </dataValidation>
    <dataValidation type="custom" allowBlank="1" showInputMessage="1" showErrorMessage="1" errorTitle="Not Applicable" error="Applicable only on Ground mounted Projects" sqref="BE50" xr:uid="{D26ADDCF-6787-40F7-954F-85771E8A174E}">
      <formula1>OR(C$50=R$12,C$50=R$13,C$50=R$15)</formula1>
    </dataValidation>
    <dataValidation type="custom" allowBlank="1" showInputMessage="1" showErrorMessage="1" errorTitle="Not Applicable" error="Applicable only on Ground mounted Projects" sqref="BG50" xr:uid="{BE381A31-5EBC-45E5-B39A-FC514F6BF0FE}">
      <formula1>OR(C$50=R$12,C$50=R$13,C$50=R$15)</formula1>
    </dataValidation>
    <dataValidation type="custom" allowBlank="1" showInputMessage="1" showErrorMessage="1" errorTitle="Not Applicable" error="Applicable only on Ground mounted Projects" sqref="BH50" xr:uid="{F1D55748-51B3-4D6A-A5FB-7F9C1A343C1D}">
      <formula1>OR(C$50=R$12,C$50=R$13,C$50=R$15)</formula1>
    </dataValidation>
    <dataValidation type="custom" allowBlank="1" showInputMessage="1" showErrorMessage="1" errorTitle="Not Applicable" error="Applicable only on Ground mounted Projects" sqref="BB51" xr:uid="{21026456-37AF-4E9E-BA3B-CB8DD5696CC3}">
      <formula1>OR(C$51=R$12,C$51=R$13,C$51=R$15)</formula1>
    </dataValidation>
    <dataValidation type="custom" allowBlank="1" showInputMessage="1" showErrorMessage="1" errorTitle="Not Applicable" error="Applicable only on Ground mounted Projects" sqref="BC51" xr:uid="{BC8E8DAF-D12C-4B88-87C0-64295BA3E2FE}">
      <formula1>OR(C$51=R$12,C$51=R$13,C$51=R$15)</formula1>
    </dataValidation>
    <dataValidation type="custom" allowBlank="1" showInputMessage="1" showErrorMessage="1" errorTitle="Not Applicable" error="Applicable only on Ground mounted Projects" sqref="BD51" xr:uid="{C21A28BA-FD7C-4957-A0C0-97C25AD4308B}">
      <formula1>OR(C$51=R$12,C$51=R$13,C$51=R$15)</formula1>
    </dataValidation>
    <dataValidation type="custom" allowBlank="1" showInputMessage="1" showErrorMessage="1" errorTitle="Not Applicable" error="Applicable only on Ground mounted Projects" sqref="BE51" xr:uid="{7B41F7EA-24DB-4E9E-8A7D-1179420D2291}">
      <formula1>OR(C$51=R$12,C$51=R$13,C$51=R$15)</formula1>
    </dataValidation>
    <dataValidation type="custom" allowBlank="1" showInputMessage="1" showErrorMessage="1" errorTitle="Not Applicable" error="Applicable only on Ground mounted Projects" sqref="BG51" xr:uid="{B2BAFD8D-43D0-4F87-A086-17AA22E729B9}">
      <formula1>OR(C$51=R$12,C$51=R$13,C$51=R$15)</formula1>
    </dataValidation>
    <dataValidation type="custom" allowBlank="1" showInputMessage="1" showErrorMessage="1" errorTitle="Not Applicable" error="Applicable only on Ground mounted Projects" sqref="BH51" xr:uid="{A87E27CD-B6ED-4B82-9647-2800DBA53A7A}">
      <formula1>OR(C$51=R$12,C$51=R$13,C$51=R$15)</formula1>
    </dataValidation>
    <dataValidation type="custom" allowBlank="1" showInputMessage="1" showErrorMessage="1" errorTitle="Not Applicable" error="Applicable only on Ground mounted Projects" sqref="BB52" xr:uid="{8DBEE1A6-86CA-4021-AE0E-1AF0AABD2CB5}">
      <formula1>OR(C$52=R$12,C$52=R$13,C$52=R$15)</formula1>
    </dataValidation>
    <dataValidation type="custom" allowBlank="1" showInputMessage="1" showErrorMessage="1" errorTitle="Not Applicable" error="Applicable only on Ground mounted Projects" sqref="BC52" xr:uid="{7080AC4B-32DA-4013-90F5-4662CDED3D3C}">
      <formula1>OR(C$52=R$12,C$52=R$13,C$52=R$15)</formula1>
    </dataValidation>
    <dataValidation type="custom" allowBlank="1" showInputMessage="1" showErrorMessage="1" errorTitle="Not Applicable" error="Applicable only on Ground mounted Projects" sqref="BD52" xr:uid="{265C512D-1B38-473E-9523-D7358E1D1BB7}">
      <formula1>OR(C$52=R$12,C$52=R$13,C$52=R$15)</formula1>
    </dataValidation>
    <dataValidation type="custom" allowBlank="1" showInputMessage="1" showErrorMessage="1" errorTitle="Not Applicable" error="Applicable only on Ground mounted Projects" sqref="BE52" xr:uid="{009A19A2-A6E3-4EF9-822F-6135B6E95F10}">
      <formula1>OR(C$52=R$12,C$52=R$13,C$52=R$15)</formula1>
    </dataValidation>
    <dataValidation type="custom" allowBlank="1" showInputMessage="1" showErrorMessage="1" errorTitle="Not Applicable" error="Applicable only on Ground mounted Projects" sqref="BG52" xr:uid="{2A1DD42A-DBAC-4B95-9B16-22BEEB61AF81}">
      <formula1>OR(C$52=R$12,C$52=R$13,C$52=R$15)</formula1>
    </dataValidation>
    <dataValidation type="custom" allowBlank="1" showInputMessage="1" showErrorMessage="1" errorTitle="Not Applicable" error="Applicable only on Ground mounted Projects" sqref="BH52" xr:uid="{F3A85655-3B09-4554-A88D-ADC4AD610529}">
      <formula1>OR(C$52=R$12,C$52=R$13,C$52=R$15)</formula1>
    </dataValidation>
    <dataValidation type="custom" allowBlank="1" showInputMessage="1" showErrorMessage="1" errorTitle="Not Applicable" error="Applicable only on Ground mounted Projects" sqref="BB53" xr:uid="{69BD1E25-079A-4377-93CE-D03264F2F9B3}">
      <formula1>OR(C$53=R$12,C$53=R$13,C$53=R$15)</formula1>
    </dataValidation>
    <dataValidation type="custom" allowBlank="1" showInputMessage="1" showErrorMessage="1" errorTitle="Not Applicable" error="Applicable only on Ground mounted Projects" sqref="BC53" xr:uid="{60035531-54C1-435C-8A37-76FFEF84A4D9}">
      <formula1>OR(C$53=R$12,C$53=R$13,C$53=R$15)</formula1>
    </dataValidation>
    <dataValidation type="custom" allowBlank="1" showInputMessage="1" showErrorMessage="1" errorTitle="Not Applicable" error="Applicable only on Ground mounted Projects" sqref="BD53" xr:uid="{C8EFFCB3-0BCC-43D5-B98E-365C28D620C1}">
      <formula1>OR(C$53=R$12,C$53=R$13,C$53=R$15)</formula1>
    </dataValidation>
    <dataValidation type="custom" allowBlank="1" showInputMessage="1" showErrorMessage="1" errorTitle="Not Applicable" error="Applicable only on Ground mounted Projects" sqref="BE53" xr:uid="{6CA6172B-5F5C-4E4C-A42F-5646C9C0910C}">
      <formula1>OR(C$53=R$12,C$53=R$13,C$53=R$15)</formula1>
    </dataValidation>
    <dataValidation type="custom" allowBlank="1" showInputMessage="1" showErrorMessage="1" errorTitle="Not Applicable" error="Applicable only on Ground mounted Projects" sqref="BG53" xr:uid="{C29F0986-0B1B-4AA8-9695-79CDEAFB88DD}">
      <formula1>OR(C$53=R$12,C$53=R$13,C$53=R$15)</formula1>
    </dataValidation>
    <dataValidation type="custom" allowBlank="1" showInputMessage="1" showErrorMessage="1" errorTitle="Not Applicable" error="Applicable only on Ground mounted Projects" sqref="BH53" xr:uid="{360BABE8-8A83-40C9-AECC-F538572A757A}">
      <formula1>OR(C$53=R$12,C$53=R$13,C$53=R$15)</formula1>
    </dataValidation>
    <dataValidation type="custom" allowBlank="1" showInputMessage="1" showErrorMessage="1" errorTitle="Not Applicable" error="Applicable only on Ground mounted Projects" sqref="BB54" xr:uid="{4814C0FD-FD65-4716-BADA-D5F200C355EF}">
      <formula1>OR(C$54=R$12,C$54=R$13,C$54=R$15)</formula1>
    </dataValidation>
    <dataValidation type="custom" allowBlank="1" showInputMessage="1" showErrorMessage="1" errorTitle="Not Applicable" error="Applicable only on Ground mounted Projects" sqref="BC54" xr:uid="{34EF7204-59D9-4FA7-9993-5728785EB763}">
      <formula1>OR(C$54=R$12,C$54=R$13,C$54=R$15)</formula1>
    </dataValidation>
    <dataValidation type="custom" allowBlank="1" showInputMessage="1" showErrorMessage="1" errorTitle="Not Applicable" error="Applicable only on Ground mounted Projects" sqref="BD54" xr:uid="{D63B0507-7094-4D83-9595-5883E6DE51DB}">
      <formula1>OR(C$54=R$12,C$54=R$13,C$54=R$15)</formula1>
    </dataValidation>
    <dataValidation type="custom" allowBlank="1" showInputMessage="1" showErrorMessage="1" errorTitle="Not Applicable" error="Applicable only on Ground mounted Projects" sqref="BE54" xr:uid="{97E73599-9CE2-42A6-83F0-C0D9097AE2F3}">
      <formula1>OR(C$54=R$12,C$54=R$13,C$54=R$15)</formula1>
    </dataValidation>
    <dataValidation type="custom" allowBlank="1" showInputMessage="1" showErrorMessage="1" errorTitle="Not Applicable" error="Applicable only on Ground mounted Projects" sqref="BG54" xr:uid="{CC678218-BC36-497D-810A-C476FDF318FB}">
      <formula1>OR(C$54=R$12,C$54=R$13,C$54=R$15)</formula1>
    </dataValidation>
    <dataValidation type="custom" allowBlank="1" showInputMessage="1" showErrorMessage="1" errorTitle="Not Applicable" error="Applicable only on Ground mounted Projects" sqref="BH54" xr:uid="{0E9D62B5-1ED8-47EB-B025-399DDAADBF67}">
      <formula1>OR(C$54=R$12,C$54=R$13,C$54=R$15)</formula1>
    </dataValidation>
    <dataValidation type="custom" allowBlank="1" showInputMessage="1" showErrorMessage="1" errorTitle="Wrong selection" error="Select Zero/Step walkway" sqref="AJ25:AJ54" xr:uid="{6AD45397-DFB8-44D3-BFE6-7C69E6E540B2}">
      <formula1>W25:W54&lt;8</formula1>
    </dataValidation>
    <dataValidation type="list" allowBlank="1" showInputMessage="1" showErrorMessage="1" sqref="D25:D54" xr:uid="{37466FB3-7A0B-4B7B-A610-51BA93097E20}">
      <formula1>$F$196:$F$203</formula1>
    </dataValidation>
    <dataValidation type="custom" allowBlank="1" showInputMessage="1" showErrorMessage="1" sqref="AZ484" xr:uid="{4615CFE3-1750-4301-813E-0A3F80E6B928}">
      <formula1>OR($C$25=$R$7,$C$25=$R$8,$C$25=$R$9,$C$25=$R$10)</formula1>
    </dataValidation>
    <dataValidation type="custom" allowBlank="1" showInputMessage="1" showErrorMessage="1" sqref="AH480:AI480 AY484 AA484:AF484 AJ482 AG482" xr:uid="{3FCF158A-B5C7-4CCD-B932-99FD3F80E954}">
      <formula1>OR($C$26=$R$7,$C$26=$R$8,$C$26=$R$9,$C$26=$R$10)</formula1>
    </dataValidation>
    <dataValidation type="custom" allowBlank="1" showInputMessage="1" showErrorMessage="1" errorTitle="Not Applicable" error="Applicable only on Rooftop projects" sqref="AV25" xr:uid="{25D49534-8927-4128-B703-A8251842E5D1}">
      <formula1>OR(C$25=R$7,C$25=R$8,C$25=R$9,C$25=R$10,C25=R$11)</formula1>
    </dataValidation>
    <dataValidation type="custom" allowBlank="1" showInputMessage="1" showErrorMessage="1" errorTitle="Not Applicable" error="Applicable Only on Rooftop projects" sqref="AR25" xr:uid="{D8AA2036-A01C-4961-B02A-042DFE29B8E4}">
      <formula1>OR(C$25=R$7,C$25=R$8,C$25=R$9,C$25=R$10,C25=R$11)</formula1>
    </dataValidation>
    <dataValidation type="custom" allowBlank="1" showInputMessage="1" showErrorMessage="1" errorTitle="Not Applicable" error="Applicable Only on Rooftop projects" sqref="AS25" xr:uid="{FD53E323-0F0C-4128-B8F5-47DF7C209714}">
      <formula1>OR(C$25=R$7,C$25=R$8,C$25=R$9,C$25=R$10,C25=R$11)</formula1>
    </dataValidation>
    <dataValidation type="custom" allowBlank="1" showInputMessage="1" showErrorMessage="1" errorTitle="Not Applicable" error="Applicable Only on Rooftop projects" sqref="AT25" xr:uid="{BD9EB98E-EC85-4D42-9961-56378BFB3AE3}">
      <formula1>OR(C$25=R$7,C$25=R$8,C$25=R$9,C$25=R$10,C25=R$11)</formula1>
    </dataValidation>
    <dataValidation type="custom" allowBlank="1" showInputMessage="1" showErrorMessage="1" errorTitle="Not Applicable" error="Applicable only on Rooftop projects" sqref="AX25" xr:uid="{4A9248E4-D17F-43C1-B21E-4F5DC19384F9}">
      <formula1>OR(C$25=R$7,C$25=R$8,C$25=R$9,C$25=R$10,C25=R$11)</formula1>
    </dataValidation>
    <dataValidation type="custom" allowBlank="1" showInputMessage="1" showErrorMessage="1" errorTitle="Not Applicable" error="Applicable only on Rooftop projects" sqref="AY25" xr:uid="{C3C24058-0FBD-4A05-8AAB-0B34C8A2833F}">
      <formula1>OR(C$25=R$7,C$25=R$8,C$25=R$9,C$25=R$10,C25=R$11)</formula1>
    </dataValidation>
    <dataValidation type="custom" allowBlank="1" showInputMessage="1" showErrorMessage="1" errorTitle="Not Applicable" error="Applicable only on Rooftop Projects" sqref="AP26" xr:uid="{3B8C2145-570C-4F77-B400-AA2E6F3F935D}">
      <formula1>OR(C$26=R$7,C$26=R$8,C$26=R$9,C$26=R$10,C26=R$11)</formula1>
    </dataValidation>
    <dataValidation type="custom" allowBlank="1" showInputMessage="1" showErrorMessage="1" errorTitle="Not Applicable" error="Applicable only on Rooftop Projects" sqref="AR26" xr:uid="{4956A723-CEA6-4FEE-9785-126ADC12E15C}">
      <formula1>OR(C$26=R$7,C$26=R$8,C$26=R$9,C$26=R$10,C26=R$11)</formula1>
    </dataValidation>
    <dataValidation type="custom" allowBlank="1" showInputMessage="1" showErrorMessage="1" errorTitle="Not Applicable" error="Applicable only on Rooftop Projects" sqref="AS26" xr:uid="{90EC340C-BE33-4666-AA87-07179CB0587C}">
      <formula1>OR(C$26=R$7,C$26=R$8,C$26=R$9,C$26=R$10,C26=R$11)</formula1>
    </dataValidation>
    <dataValidation type="custom" allowBlank="1" showInputMessage="1" showErrorMessage="1" errorTitle="Not Applicable" error="Applicable only on Rooftop Projects" sqref="AT26" xr:uid="{ADD3D825-C9EA-4CB6-9FCF-87B65F37227E}">
      <formula1>OR(C$26=R$7,C$26=R$8,C$26=R$9,C$26=R$10,C26=R$11)</formula1>
    </dataValidation>
    <dataValidation type="custom" allowBlank="1" showInputMessage="1" showErrorMessage="1" errorTitle="Not Applicable" error="Applicable only on Rooftop Projects" sqref="AV26" xr:uid="{80E4AE65-CC09-401D-9210-909C82F55920}">
      <formula1>OR(C$26=R$7,C$26=R$8,C$26=R$9,C$26=R$10,C26=R$11)</formula1>
    </dataValidation>
    <dataValidation type="custom" allowBlank="1" showInputMessage="1" showErrorMessage="1" errorTitle="Not Applicable" error="Applicable only on Rooftop Projects" sqref="AX26" xr:uid="{5182CCCF-40FC-4311-B043-653996C60744}">
      <formula1>OR(C$26=R$7,C$26=R$8,C$26=R$9,C$26=R$10,C26=R$11)</formula1>
    </dataValidation>
    <dataValidation type="custom" allowBlank="1" showInputMessage="1" showErrorMessage="1" errorTitle="Not Applicable" error="Applicable only on Rooftop Projects" sqref="AY26" xr:uid="{E4D11A7F-F337-4A16-AD18-7F3F4A4A7300}">
      <formula1>OR(C$26=R$7,C$26=R$8,C$26=R$9,C$26=R$10,C26=R$11)</formula1>
    </dataValidation>
    <dataValidation type="custom" allowBlank="1" showInputMessage="1" showErrorMessage="1" errorTitle="Not Applicable" error="Applicable only on Rooftop Projects" sqref="AP27" xr:uid="{1B6BEBD5-A591-46AF-8EC0-7AD8521BC7C0}">
      <formula1>OR(C$27=R$7,C$27=R$8,C$27=R$9,C$27=R$10,C27=R$11)</formula1>
    </dataValidation>
    <dataValidation type="custom" allowBlank="1" showInputMessage="1" showErrorMessage="1" errorTitle="Not Applicable" error="Applicable only on Rooftop Projects" sqref="AR27" xr:uid="{6DCA69E9-297B-4727-9F2A-358434BFCEA8}">
      <formula1>OR(C$27=R$7,C$27=R$8,C$27=R$9,C$27=R$10,C27=R$11)</formula1>
    </dataValidation>
    <dataValidation type="custom" allowBlank="1" showInputMessage="1" showErrorMessage="1" errorTitle="Not Applicable" error="Applicable only on Rooftop Projects" sqref="AS27" xr:uid="{ECEAC46C-421E-463A-8309-206A35417AF2}">
      <formula1>OR(C$27=R$7,C$27=R$8,C$27=R$9,C$27=R$10,C27=R$11)</formula1>
    </dataValidation>
    <dataValidation type="custom" allowBlank="1" showInputMessage="1" showErrorMessage="1" errorTitle="Not Applicable" error="Applicable only on Rooftop Projects" sqref="AT27" xr:uid="{3F8A0E90-9277-4684-8EE7-D865747E4F87}">
      <formula1>OR(C$27=R$7,C$27=R$8,C$27=R$9,C$27=R$10,C27=R$11)</formula1>
    </dataValidation>
    <dataValidation type="custom" allowBlank="1" showInputMessage="1" showErrorMessage="1" errorTitle="Not Applicable" error="Applicable only on Rooftop Projects" sqref="AV27" xr:uid="{BE54ED55-BBDA-4AD1-8037-E8A648781A9A}">
      <formula1>OR(C$27=R$7,C$27=R$8,C$27=R$9,C$27=R$10,C27=R$11)</formula1>
    </dataValidation>
    <dataValidation type="custom" allowBlank="1" showInputMessage="1" showErrorMessage="1" errorTitle="Not Applicable" error="Applicable only on Rooftop Projects" sqref="AX27" xr:uid="{9F363327-BDD1-4682-B78D-8612413BF999}">
      <formula1>OR(C$27=R$7,C$27=R$8,C$27=R$9,C$27=R$10,C27=R$11)</formula1>
    </dataValidation>
    <dataValidation type="custom" allowBlank="1" showInputMessage="1" showErrorMessage="1" errorTitle="Not Applicable" error="Applicable only on Rooftop Projects" sqref="AY27" xr:uid="{3AC8F849-EAC7-41F6-B121-71F7B93DB80E}">
      <formula1>OR(C$27=R$7,C$27=R$8,C$27=R$9,C$27=R$10,C27=R$11)</formula1>
    </dataValidation>
    <dataValidation type="custom" allowBlank="1" showInputMessage="1" showErrorMessage="1" errorTitle="Not Applicable" error="Applicable only on Rooftop Projects" sqref="AP28" xr:uid="{13A2CD9E-0693-48ED-B3AC-5C4AAB4E653A}">
      <formula1>OR(C$28=R$7,C$28=R$8,C$28=R$9,C$28=R$10,C28=R$11)</formula1>
    </dataValidation>
    <dataValidation type="custom" allowBlank="1" showInputMessage="1" showErrorMessage="1" errorTitle="Not Applicable" error="Applicable only on Rooftop Projects" sqref="AR28" xr:uid="{150576A4-E467-481F-82FD-BC7FBB4DEF91}">
      <formula1>OR(C$28=R$7,C$28=R$8,C$28=R$9,C$28=R$10,C28=R$11)</formula1>
    </dataValidation>
    <dataValidation type="custom" allowBlank="1" showInputMessage="1" showErrorMessage="1" errorTitle="Not Applicable" error="Applicable only on Rooftop Projects" sqref="AS28" xr:uid="{D00D7581-D41A-4AC5-98BB-D040F3D42C8E}">
      <formula1>OR(C$28=R$7,C$28=R$8,C$28=R$9,C$28=R$10,C28=R$11)</formula1>
    </dataValidation>
    <dataValidation type="custom" allowBlank="1" showInputMessage="1" showErrorMessage="1" errorTitle="Not Applicable" error="Applicable only on Rooftop Projects" sqref="AT28" xr:uid="{C0D6FE95-8636-4228-9DE7-23E93708D5EE}">
      <formula1>OR(C$28=R$7,C$28=R$8,C$28=R$9,C$28=R$10,C28=R$11)</formula1>
    </dataValidation>
    <dataValidation type="custom" allowBlank="1" showInputMessage="1" showErrorMessage="1" errorTitle="Not Applicable" error="Applicable only on Rooftop Projects" sqref="AV28" xr:uid="{B7AEAEA5-2C7D-4E4D-AE22-3F593EA2D634}">
      <formula1>OR(C$28=R$7,C$28=R$8,C$28=R$9,C$28=R$10,C28=R$11)</formula1>
    </dataValidation>
    <dataValidation type="custom" allowBlank="1" showInputMessage="1" showErrorMessage="1" errorTitle="Not Applicable" error="Applicable only on Rooftop Projects" sqref="AX28" xr:uid="{431066F3-2E73-413B-8FBA-E88DEA60AD7E}">
      <formula1>OR(C$28=R$7,C$28=R$8,C$28=R$9,C$28=R$10,C28=R$11)</formula1>
    </dataValidation>
    <dataValidation type="custom" allowBlank="1" showInputMessage="1" showErrorMessage="1" errorTitle="Not Applicable" error="Applicable only on Rooftop Projects" sqref="AY28" xr:uid="{CF391F28-824B-4D3B-A1A4-B0DA41C29792}">
      <formula1>OR(C$28=R$7,C$28=R$8,C$28=R$9,C$28=R$10,C28=R$11)</formula1>
    </dataValidation>
    <dataValidation type="custom" allowBlank="1" showInputMessage="1" showErrorMessage="1" errorTitle="Not Applicable" error="Applicable only on Rooftop Projects" sqref="AP29" xr:uid="{D2DF8E81-78B1-49DD-AE1C-78BB4E8EBDCD}">
      <formula1>OR(C$29=R$7,C$29=R$8,C$29=R$9,C$29=R$10,C29=R$11)</formula1>
    </dataValidation>
    <dataValidation type="custom" allowBlank="1" showInputMessage="1" showErrorMessage="1" errorTitle="Not Applicable" error="Applicable only on Rooftop Projects" sqref="AR29" xr:uid="{53348AF0-81A5-4660-8D4E-F7638523A364}">
      <formula1>OR(C$29=R$7,C$29=R$8,C$29=R$9,C$29=R$10,C29=R$11)</formula1>
    </dataValidation>
    <dataValidation type="custom" allowBlank="1" showInputMessage="1" showErrorMessage="1" errorTitle="Not Applicable" error="Applicable only on Rooftop Projects" sqref="AS29" xr:uid="{36A6D2E3-2F4A-4BCA-9332-0368E0FCCE8D}">
      <formula1>OR(C$29=R$7,C$29=R$8,C$29=R$9,C$29=R$10,C29=R$11)</formula1>
    </dataValidation>
    <dataValidation type="custom" allowBlank="1" showInputMessage="1" showErrorMessage="1" errorTitle="Not Applicable" error="Applicable only on Rooftop Projects" sqref="AT29" xr:uid="{80405E62-1223-450F-A8C4-2A5AFE216898}">
      <formula1>OR(C$29=R$7,C$29=R$8,C$29=R$9,C$29=R$10,C29=R$11)</formula1>
    </dataValidation>
    <dataValidation type="custom" allowBlank="1" showInputMessage="1" showErrorMessage="1" errorTitle="Not Applicable" error="Applicable only on Rooftop Projects" sqref="AV29" xr:uid="{BB5D6AFC-5900-4F6F-B536-7F23D7104989}">
      <formula1>OR(C$29=R$7,C$29=R$8,C$29=R$9,C$29=R$10,C29=R$11)</formula1>
    </dataValidation>
    <dataValidation type="custom" allowBlank="1" showInputMessage="1" showErrorMessage="1" errorTitle="Not Applicable" error="Applicable only on Rooftop Projects" sqref="AX29" xr:uid="{2620606B-087A-4C3E-A7A9-9CD683E51CD2}">
      <formula1>OR(C$29=R$7,C$29=R$8,C$29=R$9,C$29=R$10,C29=R$11)</formula1>
    </dataValidation>
    <dataValidation type="custom" allowBlank="1" showInputMessage="1" showErrorMessage="1" errorTitle="Not Applicable" error="Applicable only on Rooftop Projects" sqref="AY29" xr:uid="{FFE8E3C3-0D46-4A7A-99E1-BBDE6F81446F}">
      <formula1>OR(C$29=R$7,C$29=R$8,C$29=R$9,C$29=R$10,C29=R$11)</formula1>
    </dataValidation>
    <dataValidation type="custom" allowBlank="1" showInputMessage="1" showErrorMessage="1" errorTitle="Not Applicable" error="Applicable only on Rooftop Projects" sqref="AP30" xr:uid="{63EFA810-0182-40B8-A576-A5D446C5C6AF}">
      <formula1>OR(C$30=R$7,C$30=R$8,C$30=R$9,C$30=R$10,C30=R$11)</formula1>
    </dataValidation>
    <dataValidation type="custom" allowBlank="1" showInputMessage="1" showErrorMessage="1" errorTitle="Not Applicable" error="Applicable only on Rooftop Projects" sqref="AR30" xr:uid="{55129B89-CEAD-42C8-AA4F-4F5686053B47}">
      <formula1>OR(C$30=R$7,C$30=R$8,C$30=R$9,C$30=R$10,C30=R$11)</formula1>
    </dataValidation>
    <dataValidation type="custom" allowBlank="1" showInputMessage="1" showErrorMessage="1" errorTitle="Not Applicable" error="Applicable only on Rooftop Projects" sqref="AS30" xr:uid="{7F95CDCD-3B08-451F-B1B1-EFF413FC24AF}">
      <formula1>OR(C$30=R$7,C$30=R$8,C$30=R$9,C$30=R$10,C30=R$11)</formula1>
    </dataValidation>
    <dataValidation type="custom" allowBlank="1" showInputMessage="1" showErrorMessage="1" errorTitle="Not Applicable" error="Applicable only on Rooftop Projects" sqref="AT30" xr:uid="{E112D366-05A5-4424-8782-539602052357}">
      <formula1>OR(C$30=R$7,C$30=R$8,C$30=R$9,C$30=R$10,C30=R$11)</formula1>
    </dataValidation>
    <dataValidation type="custom" allowBlank="1" showInputMessage="1" showErrorMessage="1" errorTitle="Not Applicable" error="Applicable only on Rooftop Projects" sqref="AV30" xr:uid="{7A994811-87CD-43B3-B09F-262829B12503}">
      <formula1>OR(C$30=R$7,C$30=R$8,C$30=R$9,C$30=R$10,C30=R$11)</formula1>
    </dataValidation>
    <dataValidation type="custom" allowBlank="1" showInputMessage="1" showErrorMessage="1" errorTitle="Not Applicable" error="Applicable only on Rooftop Projects" sqref="AX30" xr:uid="{9352E645-7559-48EF-97B0-6DB5396E1097}">
      <formula1>OR(C$30=R$7,C$30=R$8,C$30=R$9,C$30=R$10,C30=R$11)</formula1>
    </dataValidation>
    <dataValidation type="custom" allowBlank="1" showInputMessage="1" showErrorMessage="1" errorTitle="Not Applicable" error="Applicable only on Rooftop Projects" sqref="AY30" xr:uid="{5EB1E52C-8C4A-4A42-8778-57114C33B3EA}">
      <formula1>OR(C$30=R$7,C$30=R$8,C$30=R$9,C$30=R$10,C30=R$11)</formula1>
    </dataValidation>
    <dataValidation type="custom" allowBlank="1" showInputMessage="1" showErrorMessage="1" errorTitle="Not Applicable" error="Applicable only on Rooftop Projects" sqref="AP31" xr:uid="{4AF8AAF0-96F5-42B5-BC3C-DC5C248A2BE4}">
      <formula1>OR(C$31=R$7,C$31=R$8,C$31=R$9,C$31=R$10,C31=R$11)</formula1>
    </dataValidation>
    <dataValidation type="custom" allowBlank="1" showInputMessage="1" showErrorMessage="1" errorTitle="Not Applicable" error="Applicable only on Rooftop Projects" sqref="AR31" xr:uid="{57BAF573-A442-4110-97B3-07BB2B6D7941}">
      <formula1>OR(C$31=R$7,C$31=R$8,C$31=R$9,C$31=R$10,C31=R$11)</formula1>
    </dataValidation>
    <dataValidation type="custom" allowBlank="1" showInputMessage="1" showErrorMessage="1" errorTitle="Not Applicable" error="Applicable only on Rooftop Projects" sqref="AS31" xr:uid="{B56F1AA0-8563-4156-872B-4E4A581E6452}">
      <formula1>OR(C$31=R$7,C$31=R$8,C$31=R$9,C$31=R$10,C31=R$11)</formula1>
    </dataValidation>
    <dataValidation type="custom" allowBlank="1" showInputMessage="1" showErrorMessage="1" errorTitle="Not Applicable" error="Applicable only on Rooftop Projects" sqref="AT31" xr:uid="{47145D39-B6F3-4FE4-983E-8A5553EB12F2}">
      <formula1>OR(C$31=R$7,C$31=R$8,C$31=R$9,C$31=R$10,C31=R$11)</formula1>
    </dataValidation>
    <dataValidation type="custom" allowBlank="1" showInputMessage="1" showErrorMessage="1" errorTitle="Not Applicable" error="Applicable only on Rooftop Projects" sqref="AV31" xr:uid="{F36DAECB-42A8-4B7B-BEE4-4A88851C8059}">
      <formula1>OR(C$31=R$7,C$31=R$8,C$31=R$9,C$31=R$10,C31=R$11)</formula1>
    </dataValidation>
    <dataValidation type="custom" allowBlank="1" showInputMessage="1" showErrorMessage="1" errorTitle="Not Applicable" error="Applicable only on Rooftop Projects" sqref="AX31" xr:uid="{884204A0-D38A-41D1-A04A-F76BE49C4F8D}">
      <formula1>OR(C$31=R$7,C$31=R$8,C$31=R$9,C$31=R$10,C31=R$11)</formula1>
    </dataValidation>
    <dataValidation type="custom" allowBlank="1" showInputMessage="1" showErrorMessage="1" errorTitle="Not Applicable" error="Applicable only on Rooftop Projects" sqref="AY31" xr:uid="{C1FC5EC2-7334-4CC2-8D3C-C48402DDA585}">
      <formula1>OR(C$31=R$7,C$31=R$8,C$31=R$9,C$31=R$10,C31=R$11)</formula1>
    </dataValidation>
    <dataValidation type="custom" allowBlank="1" showInputMessage="1" showErrorMessage="1" errorTitle="Not Applicable" error="Applicable only on Rooftop Projects" sqref="AP32" xr:uid="{2820FF6F-513F-42D9-89D1-B2429C8838CF}">
      <formula1>OR(C$32=R$7,C$32=R$8,C$32=R$9,C$32=R$10,C32=R$11)</formula1>
    </dataValidation>
    <dataValidation type="custom" allowBlank="1" showInputMessage="1" showErrorMessage="1" errorTitle="Not Applicable" error="Applicable only on Rooftop Projects" sqref="AR32" xr:uid="{185B312E-7923-458B-B79D-346DA89065AF}">
      <formula1>OR(C$32=R$7,C$32=R$8,C$32=R$9,C$32=R$10,C32=R$11)</formula1>
    </dataValidation>
    <dataValidation type="custom" allowBlank="1" showInputMessage="1" showErrorMessage="1" errorTitle="Not Applicable" error="Applicable only on Rooftop Projects" sqref="AS32" xr:uid="{AF3E36FA-DC5E-4962-BFF2-DF5C1CB54952}">
      <formula1>OR(C$32=R$7,C$32=R$8,C$32=R$9,C$32=R$10,C32=R$11)</formula1>
    </dataValidation>
    <dataValidation type="custom" allowBlank="1" showInputMessage="1" showErrorMessage="1" errorTitle="Not Applicable" error="Applicable only on Rooftop Projects" sqref="AT32" xr:uid="{C8CA0D21-0789-492F-892F-490EFFD5F54C}">
      <formula1>OR(C$32=R$7,C$32=R$8,C$32=R$9,C$32=R$10,C32=R$11)</formula1>
    </dataValidation>
    <dataValidation type="custom" allowBlank="1" showInputMessage="1" showErrorMessage="1" errorTitle="Not Applicable" error="Applicable only on Rooftop Projects" sqref="AV32" xr:uid="{C935F474-B847-4A86-AE92-D5E501581CB0}">
      <formula1>OR(C$32=R$7,C$32=R$8,C$32=R$9,C$32=R$10,C32=R$11)</formula1>
    </dataValidation>
    <dataValidation type="custom" allowBlank="1" showInputMessage="1" showErrorMessage="1" errorTitle="Not Applicable" error="Applicable only on Rooftop Projects" sqref="AX32" xr:uid="{02A1D9B1-6FBF-45E7-B006-C912A70A4C59}">
      <formula1>OR(C$32=R$7,C$32=R$8,C$32=R$9,C$32=R$10,C32=R$11)</formula1>
    </dataValidation>
    <dataValidation type="custom" allowBlank="1" showInputMessage="1" showErrorMessage="1" errorTitle="Not Applicable" error="Applicable only on Rooftop Projects" sqref="AY32" xr:uid="{4DA90DB6-B2F6-4784-BC7D-E36601355AA5}">
      <formula1>OR(C$32=R$7,C$32=R$8,C$32=R$9,C$32=R$10,C32=R$11)</formula1>
    </dataValidation>
    <dataValidation type="custom" allowBlank="1" showInputMessage="1" showErrorMessage="1" errorTitle="Not Applicable" error="Applicable only on Rooftop Projects" sqref="AP33" xr:uid="{15A23B9D-C150-48F1-A392-D735D4144C19}">
      <formula1>OR(C$33=R$7,C$33=R$8,C$33=R$9,C$33=R$10,C33=R$11)</formula1>
    </dataValidation>
    <dataValidation type="custom" allowBlank="1" showInputMessage="1" showErrorMessage="1" errorTitle="Not Applicable" error="Applicable only on Rooftop Projects" sqref="AR33" xr:uid="{197467FE-1D3E-467A-8CA1-5CF02733CF10}">
      <formula1>OR(C$33=R$7,C$33=R$8,C$33=R$9,C$33=R$10,C33=R$11)</formula1>
    </dataValidation>
    <dataValidation type="custom" allowBlank="1" showInputMessage="1" showErrorMessage="1" errorTitle="Not Applicable" error="Applicable only on Rooftop Projects" sqref="AS33" xr:uid="{5154B682-30A1-41C7-A49C-1F9D69013E02}">
      <formula1>OR(C$33=R$7,C$33=R$8,C$33=R$9,C$33=R$10,C33=R$11)</formula1>
    </dataValidation>
    <dataValidation type="custom" allowBlank="1" showInputMessage="1" showErrorMessage="1" errorTitle="Not Applicable" error="Applicable only on Rooftop Projects" sqref="AT33" xr:uid="{33A63F50-9F33-4369-805E-2E799A3DAA4B}">
      <formula1>OR(C$33=R$7,C$33=R$8,C$33=R$9,C$33=R$10,C33=R$11)</formula1>
    </dataValidation>
    <dataValidation type="custom" allowBlank="1" showInputMessage="1" showErrorMessage="1" errorTitle="Not Applicable" error="Applicable only on Rooftop Projects" sqref="AV33" xr:uid="{F9AEEAC7-BB27-48A7-B0B2-2EF31BDC9E40}">
      <formula1>OR(C$33=R$7,C$33=R$8,C$33=R$9,C$33=R$10,C33=R$11)</formula1>
    </dataValidation>
    <dataValidation type="custom" allowBlank="1" showInputMessage="1" showErrorMessage="1" errorTitle="Not Applicable" error="Applicable only on Rooftop Projects" sqref="AX33" xr:uid="{459E3BED-2A7B-4EEF-800F-D96CE79B428E}">
      <formula1>OR(C$33=R$7,C$33=R$8,C$33=R$9,C$33=R$10,C33=R$11)</formula1>
    </dataValidation>
    <dataValidation type="custom" allowBlank="1" showInputMessage="1" showErrorMessage="1" errorTitle="Not Applicable" error="Applicable only on Rooftop Projects" sqref="AY33" xr:uid="{F24DACBE-8ED3-4BF5-84FE-721B1C507956}">
      <formula1>OR(C$33=R$7,C$33=R$8,C$33=R$9,C$33=R$10,C33=R$11)</formula1>
    </dataValidation>
    <dataValidation type="custom" allowBlank="1" showInputMessage="1" showErrorMessage="1" errorTitle="Not Applicable" error="Applicable only on Rooftop Projects" sqref="AP34" xr:uid="{085A7DF9-8033-46FD-A71B-7F00E7ACE658}">
      <formula1>OR(C$34=R$7,C$34=R$8,C$34=R$9,C$34=R$10,C34=R$11)</formula1>
    </dataValidation>
    <dataValidation type="custom" allowBlank="1" showInputMessage="1" showErrorMessage="1" errorTitle="Not Applicable" error="Applicable only on Rooftop Projects" sqref="AR34" xr:uid="{24084DBD-06B4-431B-A4B7-40246BF9784E}">
      <formula1>OR(C$34=R$7,C$34=R$8,C$34=R$9,C$34=R$10,C34=R$11)</formula1>
    </dataValidation>
    <dataValidation type="custom" allowBlank="1" showInputMessage="1" showErrorMessage="1" errorTitle="Not Applicable" error="Applicable only on Rooftop Projects" sqref="AS34" xr:uid="{5E7FDD34-64F0-4FCD-9C58-2FD9B7C055EA}">
      <formula1>OR(C$34=R$7,C$34=R$8,C$34=R$9,C$34=R$10,C34=R$11)</formula1>
    </dataValidation>
    <dataValidation type="custom" allowBlank="1" showInputMessage="1" showErrorMessage="1" errorTitle="Not Applicable" error="Applicable only on Rooftop Projects" sqref="AT34" xr:uid="{5148B931-C8C0-453B-9307-F00142657D40}">
      <formula1>OR(C$34=R$7,C$34=R$8,C$34=R$9,C$34=R$10,C34=R$11)</formula1>
    </dataValidation>
    <dataValidation type="custom" allowBlank="1" showInputMessage="1" showErrorMessage="1" errorTitle="Not Applicable" error="Applicable only on Rooftop Projects" sqref="AV34" xr:uid="{456CCEEF-8724-4F66-BD6E-FA200E8BA19A}">
      <formula1>OR(C$34=R$7,C$34=R$8,C$34=R$9,C$34=R$10,C34=R$11)</formula1>
    </dataValidation>
    <dataValidation type="custom" allowBlank="1" showInputMessage="1" showErrorMessage="1" errorTitle="Not Applicable" error="Applicable only on Rooftop Projects" sqref="AX34" xr:uid="{0FBE3942-9393-4A2E-B1C6-9BD141D0B075}">
      <formula1>OR(C$34=R$7,C$34=R$8,C$34=R$9,C$34=R$10,C34=R$11)</formula1>
    </dataValidation>
    <dataValidation type="custom" allowBlank="1" showInputMessage="1" showErrorMessage="1" errorTitle="Not Applicable" error="Applicable only on Rooftop Projects" sqref="AY34" xr:uid="{17E0AF49-20B4-4A1A-A8E1-1043F045EEC3}">
      <formula1>OR(C$34=R$7,C$34=R$8,C$34=R$9,C$34=R$10,C34=R$11)</formula1>
    </dataValidation>
    <dataValidation type="custom" allowBlank="1" showInputMessage="1" showErrorMessage="1" errorTitle="Not Applicable" error="Applicable only on Rooftop Projects" sqref="AP35" xr:uid="{EC9107A4-0B86-4918-845F-B7DF07F4DC27}">
      <formula1>OR(C$35=R$7,C$35=R$8,C$35=R$9,C$35=R$10,C35=R$11)</formula1>
    </dataValidation>
    <dataValidation type="custom" allowBlank="1" showInputMessage="1" showErrorMessage="1" errorTitle="Not Applicable" error="Applicable only on Rooftop Projects" sqref="AR35" xr:uid="{41E10109-572F-41F0-932C-93FE1CD6B589}">
      <formula1>OR(C$35=R$7,C$35=R$8,C$35=R$9,C$35=R$10,C35=R$11)</formula1>
    </dataValidation>
    <dataValidation type="custom" allowBlank="1" showInputMessage="1" showErrorMessage="1" errorTitle="Not Applicable" error="Applicable only on Rooftop Projects" sqref="AS35" xr:uid="{4AD52324-8B36-4D0F-9F91-5F8EA7AC3082}">
      <formula1>OR(C$35=R$7,C$35=R$8,C$35=R$9,C$35=R$10,C35=R$11)</formula1>
    </dataValidation>
    <dataValidation type="custom" allowBlank="1" showInputMessage="1" showErrorMessage="1" errorTitle="Not Applicable" error="Applicable only on Rooftop Projects" sqref="AT35" xr:uid="{C9B98917-D6E3-4980-821E-9F469D2AEF71}">
      <formula1>OR(C$35=R$7,C$35=R$8,C$35=R$9,C$35=R$10,C35=R$11)</formula1>
    </dataValidation>
    <dataValidation type="custom" allowBlank="1" showInputMessage="1" showErrorMessage="1" errorTitle="Not Applicable" error="Applicable only on Rooftop Projects" sqref="AV35" xr:uid="{D4C7D27B-5BA5-4575-8B2B-CE57187EEB40}">
      <formula1>OR(C$35=R$7,C$35=R$8,C$35=R$9,C$35=R$10,C35=R$11)</formula1>
    </dataValidation>
    <dataValidation type="custom" allowBlank="1" showInputMessage="1" showErrorMessage="1" errorTitle="Not Applicable" error="Applicable only on Rooftop Projects" sqref="AX35" xr:uid="{49670D55-A6EC-4877-AAB3-1C0DEF68076C}">
      <formula1>OR(C$35=R$7,C$35=R$8,C$35=R$9,C$35=R$10,C35=R$11)</formula1>
    </dataValidation>
    <dataValidation type="custom" allowBlank="1" showInputMessage="1" showErrorMessage="1" errorTitle="Not Applicable" error="Applicable only on Rooftop Projects" sqref="AY35" xr:uid="{BDF90864-A69C-401D-BA20-ABA4E40222FA}">
      <formula1>OR(C$35=R$7,C$35=R$8,C$35=R$9,C$35=R$10,C35=R$11)</formula1>
    </dataValidation>
    <dataValidation type="custom" allowBlank="1" showInputMessage="1" showErrorMessage="1" errorTitle="Not Applicable" error="Applicable only on Rooftop Projects" sqref="AP36" xr:uid="{E9DF901D-104A-4935-97B2-C09ED7E6BB4A}">
      <formula1>OR(C$36=R$7,C$36=R$8,C$36=R$9,C$36=R$10,C36=R$11)</formula1>
    </dataValidation>
    <dataValidation type="custom" allowBlank="1" showInputMessage="1" showErrorMessage="1" errorTitle="Not Applicable" error="Applicable only on Rooftop Projects" sqref="AR36" xr:uid="{186504BD-E2D5-4133-92B1-5CB963D9A100}">
      <formula1>OR(C$36=R$7,C$36=R$8,C$36=R$9,C$36=R$10,C36=R$11)</formula1>
    </dataValidation>
    <dataValidation type="custom" allowBlank="1" showInputMessage="1" showErrorMessage="1" errorTitle="Not Applicable" error="Applicable only on Rooftop Projects" sqref="AS36" xr:uid="{BACE7C01-E9DA-4EC0-A34D-C9AA64E9E461}">
      <formula1>OR(C$36=R$7,C$36=R$8,C$36=R$9,C$36=R$10,C36=R$11)</formula1>
    </dataValidation>
    <dataValidation type="custom" allowBlank="1" showInputMessage="1" showErrorMessage="1" errorTitle="Not Applicable" error="Applicable only on Rooftop Projects" sqref="AT36" xr:uid="{DBF0DEFE-9E18-4D76-81C1-7926588A9428}">
      <formula1>OR(C$36=R$7,C$36=R$8,C$36=R$9,C$36=R$10,C36=R$11)</formula1>
    </dataValidation>
    <dataValidation type="custom" allowBlank="1" showInputMessage="1" showErrorMessage="1" errorTitle="Not Applicable" error="Applicable only on Rooftop Projects" sqref="AV36" xr:uid="{7D8A3D67-67C6-47CC-BCEB-31FFC862C87A}">
      <formula1>OR(C$36=R$7,C$36=R$8,C$36=R$9,C$36=R$10,C36=R$11)</formula1>
    </dataValidation>
    <dataValidation type="custom" allowBlank="1" showInputMessage="1" showErrorMessage="1" errorTitle="Not Applicable" error="Applicable only on Rooftop Projects" sqref="AX36" xr:uid="{14704069-6ED7-4964-83BC-54D1A5B05D63}">
      <formula1>OR(C$36=R$7,C$36=R$8,C$36=R$9,C$36=R$10,C36=R$11)</formula1>
    </dataValidation>
    <dataValidation type="custom" allowBlank="1" showInputMessage="1" showErrorMessage="1" errorTitle="Not Applicable" error="Applicable only on Rooftop Projects" sqref="AY36" xr:uid="{194F557D-6426-463A-8A34-E64D2E2571CB}">
      <formula1>OR(C$36=R$7,C$36=R$8,C$36=R$9,C$36=R$10,C36=R$11)</formula1>
    </dataValidation>
    <dataValidation type="custom" allowBlank="1" showInputMessage="1" showErrorMessage="1" errorTitle="Not Applicable" error="Applicable only on Rooftop Projects" sqref="AP37" xr:uid="{3BCB943F-D0A6-493F-B76C-A023A8903A7C}">
      <formula1>OR(C$37=R$7,C$37=R$8,C$37=R$9,C$37=R$10,C37=R$11)</formula1>
    </dataValidation>
    <dataValidation type="custom" allowBlank="1" showInputMessage="1" showErrorMessage="1" errorTitle="Not Applicable" error="Applicable only on Rooftop Projects" sqref="AR37" xr:uid="{EF05B5FD-3717-497D-BF32-C883D78BEE91}">
      <formula1>OR(C$37=R$7,C$37=R$8,C$37=R$9,C$37=R$10,C37=R$11)</formula1>
    </dataValidation>
    <dataValidation type="custom" allowBlank="1" showInputMessage="1" showErrorMessage="1" errorTitle="Not Applicable" error="Applicable only on Rooftop Projects" sqref="AS37" xr:uid="{2D667A61-AE95-4181-BD5F-3AE964752123}">
      <formula1>OR(C$37=R$7,C$37=R$8,C$37=R$9,C$37=R$10,C37=R$11)</formula1>
    </dataValidation>
    <dataValidation type="custom" allowBlank="1" showInputMessage="1" showErrorMessage="1" errorTitle="Not Applicable" error="Applicable only on Rooftop Projects" sqref="AT37" xr:uid="{7EA7DCBD-0414-4F69-A1B8-28F297A691B8}">
      <formula1>OR(C$37=R$7,C$37=R$8,C$37=R$9,C$37=R$10,C37=R$11)</formula1>
    </dataValidation>
    <dataValidation type="custom" allowBlank="1" showInputMessage="1" showErrorMessage="1" errorTitle="Not Applicable" error="Applicable only on Rooftop Projects" sqref="AV37" xr:uid="{F252012C-F4C1-4847-A2A4-8B31976C3453}">
      <formula1>OR(C$37=R$7,C$37=R$8,C$37=R$9,C$37=R$10,C37=R$11)</formula1>
    </dataValidation>
    <dataValidation type="custom" allowBlank="1" showInputMessage="1" showErrorMessage="1" errorTitle="Not Applicable" error="Applicable only on Rooftop Projects" sqref="AX37" xr:uid="{0EE2F911-08F6-418E-B13E-B0A834CDFF4E}">
      <formula1>OR(C$37=R$7,C$37=R$8,C$37=R$9,C$37=R$10,C37=R$11)</formula1>
    </dataValidation>
    <dataValidation type="custom" allowBlank="1" showInputMessage="1" showErrorMessage="1" errorTitle="Not Applicable" error="Applicable only on Rooftop Projects" sqref="AY37" xr:uid="{87163E84-BB85-44BE-9600-1D8B324210F5}">
      <formula1>OR(C$37=R$7,C$37=R$8,C$37=R$9,C$37=R$10,C37=R$11)</formula1>
    </dataValidation>
    <dataValidation type="custom" allowBlank="1" showInputMessage="1" showErrorMessage="1" errorTitle="Not Applicable" error="Applicable only on Rooftop Projects" sqref="AP38" xr:uid="{B3624AB5-14B7-46D7-BE86-19A5D6680BD4}">
      <formula1>OR(C$38=R$7,C$38=R$8,C$38=R$9,C$38=R$10,C38=R$11)</formula1>
    </dataValidation>
    <dataValidation type="custom" allowBlank="1" showInputMessage="1" showErrorMessage="1" errorTitle="Not Applicable" error="Applicable only on Rooftop Projects" sqref="AR38" xr:uid="{3C377B03-EC52-4020-8625-366AB0A38114}">
      <formula1>OR(C$38=R$7,C$38=R$8,C$38=R$9,C$38=R$10,C38=R$11)</formula1>
    </dataValidation>
    <dataValidation type="custom" allowBlank="1" showInputMessage="1" showErrorMessage="1" errorTitle="Not Applicable" error="Applicable only on Rooftop Projects" sqref="AS38" xr:uid="{F66DF1D0-0F61-4560-A547-B1D167EA8828}">
      <formula1>OR(C$38=R$7,C$38=R$8,C$38=R$9,C$38=R$10,C38=R$11)</formula1>
    </dataValidation>
    <dataValidation type="custom" allowBlank="1" showInputMessage="1" showErrorMessage="1" errorTitle="Not Applicable" error="Applicable only on Rooftop Projects" sqref="AT38" xr:uid="{8B36D1B3-1943-4768-8F01-E28648A1BB21}">
      <formula1>OR(C$38=R$7,C$38=R$8,C$38=R$9,C$38=R$10,C38=R$11)</formula1>
    </dataValidation>
    <dataValidation type="custom" allowBlank="1" showInputMessage="1" showErrorMessage="1" errorTitle="Not Applicable" error="Applicable only on Rooftop Projects" sqref="AV38" xr:uid="{23D0CFA6-8C80-49B4-8269-76969C123A26}">
      <formula1>OR(C$38=R$7,C$38=R$8,C$38=R$9,C$38=R$10,C38=R$11)</formula1>
    </dataValidation>
    <dataValidation type="custom" allowBlank="1" showInputMessage="1" showErrorMessage="1" errorTitle="Not Applicable" error="Applicable only on Rooftop Projects" sqref="AX38" xr:uid="{0F4BCA0A-3802-4263-AED9-A616B5AAF71B}">
      <formula1>OR(C$38=R$7,C$38=R$8,C$38=R$9,C$38=R$10,C38=R$11)</formula1>
    </dataValidation>
    <dataValidation type="custom" allowBlank="1" showInputMessage="1" showErrorMessage="1" errorTitle="Not Applicable" error="Applicable only on Rooftop Projects" sqref="AY38" xr:uid="{497AD028-E320-4B95-AD0C-BD663FD2D85D}">
      <formula1>OR(C$38=R$7,C$38=R$8,C$38=R$9,C$38=R$10,C38=R$11)</formula1>
    </dataValidation>
    <dataValidation type="custom" allowBlank="1" showInputMessage="1" showErrorMessage="1" errorTitle="Not Applicable" error="Applicable only on Rooftop Projects" sqref="AP39" xr:uid="{CCE3DF16-D15D-4075-8432-DB1AEA350C95}">
      <formula1>OR(C$39=R$7,C$39=R$8,C$39=R$9,C$39=R$10,C39=R$11)</formula1>
    </dataValidation>
    <dataValidation type="custom" allowBlank="1" showInputMessage="1" showErrorMessage="1" errorTitle="Not Applicable" error="Applicable only on Rooftop Projects" sqref="AR39" xr:uid="{C5EB94F9-8B5E-472B-A595-D1FE9ECC390B}">
      <formula1>OR(C$39=R$7,C$39=R$8,C$39=R$9,C$39=R$10,C39=R$11)</formula1>
    </dataValidation>
    <dataValidation type="custom" allowBlank="1" showInputMessage="1" showErrorMessage="1" errorTitle="Not Applicable" error="Applicable only on Rooftop Projects" sqref="AS39" xr:uid="{D4C29040-E358-4A31-8D53-96519DD60D5F}">
      <formula1>OR(C$39=R$7,C$39=R$8,C$39=R$9,C$39=R$10,C39=R$11)</formula1>
    </dataValidation>
    <dataValidation type="custom" allowBlank="1" showInputMessage="1" showErrorMessage="1" errorTitle="Not Applicable" error="Applicable only on Rooftop Projects" sqref="AT39" xr:uid="{4649B706-B3EE-412E-A803-7FDFCB0D0DCB}">
      <formula1>OR(C$39=R$7,C$39=R$8,C$39=R$9,C$39=R$10,C39=R$11)</formula1>
    </dataValidation>
    <dataValidation type="custom" allowBlank="1" showInputMessage="1" showErrorMessage="1" errorTitle="Not Applicable" error="Applicable only on Rooftop Projects" sqref="AV39" xr:uid="{BC78528B-0F5B-45B3-84DC-6A684C3FC593}">
      <formula1>OR(C$39=R$7,C$39=R$8,C$39=R$9,C$39=R$10,C39=R$11)</formula1>
    </dataValidation>
    <dataValidation type="custom" allowBlank="1" showInputMessage="1" showErrorMessage="1" errorTitle="Not Applicable" error="Applicable only on Rooftop Projects" sqref="AX39" xr:uid="{06E442DD-D454-4B70-B139-670DD657D946}">
      <formula1>OR(C$39=R$7,C$39=R$8,C$39=R$9,C$39=R$10,C39=R$11)</formula1>
    </dataValidation>
    <dataValidation type="custom" allowBlank="1" showInputMessage="1" showErrorMessage="1" errorTitle="Not Applicable" error="Applicable only on Rooftop Projects" sqref="AY39" xr:uid="{2F4CB8C2-9B00-4EB5-9FE3-B9F674982D16}">
      <formula1>OR(C$39=R$7,C$39=R$8,C$39=R$9,C$39=R$10,C39=R$11)</formula1>
    </dataValidation>
    <dataValidation type="custom" allowBlank="1" showInputMessage="1" showErrorMessage="1" errorTitle="Not Applicable" error="Applicable only on Rooftop Projects" sqref="AP40" xr:uid="{D04BD91E-1BD4-45CE-A8D2-24C333BFA71B}">
      <formula1>OR(C$40=R$7,C$40=R$8,C$40=R$9,C$40=R$10,C40=R$11)</formula1>
    </dataValidation>
    <dataValidation type="custom" allowBlank="1" showInputMessage="1" showErrorMessage="1" errorTitle="Not Applicable" error="Applicable only on Rooftop Projects" sqref="AR40" xr:uid="{0BC1124A-83AD-4FAE-955E-F238337B4A90}">
      <formula1>OR(C$40=R$7,C$40=R$8,C$40=R$9,C$40=R$10,C40=R$11)</formula1>
    </dataValidation>
    <dataValidation type="custom" allowBlank="1" showInputMessage="1" showErrorMessage="1" errorTitle="Not Applicable" error="Applicable only on Rooftop Projects" sqref="AS40" xr:uid="{90F5D764-872C-469A-AE11-86DFC4CD5A39}">
      <formula1>OR(C$40=R$7,C$40=R$8,C$40=R$9,C$40=R$10,C40=R$11)</formula1>
    </dataValidation>
    <dataValidation type="custom" allowBlank="1" showInputMessage="1" showErrorMessage="1" errorTitle="Not Applicable" error="Applicable only on Rooftop Projects" sqref="AT40" xr:uid="{82321EBC-57DA-45F8-A727-D53CFBEDC2DA}">
      <formula1>OR(C$40=R$7,C$40=R$8,C$40=R$9,C$40=R$10,C40=R$11)</formula1>
    </dataValidation>
    <dataValidation type="custom" allowBlank="1" showInputMessage="1" showErrorMessage="1" errorTitle="Not Applicable" error="Applicable only on Rooftop Projects" sqref="AV40" xr:uid="{4A6413C1-3EBE-4165-A371-B4B98B89140F}">
      <formula1>OR(C$40=R$7,C$40=R$8,C$40=R$9,C$40=R$10,C40=R$11)</formula1>
    </dataValidation>
    <dataValidation type="custom" allowBlank="1" showInputMessage="1" showErrorMessage="1" errorTitle="Not Applicable" error="Applicable only on Rooftop Projects" sqref="AX40" xr:uid="{79058B5B-84E0-4DD3-A991-8FFDE78B0E8F}">
      <formula1>OR(C$40=R$7,C$40=R$8,C$40=R$9,C$40=R$10,C40=R$11)</formula1>
    </dataValidation>
    <dataValidation type="custom" allowBlank="1" showInputMessage="1" showErrorMessage="1" errorTitle="Not Applicable" error="Applicable only on Rooftop Projects" sqref="AY40" xr:uid="{C2650878-E595-4F4C-BC4D-153BC77D8F59}">
      <formula1>OR(C$40=R$7,C$40=R$8,C$40=R$9,C$40=R$10,C40=R$11)</formula1>
    </dataValidation>
    <dataValidation type="custom" allowBlank="1" showInputMessage="1" showErrorMessage="1" errorTitle="Not Applicable" error="Applicable only on Rooftop Projects" sqref="AP41" xr:uid="{F2E7114B-5044-4826-A1C8-4AC400C2AB68}">
      <formula1>OR(C$41=R$7,C$41=R$8,C$41=R$9,C$41=R$10,C$41=R$11)</formula1>
    </dataValidation>
    <dataValidation type="custom" allowBlank="1" showInputMessage="1" showErrorMessage="1" errorTitle="Not Applicable" error="Applicable only on Rooftop Projects" sqref="AR41" xr:uid="{938801DA-B8B6-4C4A-B2F5-B41FA068972A}">
      <formula1>OR(C$41=R$7,C$41=R$8,C$41=R$9,C$41=R$10,C$41=R$11)</formula1>
    </dataValidation>
    <dataValidation type="custom" allowBlank="1" showInputMessage="1" showErrorMessage="1" errorTitle="Not Applicable" error="Applicable only on Rooftop Projects" sqref="AS41" xr:uid="{921744A6-2F3B-4117-9544-6F465485D49C}">
      <formula1>OR(C$41=R$7,C$41=R$8,C$41=R$9,C$41=R$10,C$41=R$11)</formula1>
    </dataValidation>
    <dataValidation type="custom" allowBlank="1" showInputMessage="1" showErrorMessage="1" errorTitle="Not Applicable" error="Applicable only on Rooftop Projects" sqref="AT41" xr:uid="{2949C351-BE70-4F1B-A7CE-AB8A5F6E287C}">
      <formula1>OR(C$41=R$7,C$41=R$8,C$41=R$9,C$41=R$10,C$41=R$11)</formula1>
    </dataValidation>
    <dataValidation type="custom" allowBlank="1" showInputMessage="1" showErrorMessage="1" errorTitle="Not Applicable" error="Applicable only on Rooftop Projects" sqref="AV41" xr:uid="{56472D94-ECB4-497A-8772-6865F10DC870}">
      <formula1>OR(C$41=R$7,C$41=R$8,C$41=R$9,C$41=R$10,C$41=R$11)</formula1>
    </dataValidation>
    <dataValidation type="custom" allowBlank="1" showInputMessage="1" showErrorMessage="1" errorTitle="Not Applicable" error="Applicable only on Rooftop Projects" sqref="AX41" xr:uid="{0FE38BEB-B2E7-4453-B927-C919CFD75E3E}">
      <formula1>OR(C$41=R$7,C$41=R$8,C$41=R$9,C$41=R$10,C$41=R$11)</formula1>
    </dataValidation>
    <dataValidation type="custom" allowBlank="1" showInputMessage="1" showErrorMessage="1" errorTitle="Not Applicable" error="Applicable only on Rooftop Projects" sqref="AY41" xr:uid="{B411CA9B-D717-4417-857E-A516221D4129}">
      <formula1>OR(C$41=R$7,C$41=R$8,C$41=R$9,C$41=R$10,C$41=R$11)</formula1>
    </dataValidation>
    <dataValidation type="custom" allowBlank="1" showInputMessage="1" showErrorMessage="1" errorTitle="Not Applicable" error="Applicable only on Rooftop Projects" sqref="AP42" xr:uid="{72A6EC52-3CF5-4486-ABD2-C04F57B71337}">
      <formula1>OR(C$42=R$7,C$42=R$8,C$42=R$9,C$42=R$10,C$42=R$11)</formula1>
    </dataValidation>
    <dataValidation type="custom" allowBlank="1" showInputMessage="1" showErrorMessage="1" errorTitle="Not Applicable" error="Applicable only on Rooftop Projects" sqref="AR42" xr:uid="{84D44E68-964B-4820-AF61-1F16E9C6C1E4}">
      <formula1>OR(C$42=R$7,C$42=R$8,C$42=R$9,C$42=R$10,C$42=R$11)</formula1>
    </dataValidation>
    <dataValidation type="custom" allowBlank="1" showInputMessage="1" showErrorMessage="1" errorTitle="Not Applicable" error="Applicable only on Rooftop Projects" sqref="AS42" xr:uid="{3736DA87-5955-4764-B0C2-FCF87C8AF010}">
      <formula1>OR(C$42=R$7,C$42=R$8,C$42=R$9,C$42=R$10,C$42=R$11)</formula1>
    </dataValidation>
    <dataValidation type="custom" allowBlank="1" showInputMessage="1" showErrorMessage="1" errorTitle="Not Applicable" error="Applicable only on Rooftop Projects" sqref="AT42" xr:uid="{492119E9-927B-4DAF-A85B-F715BA8A9B72}">
      <formula1>OR(C$42=R$7,C$42=R$8,C$42=R$9,C$42=R$10,C$42=R$11)</formula1>
    </dataValidation>
    <dataValidation type="custom" allowBlank="1" showInputMessage="1" showErrorMessage="1" errorTitle="Not Applicable" error="Applicable only on Rooftop Projects" sqref="AV42" xr:uid="{974552D8-A589-42A4-B4C5-173DF190DDDD}">
      <formula1>OR(C$42=R$7,C$42=R$8,C$42=R$9,C$42=R$10,C$42=R$11)</formula1>
    </dataValidation>
    <dataValidation type="custom" allowBlank="1" showInputMessage="1" showErrorMessage="1" errorTitle="Not Applicable" error="Applicable only on Rooftop Projects" sqref="AX42" xr:uid="{1BF4DF2D-5ABB-4522-BB4B-1CB90FBDD0D6}">
      <formula1>OR(C$42=R$7,C$42=R$8,C$42=R$9,C$42=R$10,C$42=R$11)</formula1>
    </dataValidation>
    <dataValidation type="custom" allowBlank="1" showInputMessage="1" showErrorMessage="1" errorTitle="Not Applicable" error="Applicable only on Rooftop Projects" sqref="AY42" xr:uid="{FD85FD18-8A6B-48B0-8759-DF081FEA92E0}">
      <formula1>OR(C$42=R$7,C$42=R$8,C$42=R$9,C$42=R$10,C$42=R$11)</formula1>
    </dataValidation>
    <dataValidation type="custom" allowBlank="1" showInputMessage="1" showErrorMessage="1" errorTitle="Not Applicable" error="Applicable only on Rooftop Projects" sqref="AP43" xr:uid="{6926F472-C18C-40DE-A2B3-E0CD8ED015C6}">
      <formula1>OR(C$43=R$7,C$43=R$8,C$43=R$9,C$43=R$10,C$43=R$11)</formula1>
    </dataValidation>
    <dataValidation type="custom" allowBlank="1" showInputMessage="1" showErrorMessage="1" errorTitle="Not Applicable" error="Applicable only on Rooftop Projects" sqref="AR43" xr:uid="{29F3C935-1D2A-40F0-AFD6-7725C95D1BA4}">
      <formula1>OR(C$43=R$7,C$43=R$8,C$43=R$9,C$43=R$10,C$43=R$11)</formula1>
    </dataValidation>
    <dataValidation type="custom" allowBlank="1" showInputMessage="1" showErrorMessage="1" errorTitle="Not Applicable" error="Applicable only on Rooftop Projects" sqref="AS43" xr:uid="{DEFBACE8-1CA3-4EFC-8210-724FBE8840BC}">
      <formula1>OR(C$43=R$7,C$43=R$8,C$43=R$9,C$43=R$10,C$43=R$11)</formula1>
    </dataValidation>
    <dataValidation type="custom" allowBlank="1" showInputMessage="1" showErrorMessage="1" errorTitle="Not Applicable" error="Applicable only on Rooftop Projects" sqref="AT43" xr:uid="{09D91576-CCFD-4B95-A1E8-BF3B0007A22E}">
      <formula1>OR(C$43=R$7,C$43=R$8,C$43=R$9,C$43=R$10,C$43=R$11)</formula1>
    </dataValidation>
    <dataValidation type="custom" allowBlank="1" showInputMessage="1" showErrorMessage="1" errorTitle="Not Applicable" error="Applicable only on Rooftop Projects" sqref="AV43" xr:uid="{0346A70F-25FD-48DA-8C2A-C0909845FF8F}">
      <formula1>OR(C$43=R$7,C$43=R$8,C$43=R$9,C$43=R$10,C$43=R$11)</formula1>
    </dataValidation>
    <dataValidation type="custom" allowBlank="1" showInputMessage="1" showErrorMessage="1" errorTitle="Not Applicable" error="Applicable only on Rooftop Projects" sqref="AX43" xr:uid="{3579D84B-C9C7-4FEB-819A-AB1C68C6526B}">
      <formula1>OR(C$43=R$7,C$43=R$8,C$43=R$9,C$43=R$10,C$43=R$11)</formula1>
    </dataValidation>
    <dataValidation type="custom" allowBlank="1" showInputMessage="1" showErrorMessage="1" errorTitle="Not Applicable" error="Applicable only on Rooftop Projects" sqref="AY43" xr:uid="{952C3D97-76CF-45A6-8CAF-FB21F6D1024F}">
      <formula1>OR(C$43=R$7,C$43=R$8,C$43=R$9,C$43=R$10,C$43=R$11)</formula1>
    </dataValidation>
    <dataValidation type="custom" allowBlank="1" showInputMessage="1" showErrorMessage="1" errorTitle="Not Applicable" error="Applicable only on Rooftop Projects" sqref="AP45" xr:uid="{40FED11C-045E-4635-9D17-41F8092D58B1}">
      <formula1>OR(C$45=R$7,C$45=R$8,C$45=R$9,C$45=R$10,C$45=R$11)</formula1>
    </dataValidation>
    <dataValidation type="custom" allowBlank="1" showInputMessage="1" showErrorMessage="1" errorTitle="Not Applicable" error="Applicable only on Rooftop Projects" sqref="AR44" xr:uid="{120B0642-288C-4B20-97A1-32CE16DFF4F4}">
      <formula1>OR(C$44=R$7,C$44=R$8,C$44=R$9,C$44=R$10,C$44=R$11)</formula1>
    </dataValidation>
    <dataValidation type="custom" allowBlank="1" showInputMessage="1" showErrorMessage="1" errorTitle="Not Applicable" error="Applicable only on Rooftop Projects" sqref="AS44" xr:uid="{65C42644-BEE7-4160-995A-6193304513EE}">
      <formula1>OR(C$44=R$7,C$44=R$8,C$44=R$9,C$44=R$10,C$44=R$11)</formula1>
    </dataValidation>
    <dataValidation type="custom" allowBlank="1" showInputMessage="1" showErrorMessage="1" errorTitle="Not Applicable" error="Applicable only on Rooftop Projects" sqref="AT44" xr:uid="{70CB2D33-162F-4AD7-97B6-56E1D5F904C0}">
      <formula1>OR(C$44=R$7,C$44=R$8,C$44=R$9,C$44=R$10,C$44=R$11)</formula1>
    </dataValidation>
    <dataValidation type="custom" allowBlank="1" showInputMessage="1" showErrorMessage="1" errorTitle="Not Applicable" error="Applicable only on Rooftop Projects" sqref="AV44" xr:uid="{9904FCAD-B7A0-4C3E-83A2-DCAC9496E1C8}">
      <formula1>OR(C$44=R$7,C$44=R$8,C$44=R$9,C$44=R$10,C$44=R$11)</formula1>
    </dataValidation>
    <dataValidation type="custom" allowBlank="1" showInputMessage="1" showErrorMessage="1" errorTitle="Not Applicable" error="Applicable only on Rooftop Projects" sqref="AX44" xr:uid="{0E4D44AB-E05C-461A-8F84-D0B1A32497D2}">
      <formula1>OR(C$44=R$7,C$44=R$8,C$44=R$9,C$44=R$10,C$44=R$11)</formula1>
    </dataValidation>
    <dataValidation type="custom" allowBlank="1" showInputMessage="1" showErrorMessage="1" errorTitle="Not Applicable" error="Applicable only on Rooftop Projects" sqref="AY44" xr:uid="{A061039B-EDB2-48AB-A4CD-8F5F093B43A5}">
      <formula1>OR(C$44=R$7,C$44=R$8,C$44=R$9,C$44=R$10,C$44=R$11)</formula1>
    </dataValidation>
    <dataValidation type="custom" allowBlank="1" showInputMessage="1" showErrorMessage="1" errorTitle="Not Applicable" error="Applicable only on Rooftop Projects" sqref="AP44" xr:uid="{41929643-F9A6-4B32-8BF0-392C10654E5E}">
      <formula1>OR(C$44=R$7,C$44=R$8,C$44=R$9,C$44=R$10,C$44=R$11)</formula1>
    </dataValidation>
    <dataValidation type="custom" allowBlank="1" showInputMessage="1" showErrorMessage="1" errorTitle="Not Applicable" error="Applicable only on Rooftop Projects" sqref="AR45" xr:uid="{98A0D683-8D8B-4261-BB43-C27BADF7441B}">
      <formula1>OR(C$45=R$7,C$45=R$8,C$45=R$9,C$45=R$10,C$45=R$11)</formula1>
    </dataValidation>
    <dataValidation type="custom" allowBlank="1" showInputMessage="1" showErrorMessage="1" errorTitle="Not Applicable" error="Applicable only on Rooftop Projects" sqref="AS45" xr:uid="{6A21A0CA-84AB-4FF6-A081-95726B98DF03}">
      <formula1>OR(C$45=R$7,C$45=R$8,C$45=R$9,C$45=R$10,C$45=R$11)</formula1>
    </dataValidation>
    <dataValidation type="custom" allowBlank="1" showInputMessage="1" showErrorMessage="1" errorTitle="Not Applicable" error="Applicable only on Rooftop Projects" sqref="AT45" xr:uid="{434288D3-A8B9-4B66-BB91-98A245E5C6BA}">
      <formula1>OR(C$45=R$7,C$45=R$8,C$45=R$9,C$45=R$10,C$45=R$11)</formula1>
    </dataValidation>
    <dataValidation type="custom" allowBlank="1" showInputMessage="1" showErrorMessage="1" errorTitle="Not Applicable" error="Applicable only on Rooftop Projects" sqref="AV45" xr:uid="{DE7C21D1-3607-4334-89EF-FCBE724093CB}">
      <formula1>OR(C$45=R$7,C$45=R$8,C$45=R$9,C$45=R$10,C$45=R$11)</formula1>
    </dataValidation>
    <dataValidation type="custom" allowBlank="1" showInputMessage="1" showErrorMessage="1" errorTitle="Not Applicable" error="Applicable only on Rooftop Projects" sqref="AX45" xr:uid="{65FF8509-61FC-4B1A-8B57-CA3C7D90C6A5}">
      <formula1>OR(C$45=R$7,C$45=R$8,C$45=R$9,C$45=R$10,C$45=R$11)</formula1>
    </dataValidation>
    <dataValidation type="custom" allowBlank="1" showInputMessage="1" showErrorMessage="1" errorTitle="Not Applicable" error="Applicable only on Rooftop Projects" sqref="AY45" xr:uid="{39EA12EA-7FDD-4070-9D8B-0A3CBCC7DD1F}">
      <formula1>OR(C$45=R$7,C$45=R$8,C$45=R$9,C$45=R$10,C$45=R$11)</formula1>
    </dataValidation>
    <dataValidation type="custom" allowBlank="1" showInputMessage="1" showErrorMessage="1" errorTitle="Not Applicable" error="Applicable only on Rooftop Projects" sqref="AP46" xr:uid="{6890C348-4C05-4560-A965-DDC4BEBC7EBE}">
      <formula1>OR(C$46=R$7,C$46=R$8,C$46=R$9,C$46=R$10,C$46=R$11)</formula1>
    </dataValidation>
    <dataValidation type="custom" allowBlank="1" showInputMessage="1" showErrorMessage="1" errorTitle="Not Applicable" error="Applicable only on Rooftop Projects" sqref="AR46" xr:uid="{E75B71CD-A6B9-431C-B297-7E34F670B06B}">
      <formula1>OR(C$46=R$7,C$46=R$8,C$46=R$9,C$46=R$10,C$46=R$11)</formula1>
    </dataValidation>
    <dataValidation type="custom" allowBlank="1" showInputMessage="1" showErrorMessage="1" errorTitle="Not Applicable" error="Applicable only on Rooftop Projects" sqref="AS46" xr:uid="{D9757F3F-742C-40D7-8F45-0FD41C3F7E63}">
      <formula1>OR(C$46=R$7,C$46=R$8,C$46=R$9,C$46=R$10,C$46=R$11)</formula1>
    </dataValidation>
    <dataValidation type="custom" allowBlank="1" showInputMessage="1" showErrorMessage="1" errorTitle="Not Applicable" error="Applicable only on Rooftop Projects" sqref="AT46" xr:uid="{49A1A69C-916B-4713-A0E1-FBC275F26762}">
      <formula1>OR(C$46=R$7,C$46=R$8,C$46=R$9,C$46=R$10,C$46=R$11)</formula1>
    </dataValidation>
    <dataValidation type="custom" allowBlank="1" showInputMessage="1" showErrorMessage="1" errorTitle="Not Applicable" error="Applicable only on Rooftop Projects" sqref="AV46" xr:uid="{7D287841-C77E-4888-BE96-97A80D90DBEA}">
      <formula1>OR(C$46=R$7,C$46=R$8,C$46=R$9,C$46=R$10,C$46=R$11)</formula1>
    </dataValidation>
    <dataValidation type="custom" allowBlank="1" showInputMessage="1" showErrorMessage="1" errorTitle="Not Applicable" error="Applicable only on Rooftop Projects" sqref="AX46" xr:uid="{C6DBF939-4F6D-496C-B24D-970FCBCDC561}">
      <formula1>OR(C$46=R$7,C$46=R$8,C$46=R$9,C$46=R$10,C$46=R$11)</formula1>
    </dataValidation>
    <dataValidation type="custom" allowBlank="1" showInputMessage="1" showErrorMessage="1" errorTitle="Not Applicable" error="Applicable only on Rooftop Projects" sqref="AY46" xr:uid="{94698463-77C0-434B-BB62-D150499A7E84}">
      <formula1>OR(C$46=R$7,C$46=R$8,C$46=R$9,C$46=R$10,C$46=R$11)</formula1>
    </dataValidation>
    <dataValidation type="custom" allowBlank="1" showInputMessage="1" showErrorMessage="1" errorTitle="Not Applicable" error="Applicable only on Rooftop Projects" sqref="AP47" xr:uid="{D3D6BB62-0842-4E10-82D6-C1D584BA4C0D}">
      <formula1>OR(C$47=R$7,C$47=R$8,C$47=R$9,C$47=R$10,C$47=R$11)</formula1>
    </dataValidation>
    <dataValidation type="custom" allowBlank="1" showInputMessage="1" showErrorMessage="1" errorTitle="Not Applicable" error="Applicable only on Rooftop Projects" sqref="AR47" xr:uid="{92F7CB9C-FF34-422F-99A1-3FC8DA979233}">
      <formula1>OR(C$47=R$7,C$47=R$8,C$47=R$9,C$47=R$10,C$47=R$11)</formula1>
    </dataValidation>
    <dataValidation type="custom" allowBlank="1" showInputMessage="1" showErrorMessage="1" errorTitle="Not Applicable" error="Applicable only on Rooftop Projects" sqref="AS47" xr:uid="{BD9F9560-AA3E-4FC6-BAD0-EDDA1A590D91}">
      <formula1>OR(C$47=R$7,C$47=R$8,C$47=R$9,C$47=R$10,C$47=R$11)</formula1>
    </dataValidation>
    <dataValidation type="custom" allowBlank="1" showInputMessage="1" showErrorMessage="1" errorTitle="Not Applicable" error="Applicable only on Rooftop Projects" sqref="AT47" xr:uid="{E5AED792-5279-49CB-B4A7-41A233402ABF}">
      <formula1>OR(C$47=R$7,C$47=R$8,C$47=R$9,C$47=R$10,C$47=R$11)</formula1>
    </dataValidation>
    <dataValidation type="custom" allowBlank="1" showInputMessage="1" showErrorMessage="1" errorTitle="Not Applicable" error="Applicable only on Rooftop Projects" sqref="AV47" xr:uid="{71A03300-E3EF-4548-BD34-B382D5FFABF6}">
      <formula1>OR(C$47=R$7,C$47=R$8,C$47=R$9,C$47=R$10,C$47=R$11)</formula1>
    </dataValidation>
    <dataValidation type="custom" allowBlank="1" showInputMessage="1" showErrorMessage="1" errorTitle="Not Applicable" error="Applicable only on Rooftop Projects" sqref="AX47" xr:uid="{ECDE98BE-527A-44B0-9CA3-E937DBA66FA3}">
      <formula1>OR(C$47=R$7,C$47=R$8,C$47=R$9,C$47=R$10,C$47=R$11)</formula1>
    </dataValidation>
    <dataValidation type="custom" allowBlank="1" showInputMessage="1" showErrorMessage="1" errorTitle="Not Applicable" error="Applicable only on Rooftop Projects" sqref="AY47" xr:uid="{3C94ADDC-D76D-4241-BAE6-24D770CE5355}">
      <formula1>OR(C$47=R$7,C$47=R$8,C$47=R$9,C$47=R$10,C$47=R$11)</formula1>
    </dataValidation>
    <dataValidation type="custom" allowBlank="1" showInputMessage="1" showErrorMessage="1" errorTitle="Not Applicable" error="Applicable only on Rooftop Projects" sqref="AP48" xr:uid="{CC3BE5F6-5988-4518-8010-3D6CDE07DBF1}">
      <formula1>OR(C$48=R$7,C$48=R$8,C$48=R$9,C$48=R$10,C$48=R$11)</formula1>
    </dataValidation>
    <dataValidation type="custom" allowBlank="1" showInputMessage="1" showErrorMessage="1" errorTitle="Not Applicable" error="Applicable only on Rooftop Projects" sqref="AR48" xr:uid="{22BE3FCC-0372-4FCB-849A-D99A5C5BB9EE}">
      <formula1>OR(C$48=R$7,C$48=R$8,C$48=R$9,C$48=R$10,C$48=R$11)</formula1>
    </dataValidation>
    <dataValidation type="custom" allowBlank="1" showInputMessage="1" showErrorMessage="1" errorTitle="Not Applicable" error="Applicable only on Rooftop Projects" sqref="AS48" xr:uid="{51469F08-BBC6-48A5-803D-0C641003BD10}">
      <formula1>OR(C$48=R$7,C$48=R$8,C$48=R$9,C$48=R$10,C$48=R$11)</formula1>
    </dataValidation>
    <dataValidation type="custom" allowBlank="1" showInputMessage="1" showErrorMessage="1" errorTitle="Not Applicable" error="Applicable only on Rooftop Projects" sqref="AT48" xr:uid="{A34F79FE-0E16-4924-9B1A-92155578B7D0}">
      <formula1>OR(C$48=R$7,C$48=R$8,C$48=R$9,C$48=R$10,C$48=R$11)</formula1>
    </dataValidation>
    <dataValidation type="custom" allowBlank="1" showInputMessage="1" showErrorMessage="1" errorTitle="Not Applicable" error="Applicable only on Rooftop Projects" sqref="AV48" xr:uid="{13BE8DD4-D0D1-44AD-AA5D-65430116B257}">
      <formula1>OR(C$48=R$7,C$48=R$8,C$48=R$9,C$48=R$10,C$48=R$11)</formula1>
    </dataValidation>
    <dataValidation type="custom" allowBlank="1" showInputMessage="1" showErrorMessage="1" errorTitle="Not Applicable" error="Applicable only on Rooftop Projects" sqref="AX48" xr:uid="{CA1CBF4E-8CA2-432B-AFB8-142953436CB2}">
      <formula1>OR(C$48=R$7,C$48=R$8,C$48=R$9,C$48=R$10,C$48=R$11)</formula1>
    </dataValidation>
    <dataValidation type="custom" allowBlank="1" showInputMessage="1" showErrorMessage="1" errorTitle="Not Applicable" error="Applicable only on Rooftop Projects" sqref="AY48" xr:uid="{E19D36CB-16E3-40F1-B427-52583EEADF7C}">
      <formula1>OR(C$48=R$7,C$48=R$8,C$48=R$9,C$48=R$10,C$48=R$11)</formula1>
    </dataValidation>
    <dataValidation type="custom" allowBlank="1" showInputMessage="1" showErrorMessage="1" errorTitle="Not Applicable" error="Applicable only on Rooftop Projects" sqref="AP49" xr:uid="{6746EE9E-62DC-4E55-9929-43DBB89F7052}">
      <formula1>OR(C$49=R$7,C$49=R$8,C$49=R$9,C$49=R$10,C$49=R$11)</formula1>
    </dataValidation>
    <dataValidation type="custom" allowBlank="1" showInputMessage="1" showErrorMessage="1" errorTitle="Not Applicable" error="Applicable only on Rooftop Projects" sqref="AR49" xr:uid="{D95D2A63-B17F-4269-A0F9-1D6DB70CAD32}">
      <formula1>OR(C$49=R$7,C$49=R$8,C$49=R$9,C$49=R$10,C$49=R$11)</formula1>
    </dataValidation>
    <dataValidation type="custom" allowBlank="1" showInputMessage="1" showErrorMessage="1" errorTitle="Not Applicable" error="Applicable only on Rooftop Projects" sqref="AS49" xr:uid="{6A70A4BA-4B40-452E-A44F-91067B2B13D8}">
      <formula1>OR(C$49=R$7,C$49=R$8,C$49=R$9,C$49=R$10,C$49=R$11)</formula1>
    </dataValidation>
    <dataValidation type="custom" allowBlank="1" showInputMessage="1" showErrorMessage="1" errorTitle="Not Applicable" error="Applicable only on Rooftop Projects" sqref="AT49" xr:uid="{8047EDA1-7257-4696-9305-4E7A7727DAD9}">
      <formula1>OR(C$49=R$7,C$49=R$8,C$49=R$9,C$49=R$10,C$49=R$11)</formula1>
    </dataValidation>
    <dataValidation type="custom" allowBlank="1" showInputMessage="1" showErrorMessage="1" errorTitle="Not Applicable" error="Applicable only on Rooftop Projects" sqref="AV49" xr:uid="{51A54C5A-BFD9-4C8B-A888-5FC036085778}">
      <formula1>OR(C$49=R$7,C$49=R$8,C$49=R$9,C$49=R$10,C$49=R$11)</formula1>
    </dataValidation>
    <dataValidation type="custom" allowBlank="1" showInputMessage="1" showErrorMessage="1" errorTitle="Not Applicable" error="Applicable only on Rooftop Projects" sqref="AX49" xr:uid="{8374A321-04DE-462A-BEB1-7D46F22C0CFE}">
      <formula1>OR(C$49=R$7,C$49=R$8,C$49=R$9,C$49=R$10,C$49=R$11)</formula1>
    </dataValidation>
    <dataValidation type="custom" allowBlank="1" showInputMessage="1" showErrorMessage="1" errorTitle="Not Applicable" error="Applicable only on Rooftop Projects" sqref="AY49" xr:uid="{BE87DDF6-1D79-442D-83F0-ED0348512F2B}">
      <formula1>OR(C$49=R$7,C$49=R$8,C$49=R$9,C$49=R$10,C$49=R$11)</formula1>
    </dataValidation>
    <dataValidation type="custom" allowBlank="1" showInputMessage="1" showErrorMessage="1" errorTitle="Not Applicable" error="Applicable only on Rooftop Projects" sqref="AP50" xr:uid="{2878171D-4EA9-477A-8179-FEB9C70362FB}">
      <formula1>OR(C$50=R$7,C$50=R$8,C$50=R$9,C$50=R$10,C$50=R$11)</formula1>
    </dataValidation>
    <dataValidation type="custom" allowBlank="1" showInputMessage="1" showErrorMessage="1" errorTitle="Not Applicable" error="Applicable only on Rooftop Projects" sqref="AR50" xr:uid="{C380F983-E83F-4422-AF54-BE0121E2CD48}">
      <formula1>OR(C$50=R$7,C$50=R$8,C$50=R$9,C$50=R$10,C$50=R$11)</formula1>
    </dataValidation>
    <dataValidation type="custom" allowBlank="1" showInputMessage="1" showErrorMessage="1" errorTitle="Not Applicable" error="Applicable only on Rooftop Projects" sqref="AS50" xr:uid="{77029B3B-8F57-4F36-820E-C41D951F8669}">
      <formula1>OR(C$50=R$7,C$50=R$8,C$50=R$9,C$50=R$10,C$50=R$11)</formula1>
    </dataValidation>
    <dataValidation type="custom" allowBlank="1" showInputMessage="1" showErrorMessage="1" errorTitle="Not Applicable" error="Applicable only on Rooftop Projects" sqref="AT50" xr:uid="{074BBE63-178F-40CB-A050-9AB775E52C96}">
      <formula1>OR(C$50=R$7,C$50=R$8,C$50=R$9,C$50=R$10,C$50=R$11)</formula1>
    </dataValidation>
    <dataValidation type="custom" allowBlank="1" showInputMessage="1" showErrorMessage="1" errorTitle="Not Applicable" error="Applicable only on Rooftop Projects" sqref="AV50" xr:uid="{BD60A76A-909F-4C81-8620-E4BC7EA133D0}">
      <formula1>OR(C$50=R$7,C$50=R$8,C$50=R$9,C$50=R$10,C$50=R$11)</formula1>
    </dataValidation>
    <dataValidation type="custom" allowBlank="1" showInputMessage="1" showErrorMessage="1" errorTitle="Not Applicable" error="Applicable only on Rooftop Projects" sqref="AX50" xr:uid="{7B9775FB-B289-4007-B5D0-4C6B2A0233BD}">
      <formula1>OR(C$50=R$7,C$50=R$8,C$50=R$9,C$50=R$10,C$50=R$11)</formula1>
    </dataValidation>
    <dataValidation type="custom" allowBlank="1" showInputMessage="1" showErrorMessage="1" errorTitle="Not Applicable" error="Applicable only on Rooftop Projects" sqref="AY50" xr:uid="{2E29368E-E8D6-4632-BF8B-50F52251B3CE}">
      <formula1>OR(C$50=R$7,C$50=R$8,C$50=R$9,C$50=R$10,C$50=R$11)</formula1>
    </dataValidation>
    <dataValidation type="custom" allowBlank="1" showInputMessage="1" showErrorMessage="1" errorTitle="Not Applicable" error="Applicable only on Rooftop Projects" sqref="AP51" xr:uid="{000A272D-2B52-479B-B2EC-C8A829B3E079}">
      <formula1>OR(C$51=R$7,C$51=R$8,C$51=R$9,C$51=R$10,C$51=R$11)</formula1>
    </dataValidation>
    <dataValidation type="custom" allowBlank="1" showInputMessage="1" showErrorMessage="1" errorTitle="Not Applicable" error="Applicable only on Rooftop Projects" sqref="AR51" xr:uid="{0E62BC6E-1AC2-47F1-92AE-29EB6D423F3F}">
      <formula1>OR(C$51=R$7,C$51=R$8,C$51=R$9,C$51=R$10,C$51=R$11)</formula1>
    </dataValidation>
    <dataValidation type="custom" allowBlank="1" showInputMessage="1" showErrorMessage="1" errorTitle="Not Applicable" error="Applicable only on Rooftop Projects" sqref="AS51" xr:uid="{82ED13A4-55B8-4D9A-8B2A-665C6BCCAC36}">
      <formula1>OR(C$51=R$7,C$51=R$8,C$51=R$9,C$51=R$10,C$51=R$11)</formula1>
    </dataValidation>
    <dataValidation type="custom" allowBlank="1" showInputMessage="1" showErrorMessage="1" errorTitle="Not Applicable" error="Applicable only on Rooftop Projects" sqref="AT51" xr:uid="{F8036ADB-7C56-41EA-9085-A953CAA7EE6E}">
      <formula1>OR(C$51=R$7,C$51=R$8,C$51=R$9,C$51=R$10,C$51=R$11)</formula1>
    </dataValidation>
    <dataValidation type="custom" allowBlank="1" showInputMessage="1" showErrorMessage="1" errorTitle="Not Applicable" error="Applicable only on Rooftop Projects" sqref="AV51" xr:uid="{791E7D32-66DC-460D-A2B2-03FB79A6C150}">
      <formula1>OR(C$51=R$7,C$51=R$8,C$51=R$9,C$51=R$10,C$51=R$11)</formula1>
    </dataValidation>
    <dataValidation type="custom" allowBlank="1" showInputMessage="1" showErrorMessage="1" errorTitle="Not Applicable" error="Applicable only on Rooftop Projects" sqref="AX51" xr:uid="{5B905334-025A-41C9-AB1E-5C88FB3CC923}">
      <formula1>OR(C$51=R$7,C$51=R$8,C$51=R$9,C$51=R$10,C$51=R$11)</formula1>
    </dataValidation>
    <dataValidation type="custom" allowBlank="1" showInputMessage="1" showErrorMessage="1" errorTitle="Not Applicable" error="Applicable only on Rooftop Projects" sqref="AY51" xr:uid="{3D56BF05-C762-48FF-A0DC-DD44C78086A0}">
      <formula1>OR(C$51=R$7,C$51=R$8,C$51=R$9,C$51=R$10,C$51=R$11)</formula1>
    </dataValidation>
    <dataValidation type="custom" allowBlank="1" showInputMessage="1" showErrorMessage="1" errorTitle="Not Applicable" error="Applicable only on Rooftop Projects" sqref="AP52" xr:uid="{BBBFFE08-DCF1-477B-818E-C4C0FAC424C0}">
      <formula1>OR(C$52=R$7,C$52=R$8,C$52=R$9,C$52=R$10,C$52=R$11)</formula1>
    </dataValidation>
    <dataValidation type="custom" allowBlank="1" showInputMessage="1" showErrorMessage="1" errorTitle="Not Applicable" error="Applicable only on Rooftop Projects" sqref="AR52" xr:uid="{A18FD443-53CE-44E3-8B23-9C0D2F132183}">
      <formula1>OR(C$52=R$7,C$52=R$8,C$52=R$9,C$52=R$10,C$52=R$11)</formula1>
    </dataValidation>
    <dataValidation type="custom" allowBlank="1" showInputMessage="1" showErrorMessage="1" errorTitle="Not Applicable" error="Applicable only on Rooftop Projects" sqref="AS52" xr:uid="{7448ADCC-382A-4BE4-A2FE-8C6C875E487F}">
      <formula1>OR(C$52=R$7,C$52=R$8,C$52=R$9,C$52=R$10,C$52=R$11)</formula1>
    </dataValidation>
    <dataValidation type="custom" allowBlank="1" showInputMessage="1" showErrorMessage="1" errorTitle="Not Applicable" error="Applicable only on Rooftop Projects" sqref="AT52" xr:uid="{586AEAD7-9CA2-4CE7-A88D-DB86A2FC241A}">
      <formula1>OR(C$52=R$7,C$52=R$8,C$52=R$9,C$52=R$10,C$52=R$11)</formula1>
    </dataValidation>
    <dataValidation type="custom" allowBlank="1" showInputMessage="1" showErrorMessage="1" errorTitle="Not Applicable" error="Applicable only on Rooftop Projects" sqref="AV52" xr:uid="{87DEE871-491D-4D0C-B0B9-D4E0E9B4304A}">
      <formula1>OR(C$52=R$7,C$52=R$8,C$52=R$9,C$52=R$10,C$52=R$11)</formula1>
    </dataValidation>
    <dataValidation type="custom" allowBlank="1" showInputMessage="1" showErrorMessage="1" errorTitle="Not Applicable" error="Applicable only on Rooftop Projects" sqref="AX52" xr:uid="{F06C037E-DD48-4CA0-B0C8-2461255C82A9}">
      <formula1>OR(C$52=R$7,C$52=R$8,C$52=R$9,C$52=R$10,C$52=R$11)</formula1>
    </dataValidation>
    <dataValidation type="custom" allowBlank="1" showInputMessage="1" showErrorMessage="1" errorTitle="Not Applicable" error="Applicable only on Rooftop Projects" sqref="AY52" xr:uid="{912A15CE-7265-4890-814C-14922985E4CF}">
      <formula1>OR(C$52=R$7,C$52=R$8,C$52=R$9,C$52=R$10,C$52=R$11)</formula1>
    </dataValidation>
    <dataValidation type="custom" allowBlank="1" showInputMessage="1" showErrorMessage="1" errorTitle="Not Applicable" error="Applicable only on Rooftop Projects" sqref="AP53" xr:uid="{3973CE35-DE1C-4C5F-9AD4-AD38CC7B64F7}">
      <formula1>OR(C$53=R$7,C$53=R$8,C$53=R$9,C$53=R$10,C$53=R$11)</formula1>
    </dataValidation>
    <dataValidation type="custom" allowBlank="1" showInputMessage="1" showErrorMessage="1" errorTitle="Not Applicable" error="Applicable only on Rooftop Projects" sqref="AR53" xr:uid="{AE343547-857E-46C2-B170-ACFDCD05F0CE}">
      <formula1>OR(C$53=R$7,C$53=R$8,C$53=R$9,C$53=R$10,C$53=R$11)</formula1>
    </dataValidation>
    <dataValidation type="custom" allowBlank="1" showInputMessage="1" showErrorMessage="1" errorTitle="Not Applicable" error="Applicable only on Rooftop Projects" sqref="AS53" xr:uid="{59F6F76F-D953-4E66-A13B-AEC042CB5BC3}">
      <formula1>OR(C$53=R$7,C$53=R$8,C$53=R$9,C$53=R$10,C$53=R$11)</formula1>
    </dataValidation>
    <dataValidation type="custom" allowBlank="1" showInputMessage="1" showErrorMessage="1" errorTitle="Not Applicable" error="Applicable only on Rooftop Projects" sqref="AT53" xr:uid="{105B5901-F167-4491-A839-6DD565975A62}">
      <formula1>OR(C$53=R$7,C$53=R$8,C$53=R$9,C$53=R$10,C$53=R$11)</formula1>
    </dataValidation>
    <dataValidation type="custom" allowBlank="1" showInputMessage="1" showErrorMessage="1" errorTitle="Not Applicable" error="Applicable only on Rooftop Projects" sqref="AV53" xr:uid="{259AE62C-C069-4E7C-9D83-F44ED4CA201D}">
      <formula1>OR(C$53=R$7,C$53=R$8,C$53=R$9,C$53=R$10,C$53=R$11)</formula1>
    </dataValidation>
    <dataValidation type="custom" allowBlank="1" showInputMessage="1" showErrorMessage="1" errorTitle="Not Applicable" error="Applicable only on Rooftop Projects" sqref="AX53" xr:uid="{BEB7ED18-A81D-40AE-9C26-FB10F91C48B5}">
      <formula1>OR(C$53=R$7,C$53=R$8,C$53=R$9,C$53=R$10,C$53=R$11)</formula1>
    </dataValidation>
    <dataValidation type="custom" allowBlank="1" showInputMessage="1" showErrorMessage="1" errorTitle="Not Applicable" error="Applicable only on Rooftop Projects" sqref="AY53" xr:uid="{9D7FB803-87A4-4C22-ADD4-5B38C18E31AB}">
      <formula1>OR(C$53=R$7,C$53=R$8,C$53=R$9,C$53=R$10,C$53=R$11)</formula1>
    </dataValidation>
    <dataValidation type="custom" allowBlank="1" showInputMessage="1" showErrorMessage="1" errorTitle="Not Applicable" error="Applicable only on Rooftop Projects" sqref="AP54" xr:uid="{289C6797-04FB-42BD-AD74-EA4ECA2EA564}">
      <formula1>OR(C$54=R$7,C$54=R$8,C$54=R$9,C$54=R$10,C$54=R$11)</formula1>
    </dataValidation>
    <dataValidation type="custom" allowBlank="1" showInputMessage="1" showErrorMessage="1" errorTitle="Not Applicable" error="Applicable only on Rooftop Projects" sqref="AR54" xr:uid="{ADC13351-0285-44AB-9F14-00D2453FB246}">
      <formula1>OR(C$54=R$7,C$54=R$8,C$54=R$9,C$54=R$10,C$54=R$11)</formula1>
    </dataValidation>
    <dataValidation type="custom" allowBlank="1" showInputMessage="1" showErrorMessage="1" errorTitle="Not Applicable" error="Applicable only on Rooftop Projects" sqref="AS54" xr:uid="{1B82F741-084C-46A0-9B99-CC21346C63F5}">
      <formula1>OR(C$54=R$7,C$54=R$8,C$54=R$9,C$54=R$10,C$54=R$11)</formula1>
    </dataValidation>
    <dataValidation type="custom" allowBlank="1" showInputMessage="1" showErrorMessage="1" errorTitle="Not Applicable" error="Applicable only on Rooftop Projects" sqref="AT54" xr:uid="{F1820FF5-58DA-41AF-9113-7ECEBEC0F767}">
      <formula1>OR(C$54=R$7,C$54=R$8,C$54=R$9,C$54=R$10,C$54=R$11)</formula1>
    </dataValidation>
    <dataValidation type="custom" allowBlank="1" showInputMessage="1" showErrorMessage="1" errorTitle="Not Applicable" error="Applicable only on Rooftop Projects" sqref="AV54" xr:uid="{70CEFB56-272D-459F-B6E1-DC74956C5D40}">
      <formula1>OR(C$54=R$7,C$54=R$8,C$54=R$9,C$54=R$10,C$54=R$11)</formula1>
    </dataValidation>
    <dataValidation type="custom" allowBlank="1" showInputMessage="1" showErrorMessage="1" errorTitle="Not Applicable" error="Applicable only on Rooftop Projects" sqref="AX54" xr:uid="{A649E267-9166-4486-A646-87403F68B709}">
      <formula1>OR(C$54=R$7,C$54=R$8,C$54=R$9,C$54=R$10,C$54=R$11)</formula1>
    </dataValidation>
    <dataValidation type="custom" allowBlank="1" showInputMessage="1" showErrorMessage="1" errorTitle="Not Applicable" error="Applicable only on Rooftop Projects" sqref="AY54" xr:uid="{A1FC7733-0072-44EF-935F-C4407C08ADD6}">
      <formula1>OR(C$54=R$7,C$54=R$8,C$54=R$9,C$54=R$10,C$54=R$11)</formula1>
    </dataValidation>
    <dataValidation type="custom" allowBlank="1" showInputMessage="1" showErrorMessage="1" errorTitle="NA" sqref="AP25" xr:uid="{A85216F2-21E7-48F3-A439-C22E24A3FB49}">
      <formula1>OR(C$25=R$7,C$25=R$8,C$25=R$9,C$25=R$10,C$25=R$11)</formula1>
    </dataValidation>
    <dataValidation type="custom" allowBlank="1" showInputMessage="1" showErrorMessage="1" errorTitle="Not applicable " error="Consider only for shed type of installation" sqref="AW25:AW54" xr:uid="{F495D8CC-7F0E-4F2E-B616-4D5A543750A0}">
      <formula1>OR($C25=$R$7,$C25=$R$8)</formula1>
    </dataValidation>
    <dataValidation type="custom" allowBlank="1" showInputMessage="1" showErrorMessage="1" errorTitle="NA" sqref="AQ25" xr:uid="{B2FCD011-2D12-4F2D-B103-F599E53B3345}">
      <formula1>OR(C$26=R$7,C$26=R$8,C$26=R$9,C$26=R$10,C26=R$11)</formula1>
    </dataValidation>
    <dataValidation type="custom" allowBlank="1" showInputMessage="1" showErrorMessage="1" errorTitle="Not Applicable" error="Applicable only on Rooftop Projects" sqref="AQ26" xr:uid="{F59D2F7F-766D-49CC-B9DF-109FC14BF775}">
      <formula1>OR(C$26=R$7,C$26=R$8,C$26=R$9,C$26=R$10,C26=R$11)</formula1>
    </dataValidation>
    <dataValidation type="custom" allowBlank="1" showInputMessage="1" showErrorMessage="1" errorTitle="Not Applicable" error="Applicable only on Rooftop Projects" sqref="AQ27" xr:uid="{66EDF63C-56BA-421A-A504-58721C27C92A}">
      <formula1>OR(C$26=R$7,C$26=R$8,C$26=R$9,C$26=R$10,C26=R$11)</formula1>
    </dataValidation>
    <dataValidation type="custom" allowBlank="1" showInputMessage="1" showErrorMessage="1" errorTitle="Not Applicable" error="Applicable only on Rooftop Projects" sqref="AQ28" xr:uid="{A2806F14-FDB3-4A91-9D95-37EA276646B3}">
      <formula1>OR(C$26=R$7,C$26=R$8,C$26=R$9,C$26=R$10,C26=R$11)</formula1>
    </dataValidation>
    <dataValidation type="custom" allowBlank="1" showInputMessage="1" showErrorMessage="1" errorTitle="Not Applicable" error="Applicable only on Rooftop Projects" sqref="AQ29" xr:uid="{67DA762B-EEF0-49C9-AFAC-D87263CFB6BA}">
      <formula1>OR(C$26=R$7,C$26=R$8,C$26=R$9,C$26=R$10,C26=R$11)</formula1>
    </dataValidation>
    <dataValidation type="custom" allowBlank="1" showInputMessage="1" showErrorMessage="1" errorTitle="Not Applicable" error="Applicable only on Rooftop Projects" sqref="AQ30" xr:uid="{B0655AF0-7046-4455-9E67-5736F9E2225D}">
      <formula1>OR(C$26=R$7,C$26=R$8,C$26=R$9,C$26=R$10,C26=R$11)</formula1>
    </dataValidation>
    <dataValidation type="custom" allowBlank="1" showInputMessage="1" showErrorMessage="1" errorTitle="Not Applicable" error="Applicable only on Rooftop Projects" sqref="AQ31" xr:uid="{E077B30D-92A4-4B42-AD2B-F7148B63302B}">
      <formula1>OR(C$26=R$7,C$26=R$8,C$26=R$9,C$26=R$10,C26=R$11)</formula1>
    </dataValidation>
    <dataValidation type="custom" allowBlank="1" showInputMessage="1" showErrorMessage="1" errorTitle="Not Applicable" error="Applicable only on Rooftop Projects" sqref="AQ32" xr:uid="{6314F41D-4CB4-4E43-B9D4-93A57C068F4E}">
      <formula1>OR(C$26=R$7,C$26=R$8,C$26=R$9,C$26=R$10,C26=R$11)</formula1>
    </dataValidation>
    <dataValidation type="custom" allowBlank="1" showInputMessage="1" showErrorMessage="1" errorTitle="Not Applicable" error="Applicable only on Rooftop Projects" sqref="AQ33" xr:uid="{9B504BCC-55A4-41A2-8882-37325CBB09D3}">
      <formula1>OR(C$26=R$7,C$26=R$8,C$26=R$9,C$26=R$10,C26=R$11)</formula1>
    </dataValidation>
    <dataValidation type="custom" allowBlank="1" showInputMessage="1" showErrorMessage="1" errorTitle="Not Applicable" error="Applicable only on Rooftop Projects" sqref="AQ34" xr:uid="{2800228A-FADE-4812-BFDD-4854B0170838}">
      <formula1>OR(C$26=R$7,C$26=R$8,C$26=R$9,C$26=R$10,C26=R$11)</formula1>
    </dataValidation>
    <dataValidation type="custom" allowBlank="1" showInputMessage="1" showErrorMessage="1" errorTitle="Not Applicable" error="Applicable only on Rooftop Projects" sqref="AQ35" xr:uid="{FA2CE5E5-3C61-46EB-957A-8126C745A48A}">
      <formula1>OR(C$26=R$7,C$26=R$8,C$26=R$9,C$26=R$10,C26=R$11)</formula1>
    </dataValidation>
    <dataValidation type="custom" allowBlank="1" showInputMessage="1" showErrorMessage="1" errorTitle="Not Applicable" error="Applicable only on Rooftop Projects" sqref="AQ36" xr:uid="{131476B9-A136-43E4-9E3E-A032654BBD07}">
      <formula1>OR(C$26=R$7,C$26=R$8,C$26=R$9,C$26=R$10,C26=R$11)</formula1>
    </dataValidation>
    <dataValidation type="custom" allowBlank="1" showInputMessage="1" showErrorMessage="1" errorTitle="Not Applicable" error="Applicable only on Rooftop Projects" sqref="AQ37" xr:uid="{CA23AE7A-CC32-4F6A-B7CD-FB0D858FA8B4}">
      <formula1>OR(C$26=R$7,C$26=R$8,C$26=R$9,C$26=R$10,C26=R$11)</formula1>
    </dataValidation>
    <dataValidation type="custom" allowBlank="1" showInputMessage="1" showErrorMessage="1" errorTitle="Not Applicable" error="Applicable only on Rooftop Projects" sqref="AQ38" xr:uid="{56EEDDE1-EAB9-42FD-B80A-91E4BEDB3869}">
      <formula1>OR(C$26=R$7,C$26=R$8,C$26=R$9,C$26=R$10,C26=R$11)</formula1>
    </dataValidation>
    <dataValidation type="custom" allowBlank="1" showInputMessage="1" showErrorMessage="1" errorTitle="Not Applicable" error="Applicable only on Rooftop Projects" sqref="AQ39" xr:uid="{14E91F28-3787-41FF-969E-A5565A425E13}">
      <formula1>OR(C$26=R$7,C$26=R$8,C$26=R$9,C$26=R$10,C26=R$11)</formula1>
    </dataValidation>
    <dataValidation type="custom" allowBlank="1" showInputMessage="1" showErrorMessage="1" errorTitle="Not Applicable" error="Applicable only on Rooftop Projects" sqref="AQ40" xr:uid="{98494CCD-60D0-4C12-BA48-8BE852F829A3}">
      <formula1>OR(C$26=R$7,C$26=R$8,C$26=R$9,C$26=R$10,C26=R$11)</formula1>
    </dataValidation>
    <dataValidation type="custom" allowBlank="1" showInputMessage="1" showErrorMessage="1" errorTitle="Not Applicable" error="Applicable only on Rooftop Projects" sqref="AQ41" xr:uid="{B0CF52FC-1A74-4A23-ABF6-29BEDA5DDBD7}">
      <formula1>OR(C$26=R$7,C$26=R$8,C$26=R$9,C$26=R$10,C26=R$11)</formula1>
    </dataValidation>
    <dataValidation type="custom" allowBlank="1" showInputMessage="1" showErrorMessage="1" errorTitle="Not Applicable" error="Applicable only on Rooftop Projects" sqref="AQ42" xr:uid="{90ED3F69-7E64-425B-B6DF-3A2CBCFB33BC}">
      <formula1>OR(C$26=R$7,C$26=R$8,C$26=R$9,C$26=R$10,C26=R$11)</formula1>
    </dataValidation>
    <dataValidation type="custom" allowBlank="1" showInputMessage="1" showErrorMessage="1" errorTitle="Not Applicable" error="Applicable only on Rooftop Projects" sqref="AQ43" xr:uid="{21902EF7-988F-4A9F-B8ED-599A8AFEC2F4}">
      <formula1>OR(C$26=R$7,C$26=R$8,C$26=R$9,C$26=R$10,C26=R$11)</formula1>
    </dataValidation>
    <dataValidation type="custom" allowBlank="1" showInputMessage="1" showErrorMessage="1" errorTitle="Not Applicable" error="Applicable only on Rooftop Projects" sqref="AQ44" xr:uid="{7CC75452-D498-44AD-A8F1-96BB6E88AF47}">
      <formula1>OR(C$26=R$7,C$26=R$8,C$26=R$9,C$26=R$10,C26=R$11)</formula1>
    </dataValidation>
    <dataValidation type="custom" allowBlank="1" showInputMessage="1" showErrorMessage="1" errorTitle="Not Applicable" error="Applicable only on Rooftop Projects" sqref="AQ45" xr:uid="{373714E6-3812-4AFA-8D88-6E78FCB0222A}">
      <formula1>OR(C$26=R$7,C$26=R$8,C$26=R$9,C$26=R$10,C26=R$11)</formula1>
    </dataValidation>
    <dataValidation type="custom" allowBlank="1" showInputMessage="1" showErrorMessage="1" errorTitle="Not Applicable" error="Applicable only on Rooftop Projects" sqref="AQ46" xr:uid="{A164A06A-07AB-4B79-9A74-A7C320C5874F}">
      <formula1>OR(C$26=R$7,C$26=R$8,C$26=R$9,C$26=R$10,C26=R$11)</formula1>
    </dataValidation>
    <dataValidation type="custom" allowBlank="1" showInputMessage="1" showErrorMessage="1" errorTitle="Not Applicable" error="Applicable only on Rooftop Projects" sqref="AQ47" xr:uid="{EE082E9C-84F9-4456-B4A5-A0CD881B21D9}">
      <formula1>OR(C$26=R$7,C$26=R$8,C$26=R$9,C$26=R$10,C26=R$11)</formula1>
    </dataValidation>
    <dataValidation type="custom" allowBlank="1" showInputMessage="1" showErrorMessage="1" errorTitle="Not Applicable" error="Applicable only on Rooftop Projects" sqref="AQ48" xr:uid="{486B3C64-C037-4701-8F99-23A5B7EE82D6}">
      <formula1>OR(C$26=R$7,C$26=R$8,C$26=R$9,C$26=R$10,C26=R$11)</formula1>
    </dataValidation>
    <dataValidation type="custom" allowBlank="1" showInputMessage="1" showErrorMessage="1" errorTitle="Not Applicable" error="Applicable only on Rooftop Projects" sqref="AQ49" xr:uid="{84427012-6760-4447-9590-7F1F46C905B0}">
      <formula1>OR(C$26=R$7,C$26=R$8,C$26=R$9,C$26=R$10,C26=R$11)</formula1>
    </dataValidation>
    <dataValidation type="custom" allowBlank="1" showInputMessage="1" showErrorMessage="1" errorTitle="Not Applicable" error="Applicable only on Rooftop Projects" sqref="AQ50" xr:uid="{521D25AB-CE93-4752-AA9B-A85301EB9861}">
      <formula1>OR(C$26=R$7,C$26=R$8,C$26=R$9,C$26=R$10,C26=R$11)</formula1>
    </dataValidation>
    <dataValidation type="custom" allowBlank="1" showInputMessage="1" showErrorMessage="1" errorTitle="Not Applicable" error="Applicable only on Rooftop Projects" sqref="AQ51" xr:uid="{1B2A2A77-0E5B-4748-84E8-10B8FC71019E}">
      <formula1>OR(C$26=R$7,C$26=R$8,C$26=R$9,C$26=R$10,C26=R$11)</formula1>
    </dataValidation>
    <dataValidation type="custom" allowBlank="1" showInputMessage="1" showErrorMessage="1" errorTitle="Not Applicable" error="Applicable only on Rooftop Projects" sqref="AQ52" xr:uid="{A934DA20-282A-41CF-B677-44E0F4D31A8C}">
      <formula1>OR(C$26=R$7,C$26=R$8,C$26=R$9,C$26=R$10,C26=R$11)</formula1>
    </dataValidation>
    <dataValidation type="custom" allowBlank="1" showInputMessage="1" showErrorMessage="1" errorTitle="Not Applicable" error="Applicable only on Rooftop Projects" sqref="AQ53" xr:uid="{2E2A0B7E-A61D-4823-A0A3-FF915CA03FC5}">
      <formula1>OR(C$26=R$7,C$26=R$8,C$26=R$9,C$26=R$10,C26=R$11)</formula1>
    </dataValidation>
    <dataValidation type="custom" allowBlank="1" showInputMessage="1" showErrorMessage="1" errorTitle="Not Applicable" error="Applicable only on Rooftop Projects" sqref="AQ54" xr:uid="{2BEF20FB-7831-4C65-9728-F75ABC27506D}">
      <formula1>OR(C$26=R$7,C$26=R$8,C$26=R$9,C$26=R$10,C26=R$11)</formula1>
    </dataValidation>
    <dataValidation type="list" allowBlank="1" showInputMessage="1" showErrorMessage="1" sqref="G21" xr:uid="{2BBF3E6C-E906-4BC7-A28C-7A0A4F1D79E9}">
      <formula1>$Y$168:$Y$170</formula1>
    </dataValidation>
  </dataValidations>
  <hyperlinks>
    <hyperlink ref="Z21" location="'Input''s from Initial Design'!B590" display="Click check the Earth strip selection" xr:uid="{3488A52F-1340-45E1-AD08-EF3BEABC0290}"/>
    <hyperlink ref="J418" location="'Bidcell BOM (LTS)'!H43" display="'Bidcell BOM (LTS)'!H43" xr:uid="{85D53470-6BE0-4FEE-B0ED-7E3B9167C62C}"/>
    <hyperlink ref="J418:K418" location="'Input''s from Initial Design'!AC19" display="Back to top the of sheet" xr:uid="{EE56CD67-CA55-4B0B-965C-F6C2EDCA2283}"/>
    <hyperlink ref="Z21:AF21" location="'Input''s from Initial Design'!A425" display="Click to check the Earth strip selection" xr:uid="{64724C8F-2283-426E-9793-37EAD99392F1}"/>
  </hyperlinks>
  <pageMargins left="0.7" right="0.7" top="0.75" bottom="0.75" header="0.3" footer="0.3"/>
  <pageSetup scale="11"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96" id="{299ADF44-6969-472C-A617-9F7F129518E3}">
            <xm:f>'Site Vist fomat  (Design)'!$B$26=0</xm:f>
            <x14:dxf>
              <font>
                <color theme="0"/>
              </font>
              <fill>
                <patternFill>
                  <bgColor theme="0"/>
                </patternFill>
              </fill>
              <border>
                <left/>
                <right/>
                <top/>
                <bottom/>
                <vertical/>
                <horizontal/>
              </border>
            </x14:dxf>
          </x14:cfRule>
          <xm:sqref>A21:L21 R18:Y20 O21 R21:AG22 A22:P22</xm:sqref>
        </x14:conditionalFormatting>
        <x14:conditionalFormatting xmlns:xm="http://schemas.microsoft.com/office/excel/2006/main">
          <x14:cfRule type="expression" priority="534" id="{102DC9EE-B74D-4CAE-A4F2-FF5CDFBF9335}">
            <xm:f>'Site Vist fomat  (Design)'!$B$26&lt;=0.9</xm:f>
            <x14:dxf>
              <fill>
                <patternFill patternType="lightTrellis">
                  <fgColor theme="5" tint="-0.24994659260841701"/>
                </patternFill>
              </fill>
            </x14:dxf>
          </x14:cfRule>
          <xm:sqref>F21:G21 F22</xm:sqref>
        </x14:conditionalFormatting>
        <x14:conditionalFormatting xmlns:xm="http://schemas.microsoft.com/office/excel/2006/main">
          <x14:cfRule type="expression" priority="166" id="{0BFE475D-804F-46F5-B22C-E70F69129654}">
            <xm:f>'Site Vist fomat  (Design)'!$B$24=0</xm:f>
            <x14:dxf>
              <font>
                <color theme="0"/>
              </font>
              <fill>
                <patternFill>
                  <bgColor theme="0"/>
                </patternFill>
              </fill>
              <border>
                <left/>
                <right/>
                <top/>
                <bottom/>
                <vertical/>
                <horizontal/>
              </border>
            </x14:dxf>
          </x14:cfRule>
          <xm:sqref>F6:K6</xm:sqref>
        </x14:conditionalFormatting>
        <x14:conditionalFormatting xmlns:xm="http://schemas.microsoft.com/office/excel/2006/main">
          <x14:cfRule type="expression" priority="165" id="{2F08BBF3-B7CC-472A-81F9-F402F17BBE68}">
            <xm:f>'Input''s from BD(Sales)'!$B$33&lt;&gt;'Input''s from BD(Sales)'!$A$147</xm:f>
            <x14:dxf>
              <fill>
                <patternFill patternType="lightTrellis">
                  <fgColor theme="9" tint="-0.24994659260841701"/>
                  <bgColor theme="9" tint="0.39994506668294322"/>
                </patternFill>
              </fill>
            </x14:dxf>
          </x14:cfRule>
          <xm:sqref>AZ25:AZ54</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E743C083-713B-4B04-BDCA-C6C202CE17EF}">
          <x14:formula1>
            <xm:f>'Bidcell BOM (LTS)'!$A$594:$A$595</xm:f>
          </x14:formula1>
          <xm:sqref>O21</xm:sqref>
        </x14:dataValidation>
        <x14:dataValidation type="custom" operator="notEqual" allowBlank="1" showInputMessage="1" showErrorMessage="1" error="Pls fill the no of service connection in site visis sheet" xr:uid="{0452B48C-CE04-467C-B15E-35B8BD2CB46A}">
          <x14:formula1>
            <xm:f>'Site Vist fomat  (Design)'!B26&gt;0.9</xm:f>
          </x14:formula1>
          <xm:sqref>F22</xm:sqref>
        </x14:dataValidation>
        <x14:dataValidation type="custom" allowBlank="1" showInputMessage="1" showErrorMessage="1" error="Pls fill the no of service connection in site vist sheet" xr:uid="{6579F3BC-4EE5-4397-8DD7-0235B97952CD}">
          <x14:formula1>
            <xm:f>'Site Vist fomat  (Design)'!B26&gt;=0.9</xm:f>
          </x14:formula1>
          <xm:sqref>F21</xm:sqref>
        </x14:dataValidation>
        <x14:dataValidation type="custom" allowBlank="1" showInputMessage="1" showErrorMessage="1" errorTitle="Fill the no. of service connecti" promptTitle="no. of service connection" xr:uid="{0E43C7F1-E75D-455A-A3C4-3D81AC05A9FB}">
          <x14:formula1>
            <xm:f>'Site Vist fomat  (Design)'!B26&gt;=0.99</xm:f>
          </x14:formula1>
          <xm:sqref>F25:F31</xm:sqref>
        </x14:dataValidation>
        <x14:dataValidation type="custom" allowBlank="1" showInputMessage="1" showErrorMessage="1" xr:uid="{2324A60D-273B-4F52-90A1-D1F0812DBDDB}">
          <x14:formula1>
            <xm:f>'Site Vist fomat  (Design)'!B27&gt;=0.9</xm:f>
          </x14:formula1>
          <xm:sqref>F32:F54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729C0-AF08-43BE-B23B-D302AA07EF78}">
  <sheetPr codeName="Sheet7"/>
  <dimension ref="A1:O760"/>
  <sheetViews>
    <sheetView topLeftCell="A134" zoomScale="70" zoomScaleNormal="70" workbookViewId="0">
      <selection activeCell="B21" sqref="B21"/>
    </sheetView>
  </sheetViews>
  <sheetFormatPr defaultColWidth="9.44140625" defaultRowHeight="18"/>
  <cols>
    <col min="1" max="1" width="62.44140625" style="4" bestFit="1" customWidth="1"/>
    <col min="2" max="2" width="16.33203125" style="4" bestFit="1" customWidth="1"/>
    <col min="3" max="5" width="15.44140625" style="4" bestFit="1" customWidth="1"/>
    <col min="6" max="10" width="16.5546875" style="4" bestFit="1" customWidth="1"/>
    <col min="11" max="11" width="17.5546875" style="4" bestFit="1" customWidth="1"/>
    <col min="12" max="12" width="18.5546875" style="4" bestFit="1" customWidth="1"/>
    <col min="13" max="14" width="16.5546875" style="4" bestFit="1" customWidth="1"/>
    <col min="15" max="15" width="9.44140625" style="4"/>
    <col min="16" max="16" width="14" style="4" bestFit="1" customWidth="1"/>
    <col min="17" max="17" width="11.5546875" style="4" bestFit="1" customWidth="1"/>
    <col min="18" max="32" width="9.44140625" style="4"/>
    <col min="33" max="33" width="13.5546875" style="4" bestFit="1" customWidth="1"/>
    <col min="34" max="34" width="9.44140625" style="4"/>
    <col min="35" max="35" width="13.5546875" style="4" bestFit="1" customWidth="1"/>
    <col min="36" max="16384" width="9.44140625" style="4"/>
  </cols>
  <sheetData>
    <row r="1" spans="1:15" s="23" customFormat="1">
      <c r="A1" s="3214" t="s">
        <v>1122</v>
      </c>
      <c r="B1" s="3216"/>
      <c r="C1" s="35">
        <v>16</v>
      </c>
      <c r="D1" s="36">
        <v>25</v>
      </c>
      <c r="E1" s="36">
        <v>35</v>
      </c>
      <c r="F1" s="36">
        <v>50</v>
      </c>
      <c r="G1" s="36">
        <v>70</v>
      </c>
      <c r="H1" s="36">
        <v>95</v>
      </c>
      <c r="I1" s="36">
        <v>120</v>
      </c>
      <c r="J1" s="36">
        <v>150</v>
      </c>
      <c r="K1" s="36">
        <v>185</v>
      </c>
      <c r="L1" s="36">
        <v>240</v>
      </c>
      <c r="M1" s="36">
        <v>300</v>
      </c>
      <c r="N1" s="37">
        <v>400</v>
      </c>
      <c r="O1" s="22"/>
    </row>
    <row r="2" spans="1:15" s="23" customFormat="1" ht="18.600000000000001" thickBot="1">
      <c r="A2" s="3215"/>
      <c r="B2" s="3217"/>
      <c r="C2" s="1978" t="s">
        <v>1123</v>
      </c>
      <c r="D2" s="1979" t="s">
        <v>1124</v>
      </c>
      <c r="E2" s="1979" t="s">
        <v>1125</v>
      </c>
      <c r="F2" s="1979" t="s">
        <v>1126</v>
      </c>
      <c r="G2" s="1979" t="s">
        <v>1127</v>
      </c>
      <c r="H2" s="1979" t="s">
        <v>1128</v>
      </c>
      <c r="I2" s="1979" t="s">
        <v>1129</v>
      </c>
      <c r="J2" s="1979" t="s">
        <v>1130</v>
      </c>
      <c r="K2" s="1979" t="s">
        <v>1131</v>
      </c>
      <c r="L2" s="1979" t="s">
        <v>1132</v>
      </c>
      <c r="M2" s="1979" t="s">
        <v>1133</v>
      </c>
      <c r="N2" s="1980" t="s">
        <v>1134</v>
      </c>
      <c r="O2" s="22"/>
    </row>
    <row r="3" spans="1:15">
      <c r="A3" s="1981" t="s">
        <v>1135</v>
      </c>
      <c r="B3" s="1982"/>
      <c r="C3" s="31">
        <v>74</v>
      </c>
      <c r="D3" s="31">
        <v>94</v>
      </c>
      <c r="E3" s="31">
        <v>113</v>
      </c>
      <c r="F3" s="31">
        <v>133</v>
      </c>
      <c r="G3" s="31">
        <v>164</v>
      </c>
      <c r="H3" s="31">
        <v>196</v>
      </c>
      <c r="I3" s="31">
        <v>223</v>
      </c>
      <c r="J3" s="31">
        <v>249</v>
      </c>
      <c r="K3" s="31">
        <v>282</v>
      </c>
      <c r="L3" s="31">
        <v>326</v>
      </c>
      <c r="M3" s="31">
        <v>367</v>
      </c>
      <c r="N3" s="32">
        <v>418</v>
      </c>
      <c r="O3" s="21"/>
    </row>
    <row r="4" spans="1:15">
      <c r="A4" s="1967" t="s">
        <v>1136</v>
      </c>
      <c r="B4" s="43"/>
      <c r="C4" s="24">
        <v>74</v>
      </c>
      <c r="D4" s="24">
        <v>96</v>
      </c>
      <c r="E4" s="24">
        <v>117</v>
      </c>
      <c r="F4" s="24">
        <v>142</v>
      </c>
      <c r="G4" s="24">
        <v>179</v>
      </c>
      <c r="H4" s="24">
        <v>221</v>
      </c>
      <c r="I4" s="24">
        <v>257</v>
      </c>
      <c r="J4" s="24">
        <v>292</v>
      </c>
      <c r="K4" s="24">
        <v>337</v>
      </c>
      <c r="L4" s="24">
        <v>399</v>
      </c>
      <c r="M4" s="24">
        <v>455</v>
      </c>
      <c r="N4" s="33">
        <v>530</v>
      </c>
      <c r="O4" s="21"/>
    </row>
    <row r="5" spans="1:15" ht="22.5" customHeight="1">
      <c r="A5" s="1967" t="s">
        <v>1137</v>
      </c>
      <c r="B5" s="42">
        <v>0.7</v>
      </c>
      <c r="C5" s="24">
        <f>B5</f>
        <v>0.7</v>
      </c>
      <c r="D5" s="24">
        <f>C5</f>
        <v>0.7</v>
      </c>
      <c r="E5" s="24">
        <f t="shared" ref="E5:L5" si="0">D5</f>
        <v>0.7</v>
      </c>
      <c r="F5" s="24">
        <f t="shared" si="0"/>
        <v>0.7</v>
      </c>
      <c r="G5" s="24">
        <f t="shared" si="0"/>
        <v>0.7</v>
      </c>
      <c r="H5" s="24">
        <f t="shared" si="0"/>
        <v>0.7</v>
      </c>
      <c r="I5" s="24">
        <f t="shared" si="0"/>
        <v>0.7</v>
      </c>
      <c r="J5" s="24">
        <f t="shared" si="0"/>
        <v>0.7</v>
      </c>
      <c r="K5" s="24">
        <f t="shared" si="0"/>
        <v>0.7</v>
      </c>
      <c r="L5" s="24">
        <f t="shared" si="0"/>
        <v>0.7</v>
      </c>
      <c r="M5" s="24">
        <f>L5</f>
        <v>0.7</v>
      </c>
      <c r="N5" s="33">
        <f>M5</f>
        <v>0.7</v>
      </c>
      <c r="O5" s="21"/>
    </row>
    <row r="6" spans="1:15">
      <c r="A6" s="1967" t="s">
        <v>1138</v>
      </c>
      <c r="B6" s="43"/>
      <c r="C6" s="24">
        <f>C3*C5</f>
        <v>51.8</v>
      </c>
      <c r="D6" s="24">
        <f t="shared" ref="D6:N6" si="1">D3*D5</f>
        <v>65.8</v>
      </c>
      <c r="E6" s="24">
        <f t="shared" si="1"/>
        <v>79.099999999999994</v>
      </c>
      <c r="F6" s="24">
        <f t="shared" si="1"/>
        <v>93.1</v>
      </c>
      <c r="G6" s="24">
        <f t="shared" si="1"/>
        <v>114.8</v>
      </c>
      <c r="H6" s="24">
        <f>H3*H5</f>
        <v>137.19999999999999</v>
      </c>
      <c r="I6" s="24">
        <f t="shared" si="1"/>
        <v>156.1</v>
      </c>
      <c r="J6" s="24">
        <f t="shared" si="1"/>
        <v>174.29999999999998</v>
      </c>
      <c r="K6" s="24">
        <f t="shared" si="1"/>
        <v>197.39999999999998</v>
      </c>
      <c r="L6" s="24">
        <f t="shared" si="1"/>
        <v>228.2</v>
      </c>
      <c r="M6" s="24">
        <f t="shared" si="1"/>
        <v>256.89999999999998</v>
      </c>
      <c r="N6" s="33">
        <f t="shared" si="1"/>
        <v>292.59999999999997</v>
      </c>
      <c r="O6" s="21"/>
    </row>
    <row r="7" spans="1:15">
      <c r="A7" s="1967" t="s">
        <v>1139</v>
      </c>
      <c r="B7" s="43"/>
      <c r="C7" s="24">
        <f>C4*C5</f>
        <v>51.8</v>
      </c>
      <c r="D7" s="24">
        <f>D4*D5</f>
        <v>67.199999999999989</v>
      </c>
      <c r="E7" s="24">
        <f t="shared" ref="E7:N7" si="2">E4*E5</f>
        <v>81.899999999999991</v>
      </c>
      <c r="F7" s="24">
        <f t="shared" si="2"/>
        <v>99.399999999999991</v>
      </c>
      <c r="G7" s="24">
        <f t="shared" si="2"/>
        <v>125.3</v>
      </c>
      <c r="H7" s="24">
        <f>H4*H5</f>
        <v>154.69999999999999</v>
      </c>
      <c r="I7" s="24">
        <f t="shared" si="2"/>
        <v>179.89999999999998</v>
      </c>
      <c r="J7" s="24">
        <f t="shared" si="2"/>
        <v>204.39999999999998</v>
      </c>
      <c r="K7" s="24">
        <f t="shared" si="2"/>
        <v>235.89999999999998</v>
      </c>
      <c r="L7" s="24">
        <f t="shared" si="2"/>
        <v>279.29999999999995</v>
      </c>
      <c r="M7" s="24">
        <f t="shared" si="2"/>
        <v>318.5</v>
      </c>
      <c r="N7" s="33">
        <f t="shared" si="2"/>
        <v>371</v>
      </c>
      <c r="O7" s="21"/>
    </row>
    <row r="8" spans="1:15">
      <c r="A8" s="1967" t="s">
        <v>1140</v>
      </c>
      <c r="B8" s="43"/>
      <c r="C8" s="24">
        <v>2.44</v>
      </c>
      <c r="D8" s="24">
        <v>1.54</v>
      </c>
      <c r="E8" s="24">
        <v>1.1100000000000001</v>
      </c>
      <c r="F8" s="24">
        <v>0.82</v>
      </c>
      <c r="G8" s="24">
        <v>0.56699999999999995</v>
      </c>
      <c r="H8" s="24">
        <v>0.41</v>
      </c>
      <c r="I8" s="24">
        <v>0.32400000000000001</v>
      </c>
      <c r="J8" s="24">
        <v>0.26400000000000001</v>
      </c>
      <c r="K8" s="24">
        <v>0.21</v>
      </c>
      <c r="L8" s="24">
        <v>0.16</v>
      </c>
      <c r="M8" s="24">
        <v>0.128</v>
      </c>
      <c r="N8" s="33">
        <v>0.1</v>
      </c>
      <c r="O8" s="21"/>
    </row>
    <row r="9" spans="1:15">
      <c r="A9" s="1967" t="s">
        <v>1141</v>
      </c>
      <c r="B9" s="43"/>
      <c r="C9" s="24">
        <v>8.0799999999999997E-2</v>
      </c>
      <c r="D9" s="24">
        <v>8.0500000000000002E-2</v>
      </c>
      <c r="E9" s="24">
        <v>7.8299999999999995E-2</v>
      </c>
      <c r="F9" s="24">
        <v>7.4999999999999997E-2</v>
      </c>
      <c r="G9" s="24">
        <v>7.3999999999999996E-2</v>
      </c>
      <c r="H9" s="24">
        <v>7.2400000000000006E-2</v>
      </c>
      <c r="I9" s="24">
        <v>7.1199999999999999E-2</v>
      </c>
      <c r="J9" s="24">
        <v>7.1599999999999997E-2</v>
      </c>
      <c r="K9" s="24">
        <v>7.1800000000000003E-2</v>
      </c>
      <c r="L9" s="24">
        <v>7.0999999999999994E-2</v>
      </c>
      <c r="M9" s="24">
        <v>7.0499999999999993E-2</v>
      </c>
      <c r="N9" s="33">
        <v>7.0400000000000004E-2</v>
      </c>
      <c r="O9" s="21"/>
    </row>
    <row r="10" spans="1:15">
      <c r="A10" s="1968" t="s">
        <v>1142</v>
      </c>
      <c r="B10" s="41">
        <f>A18</f>
        <v>196.82972916229267</v>
      </c>
      <c r="C10" s="24">
        <f t="shared" ref="C10:N12" si="3">B10</f>
        <v>196.82972916229267</v>
      </c>
      <c r="D10" s="24">
        <f t="shared" si="3"/>
        <v>196.82972916229267</v>
      </c>
      <c r="E10" s="24">
        <f t="shared" si="3"/>
        <v>196.82972916229267</v>
      </c>
      <c r="F10" s="24">
        <f t="shared" si="3"/>
        <v>196.82972916229267</v>
      </c>
      <c r="G10" s="24">
        <f t="shared" si="3"/>
        <v>196.82972916229267</v>
      </c>
      <c r="H10" s="24">
        <f t="shared" si="3"/>
        <v>196.82972916229267</v>
      </c>
      <c r="I10" s="24">
        <f t="shared" si="3"/>
        <v>196.82972916229267</v>
      </c>
      <c r="J10" s="24">
        <f t="shared" si="3"/>
        <v>196.82972916229267</v>
      </c>
      <c r="K10" s="24">
        <f t="shared" si="3"/>
        <v>196.82972916229267</v>
      </c>
      <c r="L10" s="24">
        <f t="shared" si="3"/>
        <v>196.82972916229267</v>
      </c>
      <c r="M10" s="24">
        <f t="shared" si="3"/>
        <v>196.82972916229267</v>
      </c>
      <c r="N10" s="33">
        <f t="shared" si="3"/>
        <v>196.82972916229267</v>
      </c>
      <c r="O10" s="21"/>
    </row>
    <row r="11" spans="1:15">
      <c r="A11" s="1968" t="s">
        <v>1143</v>
      </c>
      <c r="B11" s="42">
        <f>'Input''s from Initial Design'!X60</f>
        <v>170</v>
      </c>
      <c r="C11" s="24">
        <f t="shared" si="3"/>
        <v>170</v>
      </c>
      <c r="D11" s="24">
        <f t="shared" si="3"/>
        <v>170</v>
      </c>
      <c r="E11" s="24">
        <f t="shared" si="3"/>
        <v>170</v>
      </c>
      <c r="F11" s="24">
        <f t="shared" si="3"/>
        <v>170</v>
      </c>
      <c r="G11" s="24">
        <f t="shared" si="3"/>
        <v>170</v>
      </c>
      <c r="H11" s="24">
        <f t="shared" si="3"/>
        <v>170</v>
      </c>
      <c r="I11" s="24">
        <f t="shared" si="3"/>
        <v>170</v>
      </c>
      <c r="J11" s="24">
        <f t="shared" si="3"/>
        <v>170</v>
      </c>
      <c r="K11" s="24">
        <f t="shared" si="3"/>
        <v>170</v>
      </c>
      <c r="L11" s="24">
        <f t="shared" si="3"/>
        <v>170</v>
      </c>
      <c r="M11" s="24">
        <f t="shared" si="3"/>
        <v>170</v>
      </c>
      <c r="N11" s="33">
        <f t="shared" si="3"/>
        <v>170</v>
      </c>
      <c r="O11" s="21"/>
    </row>
    <row r="12" spans="1:15">
      <c r="A12" s="1968" t="s">
        <v>1144</v>
      </c>
      <c r="B12" s="42">
        <f>'Input''s from Initial Design'!Y60</f>
        <v>1</v>
      </c>
      <c r="C12" s="24">
        <f t="shared" si="3"/>
        <v>1</v>
      </c>
      <c r="D12" s="24">
        <f t="shared" si="3"/>
        <v>1</v>
      </c>
      <c r="E12" s="24">
        <f t="shared" si="3"/>
        <v>1</v>
      </c>
      <c r="F12" s="24">
        <f t="shared" si="3"/>
        <v>1</v>
      </c>
      <c r="G12" s="24">
        <f t="shared" si="3"/>
        <v>1</v>
      </c>
      <c r="H12" s="24">
        <f t="shared" si="3"/>
        <v>1</v>
      </c>
      <c r="I12" s="24">
        <f t="shared" si="3"/>
        <v>1</v>
      </c>
      <c r="J12" s="24">
        <f t="shared" si="3"/>
        <v>1</v>
      </c>
      <c r="K12" s="24">
        <f t="shared" si="3"/>
        <v>1</v>
      </c>
      <c r="L12" s="24">
        <f t="shared" si="3"/>
        <v>1</v>
      </c>
      <c r="M12" s="24">
        <f t="shared" si="3"/>
        <v>1</v>
      </c>
      <c r="N12" s="33">
        <f t="shared" si="3"/>
        <v>1</v>
      </c>
      <c r="O12" s="21"/>
    </row>
    <row r="13" spans="1:15">
      <c r="A13" s="1968" t="s">
        <v>1145</v>
      </c>
      <c r="B13" s="42">
        <v>415</v>
      </c>
      <c r="C13" s="24">
        <f>+B13</f>
        <v>415</v>
      </c>
      <c r="D13" s="24">
        <f t="shared" ref="D13:N13" si="4">+C13</f>
        <v>415</v>
      </c>
      <c r="E13" s="24">
        <f t="shared" si="4"/>
        <v>415</v>
      </c>
      <c r="F13" s="24">
        <f t="shared" si="4"/>
        <v>415</v>
      </c>
      <c r="G13" s="24">
        <f t="shared" si="4"/>
        <v>415</v>
      </c>
      <c r="H13" s="24">
        <f t="shared" si="4"/>
        <v>415</v>
      </c>
      <c r="I13" s="24">
        <f t="shared" si="4"/>
        <v>415</v>
      </c>
      <c r="J13" s="24">
        <f t="shared" si="4"/>
        <v>415</v>
      </c>
      <c r="K13" s="24">
        <f t="shared" si="4"/>
        <v>415</v>
      </c>
      <c r="L13" s="24">
        <f t="shared" si="4"/>
        <v>415</v>
      </c>
      <c r="M13" s="24">
        <f t="shared" si="4"/>
        <v>415</v>
      </c>
      <c r="N13" s="33">
        <f t="shared" si="4"/>
        <v>415</v>
      </c>
      <c r="O13" s="21"/>
    </row>
    <row r="14" spans="1:15">
      <c r="A14" s="1967" t="s">
        <v>1146</v>
      </c>
      <c r="B14" s="43"/>
      <c r="C14" s="25">
        <f t="shared" ref="C14:N14" si="5">1.732*C10*(C8/1000*1+C9/1000*0)*C11/C12</f>
        <v>141.40909090909088</v>
      </c>
      <c r="D14" s="25">
        <f t="shared" si="5"/>
        <v>89.25</v>
      </c>
      <c r="E14" s="25">
        <f t="shared" si="5"/>
        <v>64.329545454545453</v>
      </c>
      <c r="F14" s="25">
        <f t="shared" si="5"/>
        <v>47.522727272727273</v>
      </c>
      <c r="G14" s="25">
        <f t="shared" si="5"/>
        <v>32.860227272727265</v>
      </c>
      <c r="H14" s="25">
        <f t="shared" si="5"/>
        <v>23.761363636363637</v>
      </c>
      <c r="I14" s="25">
        <f t="shared" si="5"/>
        <v>18.777272727272724</v>
      </c>
      <c r="J14" s="25">
        <f t="shared" si="5"/>
        <v>15.299999999999999</v>
      </c>
      <c r="K14" s="25">
        <f t="shared" si="5"/>
        <v>12.170454545454543</v>
      </c>
      <c r="L14" s="25">
        <f t="shared" si="5"/>
        <v>9.2727272727272716</v>
      </c>
      <c r="M14" s="25">
        <f t="shared" si="5"/>
        <v>7.418181818181818</v>
      </c>
      <c r="N14" s="34">
        <f t="shared" si="5"/>
        <v>5.795454545454545</v>
      </c>
      <c r="O14" s="21"/>
    </row>
    <row r="15" spans="1:15">
      <c r="A15" s="1967" t="s">
        <v>1147</v>
      </c>
      <c r="B15" s="43"/>
      <c r="C15" s="1965">
        <f>C14/C13</f>
        <v>0.34074479737130331</v>
      </c>
      <c r="D15" s="1965">
        <f t="shared" ref="D15:N15" si="6">D14/D13</f>
        <v>0.21506024096385543</v>
      </c>
      <c r="E15" s="1965">
        <f t="shared" si="6"/>
        <v>0.15501095290251918</v>
      </c>
      <c r="F15" s="1965">
        <f t="shared" si="6"/>
        <v>0.11451259583789704</v>
      </c>
      <c r="G15" s="1965">
        <f t="shared" si="6"/>
        <v>7.9181270536692203E-2</v>
      </c>
      <c r="H15" s="1965">
        <f t="shared" si="6"/>
        <v>5.7256297918948519E-2</v>
      </c>
      <c r="I15" s="1965">
        <f t="shared" si="6"/>
        <v>4.5246440306681263E-2</v>
      </c>
      <c r="J15" s="1965">
        <f t="shared" si="6"/>
        <v>3.6867469879518069E-2</v>
      </c>
      <c r="K15" s="1965">
        <f t="shared" si="6"/>
        <v>2.932639649507119E-2</v>
      </c>
      <c r="L15" s="1965">
        <f t="shared" si="6"/>
        <v>2.2343921139101858E-2</v>
      </c>
      <c r="M15" s="1965">
        <f t="shared" si="6"/>
        <v>1.7875136911281488E-2</v>
      </c>
      <c r="N15" s="1969">
        <f t="shared" si="6"/>
        <v>1.3964950711938663E-2</v>
      </c>
      <c r="O15" s="21"/>
    </row>
    <row r="16" spans="1:15">
      <c r="A16" s="1968" t="s">
        <v>1148</v>
      </c>
      <c r="B16" s="1966">
        <v>0.02</v>
      </c>
      <c r="C16" s="24" t="str">
        <f>IF(AND((C10*1.25)&lt;(C6*C12),(C15&lt;$B$16)),"PASS","FAIL")</f>
        <v>FAIL</v>
      </c>
      <c r="D16" s="24" t="str">
        <f>IF(AND((D10*1.25)&lt;(D6*D12),(D15&lt;$B$16)),"PASS","FAIL")</f>
        <v>FAIL</v>
      </c>
      <c r="E16" s="24" t="str">
        <f>IF(AND((E10*1.25)&lt;(E6*E12),(E15&lt;$B$16)),"PASS","FAIL")</f>
        <v>FAIL</v>
      </c>
      <c r="F16" s="24" t="str">
        <f>IF(AND((F10*1.25)&lt;(F6*F12),(F15&lt;$B$16)),"PASS","FAIL")</f>
        <v>FAIL</v>
      </c>
      <c r="G16" s="24" t="str">
        <f>IF(AND((G10*1.25)&lt;(G6*G12),(G15&lt;$B$16)),"PASS","FAIL")</f>
        <v>FAIL</v>
      </c>
      <c r="H16" s="24" t="str">
        <f>IF(AND((H10*1.1)&lt;(H6*H12),(H15&lt;$B$16)),"PASS","FAIL")</f>
        <v>FAIL</v>
      </c>
      <c r="I16" s="24" t="str">
        <f t="shared" ref="I16:N16" si="7">IF(AND((I10*1.25)&lt;(I6*I12),(I15&lt;$B$16)),"PASS","FAIL")</f>
        <v>FAIL</v>
      </c>
      <c r="J16" s="24" t="str">
        <f t="shared" si="7"/>
        <v>FAIL</v>
      </c>
      <c r="K16" s="24" t="str">
        <f t="shared" si="7"/>
        <v>FAIL</v>
      </c>
      <c r="L16" s="24" t="str">
        <f t="shared" si="7"/>
        <v>FAIL</v>
      </c>
      <c r="M16" s="24" t="str">
        <f t="shared" si="7"/>
        <v>PASS</v>
      </c>
      <c r="N16" s="33" t="str">
        <f t="shared" si="7"/>
        <v>PASS</v>
      </c>
      <c r="O16" s="21"/>
    </row>
    <row r="17" spans="1:15" ht="18.600000000000001" thickBot="1">
      <c r="A17" s="1970" t="s">
        <v>1149</v>
      </c>
      <c r="B17" s="1971"/>
      <c r="C17" s="1972" t="str">
        <f t="shared" ref="C17:N17" si="8">IF(AND((C10*1.25)&lt;(C7*C12),(C15&lt;$B$16)),"PASS","FAIL")</f>
        <v>FAIL</v>
      </c>
      <c r="D17" s="1972" t="str">
        <f t="shared" si="8"/>
        <v>FAIL</v>
      </c>
      <c r="E17" s="1972" t="str">
        <f t="shared" si="8"/>
        <v>FAIL</v>
      </c>
      <c r="F17" s="1972" t="str">
        <f t="shared" si="8"/>
        <v>FAIL</v>
      </c>
      <c r="G17" s="1972" t="str">
        <f t="shared" si="8"/>
        <v>FAIL</v>
      </c>
      <c r="H17" s="1972" t="str">
        <f t="shared" si="8"/>
        <v>FAIL</v>
      </c>
      <c r="I17" s="1972" t="str">
        <f t="shared" si="8"/>
        <v>FAIL</v>
      </c>
      <c r="J17" s="1972" t="str">
        <f t="shared" si="8"/>
        <v>FAIL</v>
      </c>
      <c r="K17" s="1972" t="str">
        <f t="shared" si="8"/>
        <v>FAIL</v>
      </c>
      <c r="L17" s="1972" t="str">
        <f t="shared" si="8"/>
        <v>FAIL</v>
      </c>
      <c r="M17" s="1972" t="str">
        <f t="shared" si="8"/>
        <v>PASS</v>
      </c>
      <c r="N17" s="1973" t="str">
        <f t="shared" si="8"/>
        <v>PASS</v>
      </c>
      <c r="O17" s="21"/>
    </row>
    <row r="18" spans="1:15">
      <c r="A18" s="1963">
        <f>('Input''s from Initial Design'!W60*1000/(1.732*440*1))</f>
        <v>196.82972916229267</v>
      </c>
      <c r="B18" s="1964" t="s">
        <v>1150</v>
      </c>
      <c r="C18" s="26"/>
      <c r="D18" s="3213"/>
      <c r="E18" s="3213"/>
      <c r="F18" s="3213"/>
      <c r="G18" s="21"/>
      <c r="H18" s="21"/>
      <c r="I18" s="21"/>
      <c r="J18" s="21"/>
    </row>
    <row r="19" spans="1:15">
      <c r="A19" s="21"/>
      <c r="B19" s="21"/>
      <c r="C19" s="26"/>
      <c r="D19" s="21"/>
      <c r="E19" s="21">
        <v>1</v>
      </c>
      <c r="F19" s="21"/>
      <c r="G19" s="27"/>
      <c r="H19" s="21"/>
      <c r="I19" s="21"/>
      <c r="J19" s="21"/>
    </row>
    <row r="20" spans="1:15">
      <c r="A20" s="28" t="s">
        <v>1148</v>
      </c>
      <c r="B20" s="29">
        <f>IF(C16="FAIL",IF(D16="FAIL",IF(E16="FAIL",IF(F16="FAIL",IF(G16="FAIL",IF(H16="FAIL",IF(I16="FAIL",IF(J16="FAIL",IF(K16="FAIL",IF(L16="FAIL",IF(M16="FAIL","NO MATCH",$M$1),$L$1),$K$1),$J$1),$I$1),$H$1),$G$1),$F$1),$E$1),$D$1),$C$1)</f>
        <v>300</v>
      </c>
      <c r="C20" s="30" t="s">
        <v>1151</v>
      </c>
      <c r="D20" s="21"/>
      <c r="E20" s="21"/>
      <c r="F20" s="21"/>
      <c r="G20" s="21"/>
      <c r="H20" s="26"/>
      <c r="I20" s="21"/>
      <c r="J20" s="21"/>
      <c r="K20" s="21"/>
      <c r="L20" s="21"/>
      <c r="N20" s="21"/>
      <c r="O20" s="21"/>
    </row>
    <row r="21" spans="1:15">
      <c r="A21" s="28" t="s">
        <v>1149</v>
      </c>
      <c r="B21" s="29">
        <f>IF(C17="FAIL",IF(D17="FAIL",IF(E17="FAIL",IF(F17="FAIL",IF(G17="FAIL",IF(H17="FAIL",IF(I17="FAIL",IF(J17="FAIL",IF(K17="FAIL",IF(L17="FAIL",IF(M17="FAIL","NO MATCH",$M$1),$L$1),$K$1),$J$1),$I$1),$H$1),$G$1),$F$1),$E$1),$D$1),$C$1)</f>
        <v>300</v>
      </c>
      <c r="C21" s="30" t="s">
        <v>1151</v>
      </c>
      <c r="D21" s="21"/>
      <c r="E21" s="21"/>
      <c r="F21" s="21"/>
      <c r="G21" s="21"/>
      <c r="H21" s="26"/>
      <c r="I21" s="21"/>
      <c r="J21" s="21"/>
      <c r="K21" s="21"/>
      <c r="L21" s="21"/>
      <c r="N21" s="21"/>
      <c r="O21" s="21"/>
    </row>
    <row r="22" spans="1:15">
      <c r="A22" s="21"/>
      <c r="B22" s="21"/>
      <c r="C22" s="21"/>
      <c r="D22" s="21"/>
      <c r="E22" s="21"/>
      <c r="F22" s="21"/>
      <c r="G22" s="21"/>
      <c r="H22" s="26"/>
      <c r="I22" s="21"/>
      <c r="J22" s="21"/>
      <c r="K22" s="21"/>
      <c r="L22" s="21"/>
      <c r="N22" s="21"/>
      <c r="O22" s="21"/>
    </row>
    <row r="23" spans="1:15" ht="18.600000000000001" thickBot="1"/>
    <row r="24" spans="1:15" s="23" customFormat="1">
      <c r="A24" s="3214" t="s">
        <v>1122</v>
      </c>
      <c r="B24" s="3216"/>
      <c r="C24" s="35">
        <v>16</v>
      </c>
      <c r="D24" s="36">
        <v>25</v>
      </c>
      <c r="E24" s="36">
        <v>35</v>
      </c>
      <c r="F24" s="36">
        <v>50</v>
      </c>
      <c r="G24" s="36">
        <v>70</v>
      </c>
      <c r="H24" s="36">
        <v>95</v>
      </c>
      <c r="I24" s="36">
        <v>120</v>
      </c>
      <c r="J24" s="36">
        <v>150</v>
      </c>
      <c r="K24" s="36">
        <v>185</v>
      </c>
      <c r="L24" s="36">
        <v>240</v>
      </c>
      <c r="M24" s="36">
        <v>300</v>
      </c>
      <c r="N24" s="37">
        <v>400</v>
      </c>
      <c r="O24" s="22"/>
    </row>
    <row r="25" spans="1:15" s="23" customFormat="1" ht="18.600000000000001" thickBot="1">
      <c r="A25" s="3215"/>
      <c r="B25" s="3217"/>
      <c r="C25" s="1978" t="s">
        <v>1123</v>
      </c>
      <c r="D25" s="1979" t="s">
        <v>1124</v>
      </c>
      <c r="E25" s="1979" t="s">
        <v>1125</v>
      </c>
      <c r="F25" s="1979" t="s">
        <v>1126</v>
      </c>
      <c r="G25" s="1979" t="s">
        <v>1127</v>
      </c>
      <c r="H25" s="1979" t="s">
        <v>1128</v>
      </c>
      <c r="I25" s="1979" t="s">
        <v>1129</v>
      </c>
      <c r="J25" s="1979" t="s">
        <v>1130</v>
      </c>
      <c r="K25" s="1979" t="s">
        <v>1131</v>
      </c>
      <c r="L25" s="1979" t="s">
        <v>1132</v>
      </c>
      <c r="M25" s="1979" t="s">
        <v>1133</v>
      </c>
      <c r="N25" s="1980" t="s">
        <v>1134</v>
      </c>
      <c r="O25" s="22"/>
    </row>
    <row r="26" spans="1:15">
      <c r="A26" s="1981" t="s">
        <v>1135</v>
      </c>
      <c r="B26" s="1982"/>
      <c r="C26" s="31">
        <v>74</v>
      </c>
      <c r="D26" s="31">
        <v>94</v>
      </c>
      <c r="E26" s="31">
        <v>113</v>
      </c>
      <c r="F26" s="31">
        <v>133</v>
      </c>
      <c r="G26" s="31">
        <v>164</v>
      </c>
      <c r="H26" s="31">
        <v>196</v>
      </c>
      <c r="I26" s="31">
        <v>223</v>
      </c>
      <c r="J26" s="31">
        <v>249</v>
      </c>
      <c r="K26" s="31">
        <v>282</v>
      </c>
      <c r="L26" s="31">
        <v>326</v>
      </c>
      <c r="M26" s="31">
        <v>367</v>
      </c>
      <c r="N26" s="32">
        <v>418</v>
      </c>
      <c r="O26" s="21"/>
    </row>
    <row r="27" spans="1:15">
      <c r="A27" s="1967" t="s">
        <v>1136</v>
      </c>
      <c r="B27" s="43"/>
      <c r="C27" s="24">
        <v>74</v>
      </c>
      <c r="D27" s="24">
        <v>96</v>
      </c>
      <c r="E27" s="24">
        <v>117</v>
      </c>
      <c r="F27" s="24">
        <v>142</v>
      </c>
      <c r="G27" s="24">
        <v>179</v>
      </c>
      <c r="H27" s="24">
        <v>221</v>
      </c>
      <c r="I27" s="24">
        <v>257</v>
      </c>
      <c r="J27" s="24">
        <v>292</v>
      </c>
      <c r="K27" s="24">
        <v>337</v>
      </c>
      <c r="L27" s="24">
        <v>399</v>
      </c>
      <c r="M27" s="24">
        <v>455</v>
      </c>
      <c r="N27" s="33">
        <v>530</v>
      </c>
      <c r="O27" s="21"/>
    </row>
    <row r="28" spans="1:15" ht="22.5" customHeight="1">
      <c r="A28" s="1967" t="s">
        <v>1137</v>
      </c>
      <c r="B28" s="42">
        <v>0.7</v>
      </c>
      <c r="C28" s="24">
        <f>B28</f>
        <v>0.7</v>
      </c>
      <c r="D28" s="24">
        <f>C28</f>
        <v>0.7</v>
      </c>
      <c r="E28" s="24">
        <f t="shared" ref="E28" si="9">D28</f>
        <v>0.7</v>
      </c>
      <c r="F28" s="24">
        <f t="shared" ref="F28" si="10">E28</f>
        <v>0.7</v>
      </c>
      <c r="G28" s="24">
        <f t="shared" ref="G28" si="11">F28</f>
        <v>0.7</v>
      </c>
      <c r="H28" s="24">
        <f t="shared" ref="H28" si="12">G28</f>
        <v>0.7</v>
      </c>
      <c r="I28" s="24">
        <f t="shared" ref="I28" si="13">H28</f>
        <v>0.7</v>
      </c>
      <c r="J28" s="24">
        <f t="shared" ref="J28" si="14">I28</f>
        <v>0.7</v>
      </c>
      <c r="K28" s="24">
        <f t="shared" ref="K28" si="15">J28</f>
        <v>0.7</v>
      </c>
      <c r="L28" s="24">
        <f t="shared" ref="L28" si="16">K28</f>
        <v>0.7</v>
      </c>
      <c r="M28" s="24">
        <f>L28</f>
        <v>0.7</v>
      </c>
      <c r="N28" s="33">
        <f>M28</f>
        <v>0.7</v>
      </c>
      <c r="O28" s="21"/>
    </row>
    <row r="29" spans="1:15">
      <c r="A29" s="1967" t="s">
        <v>1138</v>
      </c>
      <c r="B29" s="43"/>
      <c r="C29" s="24">
        <f>C26*C28</f>
        <v>51.8</v>
      </c>
      <c r="D29" s="24">
        <f t="shared" ref="D29:G29" si="17">D26*D28</f>
        <v>65.8</v>
      </c>
      <c r="E29" s="24">
        <f t="shared" si="17"/>
        <v>79.099999999999994</v>
      </c>
      <c r="F29" s="24">
        <f t="shared" si="17"/>
        <v>93.1</v>
      </c>
      <c r="G29" s="24">
        <f t="shared" si="17"/>
        <v>114.8</v>
      </c>
      <c r="H29" s="24">
        <f>H26*H28</f>
        <v>137.19999999999999</v>
      </c>
      <c r="I29" s="24">
        <f t="shared" ref="I29:N29" si="18">I26*I28</f>
        <v>156.1</v>
      </c>
      <c r="J29" s="24">
        <f t="shared" si="18"/>
        <v>174.29999999999998</v>
      </c>
      <c r="K29" s="24">
        <f t="shared" si="18"/>
        <v>197.39999999999998</v>
      </c>
      <c r="L29" s="24">
        <f t="shared" si="18"/>
        <v>228.2</v>
      </c>
      <c r="M29" s="24">
        <f t="shared" si="18"/>
        <v>256.89999999999998</v>
      </c>
      <c r="N29" s="33">
        <f t="shared" si="18"/>
        <v>292.59999999999997</v>
      </c>
      <c r="O29" s="21"/>
    </row>
    <row r="30" spans="1:15">
      <c r="A30" s="1967" t="s">
        <v>1139</v>
      </c>
      <c r="B30" s="43"/>
      <c r="C30" s="24">
        <f>C27*C28</f>
        <v>51.8</v>
      </c>
      <c r="D30" s="24">
        <f>D27*D28</f>
        <v>67.199999999999989</v>
      </c>
      <c r="E30" s="24">
        <f t="shared" ref="E30:G30" si="19">E27*E28</f>
        <v>81.899999999999991</v>
      </c>
      <c r="F30" s="24">
        <f t="shared" si="19"/>
        <v>99.399999999999991</v>
      </c>
      <c r="G30" s="24">
        <f t="shared" si="19"/>
        <v>125.3</v>
      </c>
      <c r="H30" s="24">
        <f>H27*H28</f>
        <v>154.69999999999999</v>
      </c>
      <c r="I30" s="24">
        <f t="shared" ref="I30:N30" si="20">I27*I28</f>
        <v>179.89999999999998</v>
      </c>
      <c r="J30" s="24">
        <f t="shared" si="20"/>
        <v>204.39999999999998</v>
      </c>
      <c r="K30" s="24">
        <f t="shared" si="20"/>
        <v>235.89999999999998</v>
      </c>
      <c r="L30" s="24">
        <f t="shared" si="20"/>
        <v>279.29999999999995</v>
      </c>
      <c r="M30" s="24">
        <f t="shared" si="20"/>
        <v>318.5</v>
      </c>
      <c r="N30" s="33">
        <f t="shared" si="20"/>
        <v>371</v>
      </c>
      <c r="O30" s="21"/>
    </row>
    <row r="31" spans="1:15">
      <c r="A31" s="1967" t="s">
        <v>1140</v>
      </c>
      <c r="B31" s="43"/>
      <c r="C31" s="24">
        <v>2.44</v>
      </c>
      <c r="D31" s="24">
        <v>1.54</v>
      </c>
      <c r="E31" s="24">
        <v>1.1100000000000001</v>
      </c>
      <c r="F31" s="24">
        <v>0.82</v>
      </c>
      <c r="G31" s="24">
        <v>0.56699999999999995</v>
      </c>
      <c r="H31" s="24">
        <v>0.41</v>
      </c>
      <c r="I31" s="24">
        <v>0.32400000000000001</v>
      </c>
      <c r="J31" s="24">
        <v>0.26400000000000001</v>
      </c>
      <c r="K31" s="24">
        <v>0.21</v>
      </c>
      <c r="L31" s="24">
        <v>0.16</v>
      </c>
      <c r="M31" s="24">
        <v>0.128</v>
      </c>
      <c r="N31" s="33">
        <v>0.1</v>
      </c>
      <c r="O31" s="21"/>
    </row>
    <row r="32" spans="1:15">
      <c r="A32" s="1967" t="s">
        <v>1141</v>
      </c>
      <c r="B32" s="43"/>
      <c r="C32" s="24">
        <v>8.0799999999999997E-2</v>
      </c>
      <c r="D32" s="24">
        <v>8.0500000000000002E-2</v>
      </c>
      <c r="E32" s="24">
        <v>7.8299999999999995E-2</v>
      </c>
      <c r="F32" s="24">
        <v>7.4999999999999997E-2</v>
      </c>
      <c r="G32" s="24">
        <v>7.3999999999999996E-2</v>
      </c>
      <c r="H32" s="24">
        <v>7.2400000000000006E-2</v>
      </c>
      <c r="I32" s="24">
        <v>7.1199999999999999E-2</v>
      </c>
      <c r="J32" s="24">
        <v>7.1599999999999997E-2</v>
      </c>
      <c r="K32" s="24">
        <v>7.1800000000000003E-2</v>
      </c>
      <c r="L32" s="24">
        <v>7.0999999999999994E-2</v>
      </c>
      <c r="M32" s="24">
        <v>7.0499999999999993E-2</v>
      </c>
      <c r="N32" s="33">
        <v>7.0400000000000004E-2</v>
      </c>
      <c r="O32" s="21"/>
    </row>
    <row r="33" spans="1:15" ht="24.75" customHeight="1">
      <c r="A33" s="1968" t="s">
        <v>1142</v>
      </c>
      <c r="B33" s="41">
        <f>A41</f>
        <v>196.82972916229267</v>
      </c>
      <c r="C33" s="24">
        <f t="shared" ref="C33:C35" si="21">B33</f>
        <v>196.82972916229267</v>
      </c>
      <c r="D33" s="24">
        <f t="shared" ref="D33:D35" si="22">C33</f>
        <v>196.82972916229267</v>
      </c>
      <c r="E33" s="24">
        <f t="shared" ref="E33:E35" si="23">D33</f>
        <v>196.82972916229267</v>
      </c>
      <c r="F33" s="24">
        <f t="shared" ref="F33:F35" si="24">E33</f>
        <v>196.82972916229267</v>
      </c>
      <c r="G33" s="24">
        <f t="shared" ref="G33:G35" si="25">F33</f>
        <v>196.82972916229267</v>
      </c>
      <c r="H33" s="24">
        <f t="shared" ref="H33:H35" si="26">G33</f>
        <v>196.82972916229267</v>
      </c>
      <c r="I33" s="24">
        <f t="shared" ref="I33:I35" si="27">H33</f>
        <v>196.82972916229267</v>
      </c>
      <c r="J33" s="24">
        <f t="shared" ref="J33:J35" si="28">I33</f>
        <v>196.82972916229267</v>
      </c>
      <c r="K33" s="24">
        <f t="shared" ref="K33:K35" si="29">J33</f>
        <v>196.82972916229267</v>
      </c>
      <c r="L33" s="24">
        <f t="shared" ref="L33:L35" si="30">K33</f>
        <v>196.82972916229267</v>
      </c>
      <c r="M33" s="24">
        <f t="shared" ref="M33:M35" si="31">L33</f>
        <v>196.82972916229267</v>
      </c>
      <c r="N33" s="33">
        <f t="shared" ref="N33:N35" si="32">M33</f>
        <v>196.82972916229267</v>
      </c>
      <c r="O33" s="21"/>
    </row>
    <row r="34" spans="1:15">
      <c r="A34" s="1968" t="s">
        <v>1143</v>
      </c>
      <c r="B34" s="42">
        <f>'Input''s from Initial Design'!X62</f>
        <v>220</v>
      </c>
      <c r="C34" s="24">
        <f t="shared" si="21"/>
        <v>220</v>
      </c>
      <c r="D34" s="24">
        <f t="shared" si="22"/>
        <v>220</v>
      </c>
      <c r="E34" s="24">
        <f t="shared" si="23"/>
        <v>220</v>
      </c>
      <c r="F34" s="24">
        <f t="shared" si="24"/>
        <v>220</v>
      </c>
      <c r="G34" s="24">
        <f t="shared" si="25"/>
        <v>220</v>
      </c>
      <c r="H34" s="24">
        <f t="shared" si="26"/>
        <v>220</v>
      </c>
      <c r="I34" s="24">
        <f t="shared" si="27"/>
        <v>220</v>
      </c>
      <c r="J34" s="24">
        <f t="shared" si="28"/>
        <v>220</v>
      </c>
      <c r="K34" s="24">
        <f t="shared" si="29"/>
        <v>220</v>
      </c>
      <c r="L34" s="24">
        <f t="shared" si="30"/>
        <v>220</v>
      </c>
      <c r="M34" s="24">
        <f t="shared" si="31"/>
        <v>220</v>
      </c>
      <c r="N34" s="33">
        <f t="shared" si="32"/>
        <v>220</v>
      </c>
      <c r="O34" s="21"/>
    </row>
    <row r="35" spans="1:15">
      <c r="A35" s="1968" t="s">
        <v>1144</v>
      </c>
      <c r="B35" s="42">
        <f>'Input''s from Initial Design'!Y62</f>
        <v>2</v>
      </c>
      <c r="C35" s="24">
        <f t="shared" si="21"/>
        <v>2</v>
      </c>
      <c r="D35" s="24">
        <f t="shared" si="22"/>
        <v>2</v>
      </c>
      <c r="E35" s="24">
        <f t="shared" si="23"/>
        <v>2</v>
      </c>
      <c r="F35" s="24">
        <f t="shared" si="24"/>
        <v>2</v>
      </c>
      <c r="G35" s="24">
        <f t="shared" si="25"/>
        <v>2</v>
      </c>
      <c r="H35" s="24">
        <f t="shared" si="26"/>
        <v>2</v>
      </c>
      <c r="I35" s="24">
        <f t="shared" si="27"/>
        <v>2</v>
      </c>
      <c r="J35" s="24">
        <f t="shared" si="28"/>
        <v>2</v>
      </c>
      <c r="K35" s="24">
        <f t="shared" si="29"/>
        <v>2</v>
      </c>
      <c r="L35" s="24">
        <f t="shared" si="30"/>
        <v>2</v>
      </c>
      <c r="M35" s="24">
        <f t="shared" si="31"/>
        <v>2</v>
      </c>
      <c r="N35" s="33">
        <f t="shared" si="32"/>
        <v>2</v>
      </c>
      <c r="O35" s="21"/>
    </row>
    <row r="36" spans="1:15">
      <c r="A36" s="1968" t="s">
        <v>1145</v>
      </c>
      <c r="B36" s="42">
        <v>415</v>
      </c>
      <c r="C36" s="24">
        <f>+B36</f>
        <v>415</v>
      </c>
      <c r="D36" s="24">
        <f t="shared" ref="D36" si="33">+C36</f>
        <v>415</v>
      </c>
      <c r="E36" s="24">
        <f t="shared" ref="E36" si="34">+D36</f>
        <v>415</v>
      </c>
      <c r="F36" s="24">
        <f t="shared" ref="F36" si="35">+E36</f>
        <v>415</v>
      </c>
      <c r="G36" s="24">
        <f t="shared" ref="G36" si="36">+F36</f>
        <v>415</v>
      </c>
      <c r="H36" s="24">
        <f t="shared" ref="H36" si="37">+G36</f>
        <v>415</v>
      </c>
      <c r="I36" s="24">
        <f t="shared" ref="I36" si="38">+H36</f>
        <v>415</v>
      </c>
      <c r="J36" s="24">
        <f t="shared" ref="J36" si="39">+I36</f>
        <v>415</v>
      </c>
      <c r="K36" s="24">
        <f t="shared" ref="K36" si="40">+J36</f>
        <v>415</v>
      </c>
      <c r="L36" s="24">
        <f t="shared" ref="L36" si="41">+K36</f>
        <v>415</v>
      </c>
      <c r="M36" s="24">
        <f t="shared" ref="M36" si="42">+L36</f>
        <v>415</v>
      </c>
      <c r="N36" s="33">
        <f t="shared" ref="N36" si="43">+M36</f>
        <v>415</v>
      </c>
      <c r="O36" s="21"/>
    </row>
    <row r="37" spans="1:15">
      <c r="A37" s="1967" t="s">
        <v>1146</v>
      </c>
      <c r="B37" s="43"/>
      <c r="C37" s="25">
        <f t="shared" ref="C37:N37" si="44">1.732*C33*(C31/1000*1+C32/1000*0)*C34/C35</f>
        <v>91.499999999999986</v>
      </c>
      <c r="D37" s="25">
        <f t="shared" si="44"/>
        <v>57.75</v>
      </c>
      <c r="E37" s="25">
        <f t="shared" si="44"/>
        <v>41.625</v>
      </c>
      <c r="F37" s="25">
        <f t="shared" si="44"/>
        <v>30.75</v>
      </c>
      <c r="G37" s="25">
        <f t="shared" si="44"/>
        <v>21.262499999999996</v>
      </c>
      <c r="H37" s="25">
        <f t="shared" si="44"/>
        <v>15.375</v>
      </c>
      <c r="I37" s="25">
        <f t="shared" si="44"/>
        <v>12.149999999999999</v>
      </c>
      <c r="J37" s="25">
        <f t="shared" si="44"/>
        <v>9.9</v>
      </c>
      <c r="K37" s="25">
        <f t="shared" si="44"/>
        <v>7.8749999999999991</v>
      </c>
      <c r="L37" s="25">
        <f t="shared" si="44"/>
        <v>6</v>
      </c>
      <c r="M37" s="25">
        <f t="shared" si="44"/>
        <v>4.8</v>
      </c>
      <c r="N37" s="34">
        <f t="shared" si="44"/>
        <v>3.7499999999999996</v>
      </c>
      <c r="O37" s="21"/>
    </row>
    <row r="38" spans="1:15">
      <c r="A38" s="1967" t="s">
        <v>1147</v>
      </c>
      <c r="B38" s="43"/>
      <c r="C38" s="1965">
        <f>C37/C36</f>
        <v>0.22048192771084335</v>
      </c>
      <c r="D38" s="1965">
        <f t="shared" ref="D38:N38" si="45">D37/D36</f>
        <v>0.13915662650602409</v>
      </c>
      <c r="E38" s="1965">
        <f t="shared" si="45"/>
        <v>0.10030120481927711</v>
      </c>
      <c r="F38" s="1965">
        <f t="shared" si="45"/>
        <v>7.4096385542168672E-2</v>
      </c>
      <c r="G38" s="1965">
        <f t="shared" si="45"/>
        <v>5.1234939759036133E-2</v>
      </c>
      <c r="H38" s="1965">
        <f t="shared" si="45"/>
        <v>3.7048192771084336E-2</v>
      </c>
      <c r="I38" s="1965">
        <f t="shared" si="45"/>
        <v>2.9277108433734936E-2</v>
      </c>
      <c r="J38" s="1965">
        <f t="shared" si="45"/>
        <v>2.3855421686746987E-2</v>
      </c>
      <c r="K38" s="1965">
        <f t="shared" si="45"/>
        <v>1.8975903614457831E-2</v>
      </c>
      <c r="L38" s="1965">
        <f t="shared" si="45"/>
        <v>1.4457831325301205E-2</v>
      </c>
      <c r="M38" s="1965">
        <f t="shared" si="45"/>
        <v>1.1566265060240964E-2</v>
      </c>
      <c r="N38" s="1969">
        <f t="shared" si="45"/>
        <v>9.0361445783132526E-3</v>
      </c>
      <c r="O38" s="21"/>
    </row>
    <row r="39" spans="1:15">
      <c r="A39" s="1968" t="s">
        <v>1148</v>
      </c>
      <c r="B39" s="1966">
        <v>0.02</v>
      </c>
      <c r="C39" s="24" t="str">
        <f>IF(AND((C33*1.25)&lt;(C29*C35),(C38&lt;$B$16)),"PASS","FAIL")</f>
        <v>FAIL</v>
      </c>
      <c r="D39" s="24" t="str">
        <f>IF(AND((D33*1.25)&lt;(D29*D35),(D38&lt;$B$16)),"PASS","FAIL")</f>
        <v>FAIL</v>
      </c>
      <c r="E39" s="24" t="str">
        <f>IF(AND((E33*1.25)&lt;(E29*E35),(E38&lt;$B$16)),"PASS","FAIL")</f>
        <v>FAIL</v>
      </c>
      <c r="F39" s="24" t="str">
        <f>IF(AND((F33*1.25)&lt;(F29*F35),(F38&lt;$B$16)),"PASS","FAIL")</f>
        <v>FAIL</v>
      </c>
      <c r="G39" s="24" t="str">
        <f>IF(AND((G33*1.25)&lt;(G29*G35),(G38&lt;$B$16)),"PASS","FAIL")</f>
        <v>FAIL</v>
      </c>
      <c r="H39" s="24" t="str">
        <f>IF(AND((H33*1.1)&lt;(H29*H35),(H38&lt;$B$16)),"PASS","FAIL")</f>
        <v>FAIL</v>
      </c>
      <c r="I39" s="24" t="str">
        <f t="shared" ref="I39:N39" si="46">IF(AND((I33*1.25)&lt;(I29*I35),(I38&lt;$B$16)),"PASS","FAIL")</f>
        <v>FAIL</v>
      </c>
      <c r="J39" s="24" t="str">
        <f t="shared" si="46"/>
        <v>FAIL</v>
      </c>
      <c r="K39" s="24" t="str">
        <f t="shared" si="46"/>
        <v>PASS</v>
      </c>
      <c r="L39" s="24" t="str">
        <f t="shared" si="46"/>
        <v>PASS</v>
      </c>
      <c r="M39" s="24" t="str">
        <f t="shared" si="46"/>
        <v>PASS</v>
      </c>
      <c r="N39" s="33" t="str">
        <f t="shared" si="46"/>
        <v>PASS</v>
      </c>
      <c r="O39" s="21"/>
    </row>
    <row r="40" spans="1:15" ht="18.600000000000001" thickBot="1">
      <c r="A40" s="1970" t="s">
        <v>1149</v>
      </c>
      <c r="B40" s="1971"/>
      <c r="C40" s="1972" t="str">
        <f t="shared" ref="C40:N40" si="47">IF(AND((C33*1.25)&lt;(C30*C35),(C38&lt;$B$16)),"PASS","FAIL")</f>
        <v>FAIL</v>
      </c>
      <c r="D40" s="1972" t="str">
        <f t="shared" si="47"/>
        <v>FAIL</v>
      </c>
      <c r="E40" s="1972" t="str">
        <f t="shared" si="47"/>
        <v>FAIL</v>
      </c>
      <c r="F40" s="1972" t="str">
        <f t="shared" si="47"/>
        <v>FAIL</v>
      </c>
      <c r="G40" s="1972" t="str">
        <f t="shared" si="47"/>
        <v>FAIL</v>
      </c>
      <c r="H40" s="1972" t="str">
        <f t="shared" si="47"/>
        <v>FAIL</v>
      </c>
      <c r="I40" s="1972" t="str">
        <f t="shared" si="47"/>
        <v>FAIL</v>
      </c>
      <c r="J40" s="1972" t="str">
        <f t="shared" si="47"/>
        <v>FAIL</v>
      </c>
      <c r="K40" s="1972" t="str">
        <f t="shared" si="47"/>
        <v>PASS</v>
      </c>
      <c r="L40" s="1972" t="str">
        <f t="shared" si="47"/>
        <v>PASS</v>
      </c>
      <c r="M40" s="1972" t="str">
        <f t="shared" si="47"/>
        <v>PASS</v>
      </c>
      <c r="N40" s="1973" t="str">
        <f t="shared" si="47"/>
        <v>PASS</v>
      </c>
      <c r="O40" s="21"/>
    </row>
    <row r="41" spans="1:15">
      <c r="A41" s="1963">
        <f>('Input''s from Initial Design'!W62*1000/(1.732*440*1))</f>
        <v>196.82972916229267</v>
      </c>
      <c r="B41" s="1964" t="s">
        <v>1150</v>
      </c>
      <c r="C41" s="26"/>
      <c r="D41" s="3213"/>
      <c r="E41" s="3213"/>
      <c r="F41" s="3213"/>
      <c r="G41" s="21"/>
      <c r="H41" s="21"/>
      <c r="I41" s="21"/>
      <c r="J41" s="21"/>
    </row>
    <row r="42" spans="1:15">
      <c r="A42" s="21"/>
      <c r="B42" s="21"/>
      <c r="C42" s="26"/>
      <c r="D42" s="21"/>
      <c r="E42" s="21">
        <v>2</v>
      </c>
      <c r="F42" s="21"/>
      <c r="G42" s="27"/>
      <c r="H42" s="21"/>
      <c r="I42" s="21"/>
      <c r="J42" s="21"/>
    </row>
    <row r="43" spans="1:15">
      <c r="A43" s="28" t="s">
        <v>1148</v>
      </c>
      <c r="B43" s="29">
        <f>IF(C39="FAIL",IF(D39="FAIL",IF(E39="FAIL",IF(F39="FAIL",IF(G39="FAIL",IF(H39="FAIL",IF(I39="FAIL",IF(J39="FAIL",IF(K39="FAIL",IF(L39="FAIL",IF(M39="FAIL","NO MATCH",$M$1),$L$1),$K$1),$J$1),$I$1),$H$1),$G$1),$F$1),$E$1),$D$1),$C$1)</f>
        <v>185</v>
      </c>
      <c r="C43" s="30" t="s">
        <v>1151</v>
      </c>
      <c r="D43" s="21"/>
      <c r="E43" s="21"/>
      <c r="F43" s="21"/>
      <c r="G43" s="21"/>
      <c r="H43" s="26"/>
      <c r="I43" s="21"/>
      <c r="J43" s="21"/>
      <c r="K43" s="21"/>
      <c r="L43" s="21"/>
      <c r="N43" s="21"/>
      <c r="O43" s="21"/>
    </row>
    <row r="44" spans="1:15">
      <c r="A44" s="28" t="s">
        <v>1149</v>
      </c>
      <c r="B44" s="29">
        <f>IF(C40="FAIL",IF(D40="FAIL",IF(E40="FAIL",IF(F40="FAIL",IF(G40="FAIL",IF(H40="FAIL",IF(I40="FAIL",IF(J40="FAIL",IF(K40="FAIL",IF(L40="FAIL",IF(M40="FAIL","NO MATCH",$M$1),$L$1),$K$1),$J$1),$I$1),$H$1),$G$1),$F$1),$E$1),$D$1),$C$1)</f>
        <v>185</v>
      </c>
      <c r="C44" s="30" t="s">
        <v>1151</v>
      </c>
      <c r="D44" s="21"/>
      <c r="E44" s="21"/>
      <c r="F44" s="21"/>
      <c r="G44" s="21"/>
      <c r="H44" s="26"/>
      <c r="I44" s="21"/>
      <c r="J44" s="21"/>
      <c r="K44" s="21"/>
      <c r="L44" s="21"/>
      <c r="N44" s="21"/>
      <c r="O44" s="21"/>
    </row>
    <row r="45" spans="1:15" ht="18.600000000000001" thickBot="1"/>
    <row r="46" spans="1:15" s="23" customFormat="1">
      <c r="A46" s="3214" t="s">
        <v>1122</v>
      </c>
      <c r="B46" s="3216"/>
      <c r="C46" s="35">
        <v>16</v>
      </c>
      <c r="D46" s="36">
        <v>25</v>
      </c>
      <c r="E46" s="36">
        <v>35</v>
      </c>
      <c r="F46" s="36">
        <v>50</v>
      </c>
      <c r="G46" s="36">
        <v>70</v>
      </c>
      <c r="H46" s="36">
        <v>95</v>
      </c>
      <c r="I46" s="36">
        <v>120</v>
      </c>
      <c r="J46" s="36">
        <v>150</v>
      </c>
      <c r="K46" s="36">
        <v>185</v>
      </c>
      <c r="L46" s="36">
        <v>240</v>
      </c>
      <c r="M46" s="36">
        <v>300</v>
      </c>
      <c r="N46" s="37">
        <v>400</v>
      </c>
      <c r="O46" s="22"/>
    </row>
    <row r="47" spans="1:15" s="23" customFormat="1" ht="18.600000000000001" thickBot="1">
      <c r="A47" s="3215"/>
      <c r="B47" s="3217"/>
      <c r="C47" s="1978" t="s">
        <v>1123</v>
      </c>
      <c r="D47" s="1979" t="s">
        <v>1124</v>
      </c>
      <c r="E47" s="1979" t="s">
        <v>1125</v>
      </c>
      <c r="F47" s="1979" t="s">
        <v>1126</v>
      </c>
      <c r="G47" s="1979" t="s">
        <v>1127</v>
      </c>
      <c r="H47" s="1979" t="s">
        <v>1128</v>
      </c>
      <c r="I47" s="1979" t="s">
        <v>1129</v>
      </c>
      <c r="J47" s="1979" t="s">
        <v>1130</v>
      </c>
      <c r="K47" s="1979" t="s">
        <v>1131</v>
      </c>
      <c r="L47" s="1979" t="s">
        <v>1132</v>
      </c>
      <c r="M47" s="1979" t="s">
        <v>1133</v>
      </c>
      <c r="N47" s="1980" t="s">
        <v>1134</v>
      </c>
      <c r="O47" s="22"/>
    </row>
    <row r="48" spans="1:15">
      <c r="A48" s="1981" t="s">
        <v>1135</v>
      </c>
      <c r="B48" s="1982"/>
      <c r="C48" s="31">
        <v>74</v>
      </c>
      <c r="D48" s="31">
        <v>94</v>
      </c>
      <c r="E48" s="31">
        <v>113</v>
      </c>
      <c r="F48" s="31">
        <v>133</v>
      </c>
      <c r="G48" s="31">
        <v>164</v>
      </c>
      <c r="H48" s="31">
        <v>196</v>
      </c>
      <c r="I48" s="31">
        <v>223</v>
      </c>
      <c r="J48" s="31">
        <v>249</v>
      </c>
      <c r="K48" s="31">
        <v>282</v>
      </c>
      <c r="L48" s="31">
        <v>326</v>
      </c>
      <c r="M48" s="31">
        <v>367</v>
      </c>
      <c r="N48" s="32">
        <v>418</v>
      </c>
      <c r="O48" s="21"/>
    </row>
    <row r="49" spans="1:15">
      <c r="A49" s="1967" t="s">
        <v>1136</v>
      </c>
      <c r="B49" s="43"/>
      <c r="C49" s="24">
        <v>74</v>
      </c>
      <c r="D49" s="24">
        <v>96</v>
      </c>
      <c r="E49" s="24">
        <v>117</v>
      </c>
      <c r="F49" s="24">
        <v>142</v>
      </c>
      <c r="G49" s="24">
        <v>179</v>
      </c>
      <c r="H49" s="24">
        <v>221</v>
      </c>
      <c r="I49" s="24">
        <v>257</v>
      </c>
      <c r="J49" s="24">
        <v>292</v>
      </c>
      <c r="K49" s="24">
        <v>337</v>
      </c>
      <c r="L49" s="24">
        <v>399</v>
      </c>
      <c r="M49" s="24">
        <v>455</v>
      </c>
      <c r="N49" s="33">
        <v>530</v>
      </c>
      <c r="O49" s="21"/>
    </row>
    <row r="50" spans="1:15" ht="22.5" customHeight="1">
      <c r="A50" s="1967" t="s">
        <v>1137</v>
      </c>
      <c r="B50" s="42">
        <v>0.7</v>
      </c>
      <c r="C50" s="24">
        <f>B50</f>
        <v>0.7</v>
      </c>
      <c r="D50" s="24">
        <f>C50</f>
        <v>0.7</v>
      </c>
      <c r="E50" s="24">
        <f t="shared" ref="E50" si="48">D50</f>
        <v>0.7</v>
      </c>
      <c r="F50" s="24">
        <f t="shared" ref="F50" si="49">E50</f>
        <v>0.7</v>
      </c>
      <c r="G50" s="24">
        <f t="shared" ref="G50" si="50">F50</f>
        <v>0.7</v>
      </c>
      <c r="H50" s="24">
        <f t="shared" ref="H50" si="51">G50</f>
        <v>0.7</v>
      </c>
      <c r="I50" s="24">
        <f t="shared" ref="I50" si="52">H50</f>
        <v>0.7</v>
      </c>
      <c r="J50" s="24">
        <f t="shared" ref="J50" si="53">I50</f>
        <v>0.7</v>
      </c>
      <c r="K50" s="24">
        <f t="shared" ref="K50" si="54">J50</f>
        <v>0.7</v>
      </c>
      <c r="L50" s="24">
        <f t="shared" ref="L50" si="55">K50</f>
        <v>0.7</v>
      </c>
      <c r="M50" s="24">
        <f>L50</f>
        <v>0.7</v>
      </c>
      <c r="N50" s="33">
        <f>M50</f>
        <v>0.7</v>
      </c>
      <c r="O50" s="21"/>
    </row>
    <row r="51" spans="1:15">
      <c r="A51" s="1967" t="s">
        <v>1138</v>
      </c>
      <c r="B51" s="43"/>
      <c r="C51" s="24">
        <f>C48*C50</f>
        <v>51.8</v>
      </c>
      <c r="D51" s="24">
        <f t="shared" ref="D51:G51" si="56">D48*D50</f>
        <v>65.8</v>
      </c>
      <c r="E51" s="24">
        <f t="shared" si="56"/>
        <v>79.099999999999994</v>
      </c>
      <c r="F51" s="24">
        <f t="shared" si="56"/>
        <v>93.1</v>
      </c>
      <c r="G51" s="24">
        <f t="shared" si="56"/>
        <v>114.8</v>
      </c>
      <c r="H51" s="24">
        <f>H48*H50</f>
        <v>137.19999999999999</v>
      </c>
      <c r="I51" s="24">
        <f t="shared" ref="I51:N51" si="57">I48*I50</f>
        <v>156.1</v>
      </c>
      <c r="J51" s="24">
        <f t="shared" si="57"/>
        <v>174.29999999999998</v>
      </c>
      <c r="K51" s="24">
        <f t="shared" si="57"/>
        <v>197.39999999999998</v>
      </c>
      <c r="L51" s="24">
        <f t="shared" si="57"/>
        <v>228.2</v>
      </c>
      <c r="M51" s="24">
        <f t="shared" si="57"/>
        <v>256.89999999999998</v>
      </c>
      <c r="N51" s="33">
        <f t="shared" si="57"/>
        <v>292.59999999999997</v>
      </c>
      <c r="O51" s="21"/>
    </row>
    <row r="52" spans="1:15">
      <c r="A52" s="1967" t="s">
        <v>1139</v>
      </c>
      <c r="B52" s="43"/>
      <c r="C52" s="24">
        <f>C49*C50</f>
        <v>51.8</v>
      </c>
      <c r="D52" s="24">
        <f>D49*D50</f>
        <v>67.199999999999989</v>
      </c>
      <c r="E52" s="24">
        <f t="shared" ref="E52:G52" si="58">E49*E50</f>
        <v>81.899999999999991</v>
      </c>
      <c r="F52" s="24">
        <f t="shared" si="58"/>
        <v>99.399999999999991</v>
      </c>
      <c r="G52" s="24">
        <f t="shared" si="58"/>
        <v>125.3</v>
      </c>
      <c r="H52" s="24">
        <f>H49*H50</f>
        <v>154.69999999999999</v>
      </c>
      <c r="I52" s="24">
        <f t="shared" ref="I52:N52" si="59">I49*I50</f>
        <v>179.89999999999998</v>
      </c>
      <c r="J52" s="24">
        <f t="shared" si="59"/>
        <v>204.39999999999998</v>
      </c>
      <c r="K52" s="24">
        <f t="shared" si="59"/>
        <v>235.89999999999998</v>
      </c>
      <c r="L52" s="24">
        <f t="shared" si="59"/>
        <v>279.29999999999995</v>
      </c>
      <c r="M52" s="24">
        <f t="shared" si="59"/>
        <v>318.5</v>
      </c>
      <c r="N52" s="33">
        <f t="shared" si="59"/>
        <v>371</v>
      </c>
      <c r="O52" s="21"/>
    </row>
    <row r="53" spans="1:15">
      <c r="A53" s="1967" t="s">
        <v>1140</v>
      </c>
      <c r="B53" s="43"/>
      <c r="C53" s="24">
        <v>2.44</v>
      </c>
      <c r="D53" s="24">
        <v>1.54</v>
      </c>
      <c r="E53" s="24">
        <v>1.1100000000000001</v>
      </c>
      <c r="F53" s="24">
        <v>0.82</v>
      </c>
      <c r="G53" s="24">
        <v>0.56699999999999995</v>
      </c>
      <c r="H53" s="24">
        <v>0.41</v>
      </c>
      <c r="I53" s="24">
        <v>0.32400000000000001</v>
      </c>
      <c r="J53" s="24">
        <v>0.26400000000000001</v>
      </c>
      <c r="K53" s="24">
        <v>0.21</v>
      </c>
      <c r="L53" s="24">
        <v>0.16</v>
      </c>
      <c r="M53" s="24">
        <v>0.128</v>
      </c>
      <c r="N53" s="33">
        <v>0.1</v>
      </c>
      <c r="O53" s="21"/>
    </row>
    <row r="54" spans="1:15">
      <c r="A54" s="1967" t="s">
        <v>1141</v>
      </c>
      <c r="B54" s="43"/>
      <c r="C54" s="24">
        <v>8.0799999999999997E-2</v>
      </c>
      <c r="D54" s="24">
        <v>8.0500000000000002E-2</v>
      </c>
      <c r="E54" s="24">
        <v>7.8299999999999995E-2</v>
      </c>
      <c r="F54" s="24">
        <v>7.4999999999999997E-2</v>
      </c>
      <c r="G54" s="24">
        <v>7.3999999999999996E-2</v>
      </c>
      <c r="H54" s="24">
        <v>7.2400000000000006E-2</v>
      </c>
      <c r="I54" s="24">
        <v>7.1199999999999999E-2</v>
      </c>
      <c r="J54" s="24">
        <v>7.1599999999999997E-2</v>
      </c>
      <c r="K54" s="24">
        <v>7.1800000000000003E-2</v>
      </c>
      <c r="L54" s="24">
        <v>7.0999999999999994E-2</v>
      </c>
      <c r="M54" s="24">
        <v>7.0499999999999993E-2</v>
      </c>
      <c r="N54" s="33">
        <v>7.0400000000000004E-2</v>
      </c>
      <c r="O54" s="21"/>
    </row>
    <row r="55" spans="1:15" ht="24.75" customHeight="1">
      <c r="A55" s="1968" t="s">
        <v>1142</v>
      </c>
      <c r="B55" s="41">
        <f>A63</f>
        <v>0</v>
      </c>
      <c r="C55" s="24">
        <f t="shared" ref="C55:C57" si="60">B55</f>
        <v>0</v>
      </c>
      <c r="D55" s="24">
        <f t="shared" ref="D55:D57" si="61">C55</f>
        <v>0</v>
      </c>
      <c r="E55" s="24">
        <f t="shared" ref="E55:E57" si="62">D55</f>
        <v>0</v>
      </c>
      <c r="F55" s="24">
        <f t="shared" ref="F55:F57" si="63">E55</f>
        <v>0</v>
      </c>
      <c r="G55" s="24">
        <f t="shared" ref="G55:G57" si="64">F55</f>
        <v>0</v>
      </c>
      <c r="H55" s="24">
        <f t="shared" ref="H55:H57" si="65">G55</f>
        <v>0</v>
      </c>
      <c r="I55" s="24">
        <f t="shared" ref="I55:I57" si="66">H55</f>
        <v>0</v>
      </c>
      <c r="J55" s="24">
        <f t="shared" ref="J55:J57" si="67">I55</f>
        <v>0</v>
      </c>
      <c r="K55" s="24">
        <f t="shared" ref="K55:K57" si="68">J55</f>
        <v>0</v>
      </c>
      <c r="L55" s="24">
        <f t="shared" ref="L55:L57" si="69">K55</f>
        <v>0</v>
      </c>
      <c r="M55" s="24">
        <f t="shared" ref="M55:M57" si="70">L55</f>
        <v>0</v>
      </c>
      <c r="N55" s="33">
        <f t="shared" ref="N55:N57" si="71">M55</f>
        <v>0</v>
      </c>
      <c r="O55" s="21"/>
    </row>
    <row r="56" spans="1:15">
      <c r="A56" s="1968" t="s">
        <v>1143</v>
      </c>
      <c r="B56" s="42">
        <f>'Input''s from Initial Design'!X64</f>
        <v>200</v>
      </c>
      <c r="C56" s="24">
        <f t="shared" si="60"/>
        <v>200</v>
      </c>
      <c r="D56" s="24">
        <f t="shared" si="61"/>
        <v>200</v>
      </c>
      <c r="E56" s="24">
        <f t="shared" si="62"/>
        <v>200</v>
      </c>
      <c r="F56" s="24">
        <f t="shared" si="63"/>
        <v>200</v>
      </c>
      <c r="G56" s="24">
        <f t="shared" si="64"/>
        <v>200</v>
      </c>
      <c r="H56" s="24">
        <f t="shared" si="65"/>
        <v>200</v>
      </c>
      <c r="I56" s="24">
        <f t="shared" si="66"/>
        <v>200</v>
      </c>
      <c r="J56" s="24">
        <f t="shared" si="67"/>
        <v>200</v>
      </c>
      <c r="K56" s="24">
        <f t="shared" si="68"/>
        <v>200</v>
      </c>
      <c r="L56" s="24">
        <f t="shared" si="69"/>
        <v>200</v>
      </c>
      <c r="M56" s="24">
        <f t="shared" si="70"/>
        <v>200</v>
      </c>
      <c r="N56" s="33">
        <f t="shared" si="71"/>
        <v>200</v>
      </c>
      <c r="O56" s="21"/>
    </row>
    <row r="57" spans="1:15">
      <c r="A57" s="1968" t="s">
        <v>1144</v>
      </c>
      <c r="B57" s="42">
        <f>'Input''s from Initial Design'!Y64</f>
        <v>0</v>
      </c>
      <c r="C57" s="24">
        <f t="shared" si="60"/>
        <v>0</v>
      </c>
      <c r="D57" s="24">
        <f t="shared" si="61"/>
        <v>0</v>
      </c>
      <c r="E57" s="24">
        <f t="shared" si="62"/>
        <v>0</v>
      </c>
      <c r="F57" s="24">
        <f t="shared" si="63"/>
        <v>0</v>
      </c>
      <c r="G57" s="24">
        <f t="shared" si="64"/>
        <v>0</v>
      </c>
      <c r="H57" s="24">
        <f t="shared" si="65"/>
        <v>0</v>
      </c>
      <c r="I57" s="24">
        <f t="shared" si="66"/>
        <v>0</v>
      </c>
      <c r="J57" s="24">
        <f t="shared" si="67"/>
        <v>0</v>
      </c>
      <c r="K57" s="24">
        <f t="shared" si="68"/>
        <v>0</v>
      </c>
      <c r="L57" s="24">
        <f t="shared" si="69"/>
        <v>0</v>
      </c>
      <c r="M57" s="24">
        <f t="shared" si="70"/>
        <v>0</v>
      </c>
      <c r="N57" s="33">
        <f t="shared" si="71"/>
        <v>0</v>
      </c>
      <c r="O57" s="21"/>
    </row>
    <row r="58" spans="1:15">
      <c r="A58" s="1968" t="s">
        <v>1145</v>
      </c>
      <c r="B58" s="42">
        <v>415</v>
      </c>
      <c r="C58" s="24">
        <f>+B58</f>
        <v>415</v>
      </c>
      <c r="D58" s="24">
        <f t="shared" ref="D58" si="72">+C58</f>
        <v>415</v>
      </c>
      <c r="E58" s="24">
        <f t="shared" ref="E58" si="73">+D58</f>
        <v>415</v>
      </c>
      <c r="F58" s="24">
        <f t="shared" ref="F58" si="74">+E58</f>
        <v>415</v>
      </c>
      <c r="G58" s="24">
        <f t="shared" ref="G58" si="75">+F58</f>
        <v>415</v>
      </c>
      <c r="H58" s="24">
        <f t="shared" ref="H58" si="76">+G58</f>
        <v>415</v>
      </c>
      <c r="I58" s="24">
        <f t="shared" ref="I58" si="77">+H58</f>
        <v>415</v>
      </c>
      <c r="J58" s="24">
        <f t="shared" ref="J58" si="78">+I58</f>
        <v>415</v>
      </c>
      <c r="K58" s="24">
        <f t="shared" ref="K58" si="79">+J58</f>
        <v>415</v>
      </c>
      <c r="L58" s="24">
        <f t="shared" ref="L58" si="80">+K58</f>
        <v>415</v>
      </c>
      <c r="M58" s="24">
        <f t="shared" ref="M58" si="81">+L58</f>
        <v>415</v>
      </c>
      <c r="N58" s="33">
        <f t="shared" ref="N58" si="82">+M58</f>
        <v>415</v>
      </c>
      <c r="O58" s="21"/>
    </row>
    <row r="59" spans="1:15">
      <c r="A59" s="1967" t="s">
        <v>1146</v>
      </c>
      <c r="B59" s="43"/>
      <c r="C59" s="25" t="e">
        <f t="shared" ref="C59:N59" si="83">1.732*C55*(C53/1000*1+C54/1000*0)*C56/C57</f>
        <v>#DIV/0!</v>
      </c>
      <c r="D59" s="25" t="e">
        <f t="shared" si="83"/>
        <v>#DIV/0!</v>
      </c>
      <c r="E59" s="25" t="e">
        <f t="shared" si="83"/>
        <v>#DIV/0!</v>
      </c>
      <c r="F59" s="25" t="e">
        <f t="shared" si="83"/>
        <v>#DIV/0!</v>
      </c>
      <c r="G59" s="25" t="e">
        <f t="shared" si="83"/>
        <v>#DIV/0!</v>
      </c>
      <c r="H59" s="25" t="e">
        <f t="shared" si="83"/>
        <v>#DIV/0!</v>
      </c>
      <c r="I59" s="25" t="e">
        <f t="shared" si="83"/>
        <v>#DIV/0!</v>
      </c>
      <c r="J59" s="25" t="e">
        <f t="shared" si="83"/>
        <v>#DIV/0!</v>
      </c>
      <c r="K59" s="25" t="e">
        <f t="shared" si="83"/>
        <v>#DIV/0!</v>
      </c>
      <c r="L59" s="25" t="e">
        <f t="shared" si="83"/>
        <v>#DIV/0!</v>
      </c>
      <c r="M59" s="25" t="e">
        <f t="shared" si="83"/>
        <v>#DIV/0!</v>
      </c>
      <c r="N59" s="34" t="e">
        <f t="shared" si="83"/>
        <v>#DIV/0!</v>
      </c>
      <c r="O59" s="21"/>
    </row>
    <row r="60" spans="1:15">
      <c r="A60" s="1967" t="s">
        <v>1147</v>
      </c>
      <c r="B60" s="43"/>
      <c r="C60" s="1965" t="e">
        <f>C59/C58</f>
        <v>#DIV/0!</v>
      </c>
      <c r="D60" s="1965" t="e">
        <f t="shared" ref="D60:N60" si="84">D59/D58</f>
        <v>#DIV/0!</v>
      </c>
      <c r="E60" s="1965" t="e">
        <f t="shared" si="84"/>
        <v>#DIV/0!</v>
      </c>
      <c r="F60" s="1965" t="e">
        <f t="shared" si="84"/>
        <v>#DIV/0!</v>
      </c>
      <c r="G60" s="1965" t="e">
        <f t="shared" si="84"/>
        <v>#DIV/0!</v>
      </c>
      <c r="H60" s="1965" t="e">
        <f t="shared" si="84"/>
        <v>#DIV/0!</v>
      </c>
      <c r="I60" s="1965" t="e">
        <f t="shared" si="84"/>
        <v>#DIV/0!</v>
      </c>
      <c r="J60" s="1965" t="e">
        <f t="shared" si="84"/>
        <v>#DIV/0!</v>
      </c>
      <c r="K60" s="1965" t="e">
        <f t="shared" si="84"/>
        <v>#DIV/0!</v>
      </c>
      <c r="L60" s="1965" t="e">
        <f t="shared" si="84"/>
        <v>#DIV/0!</v>
      </c>
      <c r="M60" s="1965" t="e">
        <f t="shared" si="84"/>
        <v>#DIV/0!</v>
      </c>
      <c r="N60" s="1969" t="e">
        <f t="shared" si="84"/>
        <v>#DIV/0!</v>
      </c>
      <c r="O60" s="21"/>
    </row>
    <row r="61" spans="1:15">
      <c r="A61" s="1968" t="s">
        <v>1148</v>
      </c>
      <c r="B61" s="1966">
        <v>0.02</v>
      </c>
      <c r="C61" s="24" t="e">
        <f>IF(AND((C55*1.25)&lt;(C51*C57),(C60&lt;$B$16)),"PASS","FAIL")</f>
        <v>#DIV/0!</v>
      </c>
      <c r="D61" s="24" t="e">
        <f>IF(AND((D55*1.25)&lt;(D51*D57),(D60&lt;$B$16)),"PASS","FAIL")</f>
        <v>#DIV/0!</v>
      </c>
      <c r="E61" s="24" t="e">
        <f>IF(AND((E55*1.25)&lt;(E51*E57),(E60&lt;$B$16)),"PASS","FAIL")</f>
        <v>#DIV/0!</v>
      </c>
      <c r="F61" s="24" t="e">
        <f>IF(AND((F55*1.25)&lt;(F51*F57),(F60&lt;$B$16)),"PASS","FAIL")</f>
        <v>#DIV/0!</v>
      </c>
      <c r="G61" s="24" t="e">
        <f>IF(AND((G55*1.25)&lt;(G51*G57),(G60&lt;$B$16)),"PASS","FAIL")</f>
        <v>#DIV/0!</v>
      </c>
      <c r="H61" s="24" t="e">
        <f>IF(AND((H55*1.1)&lt;(H51*H57),(H60&lt;$B$16)),"PASS","FAIL")</f>
        <v>#DIV/0!</v>
      </c>
      <c r="I61" s="24" t="e">
        <f t="shared" ref="I61:N61" si="85">IF(AND((I55*1.25)&lt;(I51*I57),(I60&lt;$B$16)),"PASS","FAIL")</f>
        <v>#DIV/0!</v>
      </c>
      <c r="J61" s="24" t="e">
        <f t="shared" si="85"/>
        <v>#DIV/0!</v>
      </c>
      <c r="K61" s="24" t="e">
        <f t="shared" si="85"/>
        <v>#DIV/0!</v>
      </c>
      <c r="L61" s="24" t="e">
        <f t="shared" si="85"/>
        <v>#DIV/0!</v>
      </c>
      <c r="M61" s="24" t="e">
        <f t="shared" si="85"/>
        <v>#DIV/0!</v>
      </c>
      <c r="N61" s="33" t="e">
        <f t="shared" si="85"/>
        <v>#DIV/0!</v>
      </c>
      <c r="O61" s="21"/>
    </row>
    <row r="62" spans="1:15" ht="18.600000000000001" thickBot="1">
      <c r="A62" s="1970" t="s">
        <v>1149</v>
      </c>
      <c r="B62" s="1971"/>
      <c r="C62" s="1972" t="e">
        <f t="shared" ref="C62:N62" si="86">IF(AND((C55*1.25)&lt;(C52*C57),(C60&lt;$B$16)),"PASS","FAIL")</f>
        <v>#DIV/0!</v>
      </c>
      <c r="D62" s="1972" t="e">
        <f t="shared" si="86"/>
        <v>#DIV/0!</v>
      </c>
      <c r="E62" s="1972" t="e">
        <f t="shared" si="86"/>
        <v>#DIV/0!</v>
      </c>
      <c r="F62" s="1972" t="e">
        <f t="shared" si="86"/>
        <v>#DIV/0!</v>
      </c>
      <c r="G62" s="1972" t="e">
        <f t="shared" si="86"/>
        <v>#DIV/0!</v>
      </c>
      <c r="H62" s="1972" t="e">
        <f t="shared" si="86"/>
        <v>#DIV/0!</v>
      </c>
      <c r="I62" s="1972" t="e">
        <f t="shared" si="86"/>
        <v>#DIV/0!</v>
      </c>
      <c r="J62" s="1972" t="e">
        <f t="shared" si="86"/>
        <v>#DIV/0!</v>
      </c>
      <c r="K62" s="1972" t="e">
        <f t="shared" si="86"/>
        <v>#DIV/0!</v>
      </c>
      <c r="L62" s="1972" t="e">
        <f t="shared" si="86"/>
        <v>#DIV/0!</v>
      </c>
      <c r="M62" s="1972" t="e">
        <f t="shared" si="86"/>
        <v>#DIV/0!</v>
      </c>
      <c r="N62" s="1973" t="e">
        <f t="shared" si="86"/>
        <v>#DIV/0!</v>
      </c>
      <c r="O62" s="21"/>
    </row>
    <row r="63" spans="1:15">
      <c r="A63" s="1963">
        <f>('Input''s from Initial Design'!W64*1000/(1.732*440*1))</f>
        <v>0</v>
      </c>
      <c r="B63" s="1964" t="s">
        <v>1150</v>
      </c>
      <c r="C63" s="26"/>
      <c r="D63" s="3213"/>
      <c r="E63" s="3213"/>
      <c r="F63" s="3213"/>
      <c r="G63" s="21"/>
      <c r="H63" s="21"/>
      <c r="I63" s="21"/>
      <c r="J63" s="21"/>
    </row>
    <row r="64" spans="1:15">
      <c r="A64" s="21"/>
      <c r="B64" s="21"/>
      <c r="C64" s="26"/>
      <c r="D64" s="21"/>
      <c r="E64" s="21">
        <v>3</v>
      </c>
      <c r="F64" s="21"/>
      <c r="G64" s="27"/>
      <c r="H64" s="21"/>
      <c r="I64" s="21"/>
      <c r="J64" s="21"/>
    </row>
    <row r="65" spans="1:15">
      <c r="A65" s="28" t="s">
        <v>1148</v>
      </c>
      <c r="B65" s="29" t="e">
        <f>IF(C61="FAIL",IF(D61="FAIL",IF(E61="FAIL",IF(F61="FAIL",IF(G61="FAIL",IF(H61="FAIL",IF(I61="FAIL",IF(J61="FAIL",IF(K61="FAIL",IF(L61="FAIL",IF(M61="FAIL","NO MATCH",$M$1),$L$1),$K$1),$J$1),$I$1),$H$1),$G$1),$F$1),$E$1),$D$1),$C$1)</f>
        <v>#DIV/0!</v>
      </c>
      <c r="C65" s="30" t="s">
        <v>1151</v>
      </c>
      <c r="D65" s="21"/>
      <c r="E65" s="21"/>
      <c r="F65" s="21"/>
      <c r="G65" s="21"/>
      <c r="H65" s="26"/>
      <c r="I65" s="21"/>
      <c r="J65" s="21"/>
      <c r="K65" s="21"/>
      <c r="L65" s="21"/>
      <c r="N65" s="21"/>
      <c r="O65" s="21"/>
    </row>
    <row r="66" spans="1:15">
      <c r="A66" s="28" t="s">
        <v>1149</v>
      </c>
      <c r="B66" s="29" t="e">
        <f>IF(C62="FAIL",IF(D62="FAIL",IF(E62="FAIL",IF(F62="FAIL",IF(G62="FAIL",IF(H62="FAIL",IF(I62="FAIL",IF(J62="FAIL",IF(K62="FAIL",IF(L62="FAIL",IF(M62="FAIL","NO MATCH",$M$1),$L$1),$K$1),$J$1),$I$1),$H$1),$G$1),$F$1),$E$1),$D$1),$C$1)</f>
        <v>#DIV/0!</v>
      </c>
      <c r="C66" s="30" t="s">
        <v>1151</v>
      </c>
      <c r="D66" s="21"/>
      <c r="E66" s="21"/>
      <c r="F66" s="21"/>
      <c r="G66" s="21"/>
      <c r="H66" s="26"/>
      <c r="I66" s="21"/>
      <c r="J66" s="21"/>
      <c r="K66" s="21"/>
      <c r="L66" s="21"/>
      <c r="N66" s="21"/>
      <c r="O66" s="21"/>
    </row>
    <row r="67" spans="1:15" ht="18.600000000000001" thickBot="1">
      <c r="A67" s="21"/>
      <c r="B67" s="21"/>
      <c r="C67" s="21"/>
      <c r="D67" s="21"/>
      <c r="E67" s="21"/>
      <c r="F67" s="21"/>
      <c r="G67" s="21"/>
      <c r="H67" s="26"/>
      <c r="I67" s="21"/>
      <c r="J67" s="21"/>
      <c r="K67" s="21"/>
      <c r="L67" s="21"/>
      <c r="N67" s="21"/>
      <c r="O67" s="21"/>
    </row>
    <row r="68" spans="1:15" s="23" customFormat="1">
      <c r="A68" s="3214" t="s">
        <v>1122</v>
      </c>
      <c r="B68" s="3216"/>
      <c r="C68" s="35">
        <v>16</v>
      </c>
      <c r="D68" s="36">
        <v>25</v>
      </c>
      <c r="E68" s="36">
        <v>35</v>
      </c>
      <c r="F68" s="36">
        <v>50</v>
      </c>
      <c r="G68" s="36">
        <v>70</v>
      </c>
      <c r="H68" s="36">
        <v>95</v>
      </c>
      <c r="I68" s="36">
        <v>120</v>
      </c>
      <c r="J68" s="36">
        <v>150</v>
      </c>
      <c r="K68" s="36">
        <v>185</v>
      </c>
      <c r="L68" s="36">
        <v>240</v>
      </c>
      <c r="M68" s="36">
        <v>300</v>
      </c>
      <c r="N68" s="37">
        <v>400</v>
      </c>
      <c r="O68" s="22"/>
    </row>
    <row r="69" spans="1:15" s="23" customFormat="1" ht="18.600000000000001" thickBot="1">
      <c r="A69" s="3215"/>
      <c r="B69" s="3217"/>
      <c r="C69" s="1978" t="s">
        <v>1123</v>
      </c>
      <c r="D69" s="1979" t="s">
        <v>1124</v>
      </c>
      <c r="E69" s="1979" t="s">
        <v>1125</v>
      </c>
      <c r="F69" s="1979" t="s">
        <v>1126</v>
      </c>
      <c r="G69" s="1979" t="s">
        <v>1127</v>
      </c>
      <c r="H69" s="1979" t="s">
        <v>1128</v>
      </c>
      <c r="I69" s="1979" t="s">
        <v>1129</v>
      </c>
      <c r="J69" s="1979" t="s">
        <v>1130</v>
      </c>
      <c r="K69" s="1979" t="s">
        <v>1131</v>
      </c>
      <c r="L69" s="1979" t="s">
        <v>1132</v>
      </c>
      <c r="M69" s="1979" t="s">
        <v>1133</v>
      </c>
      <c r="N69" s="1980" t="s">
        <v>1134</v>
      </c>
      <c r="O69" s="22"/>
    </row>
    <row r="70" spans="1:15">
      <c r="A70" s="1981" t="s">
        <v>1135</v>
      </c>
      <c r="B70" s="1982"/>
      <c r="C70" s="31">
        <v>74</v>
      </c>
      <c r="D70" s="31">
        <v>94</v>
      </c>
      <c r="E70" s="31">
        <v>113</v>
      </c>
      <c r="F70" s="31">
        <v>133</v>
      </c>
      <c r="G70" s="31">
        <v>164</v>
      </c>
      <c r="H70" s="31">
        <v>196</v>
      </c>
      <c r="I70" s="31">
        <v>223</v>
      </c>
      <c r="J70" s="31">
        <v>249</v>
      </c>
      <c r="K70" s="31">
        <v>282</v>
      </c>
      <c r="L70" s="31">
        <v>326</v>
      </c>
      <c r="M70" s="31">
        <v>367</v>
      </c>
      <c r="N70" s="32">
        <v>418</v>
      </c>
      <c r="O70" s="21"/>
    </row>
    <row r="71" spans="1:15">
      <c r="A71" s="1967" t="s">
        <v>1136</v>
      </c>
      <c r="B71" s="43"/>
      <c r="C71" s="24">
        <v>74</v>
      </c>
      <c r="D71" s="24">
        <v>96</v>
      </c>
      <c r="E71" s="24">
        <v>117</v>
      </c>
      <c r="F71" s="24">
        <v>142</v>
      </c>
      <c r="G71" s="24">
        <v>179</v>
      </c>
      <c r="H71" s="24">
        <v>221</v>
      </c>
      <c r="I71" s="24">
        <v>257</v>
      </c>
      <c r="J71" s="24">
        <v>292</v>
      </c>
      <c r="K71" s="24">
        <v>337</v>
      </c>
      <c r="L71" s="24">
        <v>399</v>
      </c>
      <c r="M71" s="24">
        <v>455</v>
      </c>
      <c r="N71" s="33">
        <v>530</v>
      </c>
      <c r="O71" s="21"/>
    </row>
    <row r="72" spans="1:15" ht="22.5" customHeight="1">
      <c r="A72" s="1967" t="s">
        <v>1137</v>
      </c>
      <c r="B72" s="42">
        <v>0.7</v>
      </c>
      <c r="C72" s="24">
        <f>B72</f>
        <v>0.7</v>
      </c>
      <c r="D72" s="24">
        <f>C72</f>
        <v>0.7</v>
      </c>
      <c r="E72" s="24">
        <f t="shared" ref="E72" si="87">D72</f>
        <v>0.7</v>
      </c>
      <c r="F72" s="24">
        <f t="shared" ref="F72" si="88">E72</f>
        <v>0.7</v>
      </c>
      <c r="G72" s="24">
        <f t="shared" ref="G72" si="89">F72</f>
        <v>0.7</v>
      </c>
      <c r="H72" s="24">
        <f t="shared" ref="H72" si="90">G72</f>
        <v>0.7</v>
      </c>
      <c r="I72" s="24">
        <f t="shared" ref="I72" si="91">H72</f>
        <v>0.7</v>
      </c>
      <c r="J72" s="24">
        <f t="shared" ref="J72" si="92">I72</f>
        <v>0.7</v>
      </c>
      <c r="K72" s="24">
        <f t="shared" ref="K72" si="93">J72</f>
        <v>0.7</v>
      </c>
      <c r="L72" s="24">
        <f t="shared" ref="L72" si="94">K72</f>
        <v>0.7</v>
      </c>
      <c r="M72" s="24">
        <f>L72</f>
        <v>0.7</v>
      </c>
      <c r="N72" s="33">
        <f>M72</f>
        <v>0.7</v>
      </c>
      <c r="O72" s="21"/>
    </row>
    <row r="73" spans="1:15">
      <c r="A73" s="1967" t="s">
        <v>1138</v>
      </c>
      <c r="B73" s="43"/>
      <c r="C73" s="24">
        <f>C70*C72</f>
        <v>51.8</v>
      </c>
      <c r="D73" s="24">
        <f t="shared" ref="D73:G73" si="95">D70*D72</f>
        <v>65.8</v>
      </c>
      <c r="E73" s="24">
        <f t="shared" si="95"/>
        <v>79.099999999999994</v>
      </c>
      <c r="F73" s="24">
        <f t="shared" si="95"/>
        <v>93.1</v>
      </c>
      <c r="G73" s="24">
        <f t="shared" si="95"/>
        <v>114.8</v>
      </c>
      <c r="H73" s="24">
        <f>H70*H72</f>
        <v>137.19999999999999</v>
      </c>
      <c r="I73" s="24">
        <f t="shared" ref="I73:N73" si="96">I70*I72</f>
        <v>156.1</v>
      </c>
      <c r="J73" s="24">
        <f t="shared" si="96"/>
        <v>174.29999999999998</v>
      </c>
      <c r="K73" s="24">
        <f t="shared" si="96"/>
        <v>197.39999999999998</v>
      </c>
      <c r="L73" s="24">
        <f t="shared" si="96"/>
        <v>228.2</v>
      </c>
      <c r="M73" s="24">
        <f t="shared" si="96"/>
        <v>256.89999999999998</v>
      </c>
      <c r="N73" s="33">
        <f t="shared" si="96"/>
        <v>292.59999999999997</v>
      </c>
      <c r="O73" s="21"/>
    </row>
    <row r="74" spans="1:15">
      <c r="A74" s="1967" t="s">
        <v>1139</v>
      </c>
      <c r="B74" s="43"/>
      <c r="C74" s="24">
        <f>C71*C72</f>
        <v>51.8</v>
      </c>
      <c r="D74" s="24">
        <f>D71*D72</f>
        <v>67.199999999999989</v>
      </c>
      <c r="E74" s="24">
        <f t="shared" ref="E74:G74" si="97">E71*E72</f>
        <v>81.899999999999991</v>
      </c>
      <c r="F74" s="24">
        <f t="shared" si="97"/>
        <v>99.399999999999991</v>
      </c>
      <c r="G74" s="24">
        <f t="shared" si="97"/>
        <v>125.3</v>
      </c>
      <c r="H74" s="24">
        <f>H71*H72</f>
        <v>154.69999999999999</v>
      </c>
      <c r="I74" s="24">
        <f t="shared" ref="I74:N74" si="98">I71*I72</f>
        <v>179.89999999999998</v>
      </c>
      <c r="J74" s="24">
        <f t="shared" si="98"/>
        <v>204.39999999999998</v>
      </c>
      <c r="K74" s="24">
        <f t="shared" si="98"/>
        <v>235.89999999999998</v>
      </c>
      <c r="L74" s="24">
        <f t="shared" si="98"/>
        <v>279.29999999999995</v>
      </c>
      <c r="M74" s="24">
        <f t="shared" si="98"/>
        <v>318.5</v>
      </c>
      <c r="N74" s="33">
        <f t="shared" si="98"/>
        <v>371</v>
      </c>
      <c r="O74" s="21"/>
    </row>
    <row r="75" spans="1:15">
      <c r="A75" s="1967" t="s">
        <v>1140</v>
      </c>
      <c r="B75" s="43"/>
      <c r="C75" s="24">
        <v>2.44</v>
      </c>
      <c r="D75" s="24">
        <v>1.54</v>
      </c>
      <c r="E75" s="24">
        <v>1.1100000000000001</v>
      </c>
      <c r="F75" s="24">
        <v>0.82</v>
      </c>
      <c r="G75" s="24">
        <v>0.56699999999999995</v>
      </c>
      <c r="H75" s="24">
        <v>0.41</v>
      </c>
      <c r="I75" s="24">
        <v>0.32400000000000001</v>
      </c>
      <c r="J75" s="24">
        <v>0.26400000000000001</v>
      </c>
      <c r="K75" s="24">
        <v>0.21</v>
      </c>
      <c r="L75" s="24">
        <v>0.16</v>
      </c>
      <c r="M75" s="24">
        <v>0.128</v>
      </c>
      <c r="N75" s="33">
        <v>0.1</v>
      </c>
      <c r="O75" s="21"/>
    </row>
    <row r="76" spans="1:15">
      <c r="A76" s="1967" t="s">
        <v>1141</v>
      </c>
      <c r="B76" s="43"/>
      <c r="C76" s="24">
        <v>8.0799999999999997E-2</v>
      </c>
      <c r="D76" s="24">
        <v>8.0500000000000002E-2</v>
      </c>
      <c r="E76" s="24">
        <v>7.8299999999999995E-2</v>
      </c>
      <c r="F76" s="24">
        <v>7.4999999999999997E-2</v>
      </c>
      <c r="G76" s="24">
        <v>7.3999999999999996E-2</v>
      </c>
      <c r="H76" s="24">
        <v>7.2400000000000006E-2</v>
      </c>
      <c r="I76" s="24">
        <v>7.1199999999999999E-2</v>
      </c>
      <c r="J76" s="24">
        <v>7.1599999999999997E-2</v>
      </c>
      <c r="K76" s="24">
        <v>7.1800000000000003E-2</v>
      </c>
      <c r="L76" s="24">
        <v>7.0999999999999994E-2</v>
      </c>
      <c r="M76" s="24">
        <v>7.0499999999999993E-2</v>
      </c>
      <c r="N76" s="33">
        <v>7.0400000000000004E-2</v>
      </c>
      <c r="O76" s="21"/>
    </row>
    <row r="77" spans="1:15" ht="24.75" customHeight="1">
      <c r="A77" s="1968" t="s">
        <v>1142</v>
      </c>
      <c r="B77" s="41">
        <f>A85</f>
        <v>0</v>
      </c>
      <c r="C77" s="24">
        <f t="shared" ref="C77:C79" si="99">B77</f>
        <v>0</v>
      </c>
      <c r="D77" s="24">
        <f t="shared" ref="D77:D79" si="100">C77</f>
        <v>0</v>
      </c>
      <c r="E77" s="24">
        <f t="shared" ref="E77:E79" si="101">D77</f>
        <v>0</v>
      </c>
      <c r="F77" s="24">
        <f t="shared" ref="F77:F79" si="102">E77</f>
        <v>0</v>
      </c>
      <c r="G77" s="24">
        <f t="shared" ref="G77:G79" si="103">F77</f>
        <v>0</v>
      </c>
      <c r="H77" s="24">
        <f t="shared" ref="H77:H79" si="104">G77</f>
        <v>0</v>
      </c>
      <c r="I77" s="24">
        <f t="shared" ref="I77:I79" si="105">H77</f>
        <v>0</v>
      </c>
      <c r="J77" s="24">
        <f t="shared" ref="J77:J79" si="106">I77</f>
        <v>0</v>
      </c>
      <c r="K77" s="24">
        <f t="shared" ref="K77:K79" si="107">J77</f>
        <v>0</v>
      </c>
      <c r="L77" s="24">
        <f t="shared" ref="L77:L79" si="108">K77</f>
        <v>0</v>
      </c>
      <c r="M77" s="24">
        <f t="shared" ref="M77:M79" si="109">L77</f>
        <v>0</v>
      </c>
      <c r="N77" s="33">
        <f t="shared" ref="N77:N79" si="110">M77</f>
        <v>0</v>
      </c>
      <c r="O77" s="21"/>
    </row>
    <row r="78" spans="1:15">
      <c r="A78" s="1968" t="s">
        <v>1143</v>
      </c>
      <c r="B78" s="42">
        <f>'Input''s from Initial Design'!X66</f>
        <v>0</v>
      </c>
      <c r="C78" s="24">
        <f t="shared" si="99"/>
        <v>0</v>
      </c>
      <c r="D78" s="24">
        <f t="shared" si="100"/>
        <v>0</v>
      </c>
      <c r="E78" s="24">
        <f t="shared" si="101"/>
        <v>0</v>
      </c>
      <c r="F78" s="24">
        <f t="shared" si="102"/>
        <v>0</v>
      </c>
      <c r="G78" s="24">
        <f t="shared" si="103"/>
        <v>0</v>
      </c>
      <c r="H78" s="24">
        <f t="shared" si="104"/>
        <v>0</v>
      </c>
      <c r="I78" s="24">
        <f t="shared" si="105"/>
        <v>0</v>
      </c>
      <c r="J78" s="24">
        <f t="shared" si="106"/>
        <v>0</v>
      </c>
      <c r="K78" s="24">
        <f t="shared" si="107"/>
        <v>0</v>
      </c>
      <c r="L78" s="24">
        <f t="shared" si="108"/>
        <v>0</v>
      </c>
      <c r="M78" s="24">
        <f t="shared" si="109"/>
        <v>0</v>
      </c>
      <c r="N78" s="33">
        <f t="shared" si="110"/>
        <v>0</v>
      </c>
      <c r="O78" s="21"/>
    </row>
    <row r="79" spans="1:15">
      <c r="A79" s="1968" t="s">
        <v>1144</v>
      </c>
      <c r="B79" s="42">
        <f>'Input''s from Initial Design'!Y66</f>
        <v>0</v>
      </c>
      <c r="C79" s="24">
        <f t="shared" si="99"/>
        <v>0</v>
      </c>
      <c r="D79" s="24">
        <f t="shared" si="100"/>
        <v>0</v>
      </c>
      <c r="E79" s="24">
        <f t="shared" si="101"/>
        <v>0</v>
      </c>
      <c r="F79" s="24">
        <f t="shared" si="102"/>
        <v>0</v>
      </c>
      <c r="G79" s="24">
        <f t="shared" si="103"/>
        <v>0</v>
      </c>
      <c r="H79" s="24">
        <f t="shared" si="104"/>
        <v>0</v>
      </c>
      <c r="I79" s="24">
        <f t="shared" si="105"/>
        <v>0</v>
      </c>
      <c r="J79" s="24">
        <f t="shared" si="106"/>
        <v>0</v>
      </c>
      <c r="K79" s="24">
        <f t="shared" si="107"/>
        <v>0</v>
      </c>
      <c r="L79" s="24">
        <f t="shared" si="108"/>
        <v>0</v>
      </c>
      <c r="M79" s="24">
        <f t="shared" si="109"/>
        <v>0</v>
      </c>
      <c r="N79" s="33">
        <f t="shared" si="110"/>
        <v>0</v>
      </c>
      <c r="O79" s="21"/>
    </row>
    <row r="80" spans="1:15">
      <c r="A80" s="1968" t="s">
        <v>1145</v>
      </c>
      <c r="B80" s="42">
        <v>415</v>
      </c>
      <c r="C80" s="24">
        <f>+B80</f>
        <v>415</v>
      </c>
      <c r="D80" s="24">
        <f t="shared" ref="D80" si="111">+C80</f>
        <v>415</v>
      </c>
      <c r="E80" s="24">
        <f t="shared" ref="E80" si="112">+D80</f>
        <v>415</v>
      </c>
      <c r="F80" s="24">
        <f t="shared" ref="F80" si="113">+E80</f>
        <v>415</v>
      </c>
      <c r="G80" s="24">
        <f t="shared" ref="G80" si="114">+F80</f>
        <v>415</v>
      </c>
      <c r="H80" s="24">
        <f t="shared" ref="H80" si="115">+G80</f>
        <v>415</v>
      </c>
      <c r="I80" s="24">
        <f t="shared" ref="I80" si="116">+H80</f>
        <v>415</v>
      </c>
      <c r="J80" s="24">
        <f t="shared" ref="J80" si="117">+I80</f>
        <v>415</v>
      </c>
      <c r="K80" s="24">
        <f t="shared" ref="K80" si="118">+J80</f>
        <v>415</v>
      </c>
      <c r="L80" s="24">
        <f t="shared" ref="L80" si="119">+K80</f>
        <v>415</v>
      </c>
      <c r="M80" s="24">
        <f t="shared" ref="M80" si="120">+L80</f>
        <v>415</v>
      </c>
      <c r="N80" s="33">
        <f t="shared" ref="N80" si="121">+M80</f>
        <v>415</v>
      </c>
      <c r="O80" s="21"/>
    </row>
    <row r="81" spans="1:15">
      <c r="A81" s="1967" t="s">
        <v>1146</v>
      </c>
      <c r="B81" s="43"/>
      <c r="C81" s="25" t="e">
        <f t="shared" ref="C81:N81" si="122">1.732*C77*(C75/1000*1+C76/1000*0)*C78/C79</f>
        <v>#DIV/0!</v>
      </c>
      <c r="D81" s="25" t="e">
        <f t="shared" si="122"/>
        <v>#DIV/0!</v>
      </c>
      <c r="E81" s="25" t="e">
        <f t="shared" si="122"/>
        <v>#DIV/0!</v>
      </c>
      <c r="F81" s="25" t="e">
        <f t="shared" si="122"/>
        <v>#DIV/0!</v>
      </c>
      <c r="G81" s="25" t="e">
        <f t="shared" si="122"/>
        <v>#DIV/0!</v>
      </c>
      <c r="H81" s="25" t="e">
        <f t="shared" si="122"/>
        <v>#DIV/0!</v>
      </c>
      <c r="I81" s="25" t="e">
        <f t="shared" si="122"/>
        <v>#DIV/0!</v>
      </c>
      <c r="J81" s="25" t="e">
        <f t="shared" si="122"/>
        <v>#DIV/0!</v>
      </c>
      <c r="K81" s="25" t="e">
        <f t="shared" si="122"/>
        <v>#DIV/0!</v>
      </c>
      <c r="L81" s="25" t="e">
        <f t="shared" si="122"/>
        <v>#DIV/0!</v>
      </c>
      <c r="M81" s="25" t="e">
        <f t="shared" si="122"/>
        <v>#DIV/0!</v>
      </c>
      <c r="N81" s="34" t="e">
        <f t="shared" si="122"/>
        <v>#DIV/0!</v>
      </c>
      <c r="O81" s="21"/>
    </row>
    <row r="82" spans="1:15">
      <c r="A82" s="1967" t="s">
        <v>1147</v>
      </c>
      <c r="B82" s="43"/>
      <c r="C82" s="1965" t="e">
        <f>C81/C80</f>
        <v>#DIV/0!</v>
      </c>
      <c r="D82" s="1965" t="e">
        <f t="shared" ref="D82:N82" si="123">D81/D80</f>
        <v>#DIV/0!</v>
      </c>
      <c r="E82" s="1965" t="e">
        <f t="shared" si="123"/>
        <v>#DIV/0!</v>
      </c>
      <c r="F82" s="1965" t="e">
        <f t="shared" si="123"/>
        <v>#DIV/0!</v>
      </c>
      <c r="G82" s="1965" t="e">
        <f t="shared" si="123"/>
        <v>#DIV/0!</v>
      </c>
      <c r="H82" s="1965" t="e">
        <f t="shared" si="123"/>
        <v>#DIV/0!</v>
      </c>
      <c r="I82" s="1965" t="e">
        <f t="shared" si="123"/>
        <v>#DIV/0!</v>
      </c>
      <c r="J82" s="1965" t="e">
        <f t="shared" si="123"/>
        <v>#DIV/0!</v>
      </c>
      <c r="K82" s="1965" t="e">
        <f t="shared" si="123"/>
        <v>#DIV/0!</v>
      </c>
      <c r="L82" s="1965" t="e">
        <f t="shared" si="123"/>
        <v>#DIV/0!</v>
      </c>
      <c r="M82" s="1965" t="e">
        <f t="shared" si="123"/>
        <v>#DIV/0!</v>
      </c>
      <c r="N82" s="1969" t="e">
        <f t="shared" si="123"/>
        <v>#DIV/0!</v>
      </c>
      <c r="O82" s="21"/>
    </row>
    <row r="83" spans="1:15">
      <c r="A83" s="1968" t="s">
        <v>1148</v>
      </c>
      <c r="B83" s="1966">
        <v>0.02</v>
      </c>
      <c r="C83" s="24" t="e">
        <f>IF(AND((C77*1.25)&lt;(C73*C79),(C82&lt;$B$16)),"PASS","FAIL")</f>
        <v>#DIV/0!</v>
      </c>
      <c r="D83" s="24" t="e">
        <f>IF(AND((D77*1.25)&lt;(D73*D79),(D82&lt;$B$16)),"PASS","FAIL")</f>
        <v>#DIV/0!</v>
      </c>
      <c r="E83" s="24" t="e">
        <f>IF(AND((E77*1.25)&lt;(E73*E79),(E82&lt;$B$16)),"PASS","FAIL")</f>
        <v>#DIV/0!</v>
      </c>
      <c r="F83" s="24" t="e">
        <f>IF(AND((F77*1.25)&lt;(F73*F79),(F82&lt;$B$16)),"PASS","FAIL")</f>
        <v>#DIV/0!</v>
      </c>
      <c r="G83" s="24" t="e">
        <f>IF(AND((G77*1.25)&lt;(G73*G79),(G82&lt;$B$16)),"PASS","FAIL")</f>
        <v>#DIV/0!</v>
      </c>
      <c r="H83" s="24" t="e">
        <f>IF(AND((H77*1.1)&lt;(H73*H79),(H82&lt;$B$16)),"PASS","FAIL")</f>
        <v>#DIV/0!</v>
      </c>
      <c r="I83" s="24" t="e">
        <f t="shared" ref="I83:N83" si="124">IF(AND((I77*1.25)&lt;(I73*I79),(I82&lt;$B$16)),"PASS","FAIL")</f>
        <v>#DIV/0!</v>
      </c>
      <c r="J83" s="24" t="e">
        <f t="shared" si="124"/>
        <v>#DIV/0!</v>
      </c>
      <c r="K83" s="24" t="e">
        <f t="shared" si="124"/>
        <v>#DIV/0!</v>
      </c>
      <c r="L83" s="24" t="e">
        <f t="shared" si="124"/>
        <v>#DIV/0!</v>
      </c>
      <c r="M83" s="24" t="e">
        <f t="shared" si="124"/>
        <v>#DIV/0!</v>
      </c>
      <c r="N83" s="33" t="e">
        <f t="shared" si="124"/>
        <v>#DIV/0!</v>
      </c>
      <c r="O83" s="21"/>
    </row>
    <row r="84" spans="1:15" ht="18.600000000000001" thickBot="1">
      <c r="A84" s="1970" t="s">
        <v>1149</v>
      </c>
      <c r="B84" s="1971"/>
      <c r="C84" s="1972" t="e">
        <f t="shared" ref="C84:N84" si="125">IF(AND((C77*1.25)&lt;(C74*C79),(C82&lt;$B$16)),"PASS","FAIL")</f>
        <v>#DIV/0!</v>
      </c>
      <c r="D84" s="1972" t="e">
        <f t="shared" si="125"/>
        <v>#DIV/0!</v>
      </c>
      <c r="E84" s="1972" t="e">
        <f t="shared" si="125"/>
        <v>#DIV/0!</v>
      </c>
      <c r="F84" s="1972" t="e">
        <f t="shared" si="125"/>
        <v>#DIV/0!</v>
      </c>
      <c r="G84" s="1972" t="e">
        <f t="shared" si="125"/>
        <v>#DIV/0!</v>
      </c>
      <c r="H84" s="1972" t="e">
        <f t="shared" si="125"/>
        <v>#DIV/0!</v>
      </c>
      <c r="I84" s="1972" t="e">
        <f t="shared" si="125"/>
        <v>#DIV/0!</v>
      </c>
      <c r="J84" s="1972" t="e">
        <f t="shared" si="125"/>
        <v>#DIV/0!</v>
      </c>
      <c r="K84" s="1972" t="e">
        <f t="shared" si="125"/>
        <v>#DIV/0!</v>
      </c>
      <c r="L84" s="1972" t="e">
        <f t="shared" si="125"/>
        <v>#DIV/0!</v>
      </c>
      <c r="M84" s="1972" t="e">
        <f t="shared" si="125"/>
        <v>#DIV/0!</v>
      </c>
      <c r="N84" s="1973" t="e">
        <f t="shared" si="125"/>
        <v>#DIV/0!</v>
      </c>
      <c r="O84" s="21"/>
    </row>
    <row r="85" spans="1:15">
      <c r="A85" s="1963">
        <f>('Input''s from Initial Design'!W66*1000/(1.732*440*1))</f>
        <v>0</v>
      </c>
      <c r="B85" s="1964" t="s">
        <v>1150</v>
      </c>
      <c r="C85" s="26"/>
      <c r="D85" s="3213"/>
      <c r="E85" s="3213"/>
      <c r="F85" s="3213"/>
      <c r="G85" s="21"/>
      <c r="H85" s="21"/>
      <c r="I85" s="21"/>
      <c r="J85" s="21"/>
    </row>
    <row r="86" spans="1:15">
      <c r="A86" s="21"/>
      <c r="B86" s="21"/>
      <c r="C86" s="26"/>
      <c r="D86" s="21"/>
      <c r="E86" s="21">
        <v>4</v>
      </c>
      <c r="F86" s="21"/>
      <c r="G86" s="27"/>
      <c r="H86" s="21"/>
      <c r="I86" s="21"/>
      <c r="J86" s="21"/>
    </row>
    <row r="87" spans="1:15">
      <c r="A87" s="28" t="s">
        <v>1148</v>
      </c>
      <c r="B87" s="29" t="e">
        <f>IF(C83="FAIL",IF(D83="FAIL",IF(E83="FAIL",IF(F83="FAIL",IF(G83="FAIL",IF(H83="FAIL",IF(I83="FAIL",IF(J83="FAIL",IF(K83="FAIL",IF(L83="FAIL",IF(M83="FAIL","NO MATCH",$M$1),$L$1),$K$1),$J$1),$I$1),$H$1),$G$1),$F$1),$E$1),$D$1),$C$1)</f>
        <v>#DIV/0!</v>
      </c>
      <c r="C87" s="30" t="s">
        <v>1151</v>
      </c>
      <c r="D87" s="21"/>
      <c r="E87" s="21"/>
      <c r="F87" s="21"/>
      <c r="G87" s="21"/>
      <c r="H87" s="26"/>
      <c r="I87" s="21"/>
      <c r="J87" s="21"/>
      <c r="K87" s="21"/>
      <c r="L87" s="21"/>
      <c r="N87" s="21"/>
      <c r="O87" s="21"/>
    </row>
    <row r="88" spans="1:15">
      <c r="A88" s="28" t="s">
        <v>1149</v>
      </c>
      <c r="B88" s="29" t="e">
        <f>IF(C84="FAIL",IF(D84="FAIL",IF(E84="FAIL",IF(F84="FAIL",IF(G84="FAIL",IF(H84="FAIL",IF(I84="FAIL",IF(J84="FAIL",IF(K84="FAIL",IF(L84="FAIL",IF(M84="FAIL","NO MATCH",$M$1),$L$1),$K$1),$J$1),$I$1),$H$1),$G$1),$F$1),$E$1),$D$1),$C$1)</f>
        <v>#DIV/0!</v>
      </c>
      <c r="C88" s="30" t="s">
        <v>1151</v>
      </c>
      <c r="D88" s="21"/>
      <c r="E88" s="21"/>
      <c r="F88" s="21"/>
      <c r="G88" s="21"/>
      <c r="H88" s="26"/>
      <c r="I88" s="21"/>
      <c r="J88" s="21"/>
      <c r="K88" s="21"/>
      <c r="L88" s="21"/>
      <c r="N88" s="21"/>
      <c r="O88" s="21"/>
    </row>
    <row r="89" spans="1:15" ht="18.600000000000001" thickBot="1"/>
    <row r="90" spans="1:15" s="23" customFormat="1">
      <c r="A90" s="3214" t="s">
        <v>1122</v>
      </c>
      <c r="B90" s="3216"/>
      <c r="C90" s="35">
        <v>16</v>
      </c>
      <c r="D90" s="36">
        <v>25</v>
      </c>
      <c r="E90" s="36">
        <v>35</v>
      </c>
      <c r="F90" s="36">
        <v>50</v>
      </c>
      <c r="G90" s="36">
        <v>70</v>
      </c>
      <c r="H90" s="36">
        <v>95</v>
      </c>
      <c r="I90" s="36">
        <v>120</v>
      </c>
      <c r="J90" s="36">
        <v>150</v>
      </c>
      <c r="K90" s="36">
        <v>185</v>
      </c>
      <c r="L90" s="36">
        <v>240</v>
      </c>
      <c r="M90" s="36">
        <v>300</v>
      </c>
      <c r="N90" s="37">
        <v>400</v>
      </c>
      <c r="O90" s="22"/>
    </row>
    <row r="91" spans="1:15" s="23" customFormat="1" ht="18.600000000000001" thickBot="1">
      <c r="A91" s="3215"/>
      <c r="B91" s="3217"/>
      <c r="C91" s="1978" t="s">
        <v>1123</v>
      </c>
      <c r="D91" s="1979" t="s">
        <v>1124</v>
      </c>
      <c r="E91" s="1979" t="s">
        <v>1125</v>
      </c>
      <c r="F91" s="1979" t="s">
        <v>1126</v>
      </c>
      <c r="G91" s="1979" t="s">
        <v>1127</v>
      </c>
      <c r="H91" s="1979" t="s">
        <v>1128</v>
      </c>
      <c r="I91" s="1979" t="s">
        <v>1129</v>
      </c>
      <c r="J91" s="1979" t="s">
        <v>1130</v>
      </c>
      <c r="K91" s="1979" t="s">
        <v>1131</v>
      </c>
      <c r="L91" s="1979" t="s">
        <v>1132</v>
      </c>
      <c r="M91" s="1979" t="s">
        <v>1133</v>
      </c>
      <c r="N91" s="1980" t="s">
        <v>1134</v>
      </c>
      <c r="O91" s="22"/>
    </row>
    <row r="92" spans="1:15">
      <c r="A92" s="1981" t="s">
        <v>1135</v>
      </c>
      <c r="B92" s="1982"/>
      <c r="C92" s="31">
        <v>74</v>
      </c>
      <c r="D92" s="31">
        <v>94</v>
      </c>
      <c r="E92" s="31">
        <v>113</v>
      </c>
      <c r="F92" s="31">
        <v>133</v>
      </c>
      <c r="G92" s="31">
        <v>164</v>
      </c>
      <c r="H92" s="31">
        <v>196</v>
      </c>
      <c r="I92" s="31">
        <v>223</v>
      </c>
      <c r="J92" s="31">
        <v>249</v>
      </c>
      <c r="K92" s="31">
        <v>282</v>
      </c>
      <c r="L92" s="31">
        <v>326</v>
      </c>
      <c r="M92" s="31">
        <v>367</v>
      </c>
      <c r="N92" s="32">
        <v>418</v>
      </c>
      <c r="O92" s="21"/>
    </row>
    <row r="93" spans="1:15">
      <c r="A93" s="1967" t="s">
        <v>1136</v>
      </c>
      <c r="B93" s="43"/>
      <c r="C93" s="24">
        <v>74</v>
      </c>
      <c r="D93" s="24">
        <v>96</v>
      </c>
      <c r="E93" s="24">
        <v>117</v>
      </c>
      <c r="F93" s="24">
        <v>142</v>
      </c>
      <c r="G93" s="24">
        <v>179</v>
      </c>
      <c r="H93" s="24">
        <v>221</v>
      </c>
      <c r="I93" s="24">
        <v>257</v>
      </c>
      <c r="J93" s="24">
        <v>292</v>
      </c>
      <c r="K93" s="24">
        <v>337</v>
      </c>
      <c r="L93" s="24">
        <v>399</v>
      </c>
      <c r="M93" s="24">
        <v>455</v>
      </c>
      <c r="N93" s="33">
        <v>530</v>
      </c>
      <c r="O93" s="21"/>
    </row>
    <row r="94" spans="1:15" ht="22.5" customHeight="1">
      <c r="A94" s="1967" t="s">
        <v>1137</v>
      </c>
      <c r="B94" s="42">
        <v>0.7</v>
      </c>
      <c r="C94" s="24">
        <f>B94</f>
        <v>0.7</v>
      </c>
      <c r="D94" s="24">
        <f>C94</f>
        <v>0.7</v>
      </c>
      <c r="E94" s="24">
        <f t="shared" ref="E94" si="126">D94</f>
        <v>0.7</v>
      </c>
      <c r="F94" s="24">
        <f t="shared" ref="F94" si="127">E94</f>
        <v>0.7</v>
      </c>
      <c r="G94" s="24">
        <f t="shared" ref="G94" si="128">F94</f>
        <v>0.7</v>
      </c>
      <c r="H94" s="24">
        <f t="shared" ref="H94" si="129">G94</f>
        <v>0.7</v>
      </c>
      <c r="I94" s="24">
        <f t="shared" ref="I94" si="130">H94</f>
        <v>0.7</v>
      </c>
      <c r="J94" s="24">
        <f t="shared" ref="J94" si="131">I94</f>
        <v>0.7</v>
      </c>
      <c r="K94" s="24">
        <f t="shared" ref="K94" si="132">J94</f>
        <v>0.7</v>
      </c>
      <c r="L94" s="24">
        <f t="shared" ref="L94" si="133">K94</f>
        <v>0.7</v>
      </c>
      <c r="M94" s="24">
        <f>L94</f>
        <v>0.7</v>
      </c>
      <c r="N94" s="33">
        <f>M94</f>
        <v>0.7</v>
      </c>
      <c r="O94" s="21"/>
    </row>
    <row r="95" spans="1:15">
      <c r="A95" s="1967" t="s">
        <v>1138</v>
      </c>
      <c r="B95" s="43"/>
      <c r="C95" s="24">
        <f>C92*C94</f>
        <v>51.8</v>
      </c>
      <c r="D95" s="24">
        <f t="shared" ref="D95:G95" si="134">D92*D94</f>
        <v>65.8</v>
      </c>
      <c r="E95" s="24">
        <f t="shared" si="134"/>
        <v>79.099999999999994</v>
      </c>
      <c r="F95" s="24">
        <f t="shared" si="134"/>
        <v>93.1</v>
      </c>
      <c r="G95" s="24">
        <f t="shared" si="134"/>
        <v>114.8</v>
      </c>
      <c r="H95" s="24">
        <f>H92*H94</f>
        <v>137.19999999999999</v>
      </c>
      <c r="I95" s="24">
        <f t="shared" ref="I95:N95" si="135">I92*I94</f>
        <v>156.1</v>
      </c>
      <c r="J95" s="24">
        <f t="shared" si="135"/>
        <v>174.29999999999998</v>
      </c>
      <c r="K95" s="24">
        <f t="shared" si="135"/>
        <v>197.39999999999998</v>
      </c>
      <c r="L95" s="24">
        <f t="shared" si="135"/>
        <v>228.2</v>
      </c>
      <c r="M95" s="24">
        <f t="shared" si="135"/>
        <v>256.89999999999998</v>
      </c>
      <c r="N95" s="33">
        <f t="shared" si="135"/>
        <v>292.59999999999997</v>
      </c>
      <c r="O95" s="21"/>
    </row>
    <row r="96" spans="1:15">
      <c r="A96" s="1967" t="s">
        <v>1139</v>
      </c>
      <c r="B96" s="43"/>
      <c r="C96" s="24">
        <f>C93*C94</f>
        <v>51.8</v>
      </c>
      <c r="D96" s="24">
        <f>D93*D94</f>
        <v>67.199999999999989</v>
      </c>
      <c r="E96" s="24">
        <f t="shared" ref="E96:G96" si="136">E93*E94</f>
        <v>81.899999999999991</v>
      </c>
      <c r="F96" s="24">
        <f t="shared" si="136"/>
        <v>99.399999999999991</v>
      </c>
      <c r="G96" s="24">
        <f t="shared" si="136"/>
        <v>125.3</v>
      </c>
      <c r="H96" s="24">
        <f>H93*H94</f>
        <v>154.69999999999999</v>
      </c>
      <c r="I96" s="24">
        <f t="shared" ref="I96:N96" si="137">I93*I94</f>
        <v>179.89999999999998</v>
      </c>
      <c r="J96" s="24">
        <f t="shared" si="137"/>
        <v>204.39999999999998</v>
      </c>
      <c r="K96" s="24">
        <f t="shared" si="137"/>
        <v>235.89999999999998</v>
      </c>
      <c r="L96" s="24">
        <f t="shared" si="137"/>
        <v>279.29999999999995</v>
      </c>
      <c r="M96" s="24">
        <f t="shared" si="137"/>
        <v>318.5</v>
      </c>
      <c r="N96" s="33">
        <f t="shared" si="137"/>
        <v>371</v>
      </c>
      <c r="O96" s="21"/>
    </row>
    <row r="97" spans="1:15">
      <c r="A97" s="1967"/>
      <c r="B97" s="43"/>
      <c r="C97" s="24"/>
      <c r="D97" s="24"/>
      <c r="E97" s="24"/>
      <c r="F97" s="24"/>
      <c r="G97" s="24"/>
      <c r="H97" s="24"/>
      <c r="I97" s="24"/>
      <c r="J97" s="24"/>
      <c r="K97" s="24"/>
      <c r="L97" s="24"/>
      <c r="M97" s="24"/>
      <c r="N97" s="33"/>
      <c r="O97" s="21"/>
    </row>
    <row r="98" spans="1:15">
      <c r="A98" s="1967" t="s">
        <v>1140</v>
      </c>
      <c r="B98" s="43"/>
      <c r="C98" s="24">
        <v>2.44</v>
      </c>
      <c r="D98" s="24">
        <v>1.54</v>
      </c>
      <c r="E98" s="24">
        <v>1.1100000000000001</v>
      </c>
      <c r="F98" s="24">
        <v>0.82</v>
      </c>
      <c r="G98" s="24">
        <v>0.56699999999999995</v>
      </c>
      <c r="H98" s="24">
        <v>0.41</v>
      </c>
      <c r="I98" s="24">
        <v>0.32400000000000001</v>
      </c>
      <c r="J98" s="24">
        <v>0.26400000000000001</v>
      </c>
      <c r="K98" s="24">
        <v>0.21</v>
      </c>
      <c r="L98" s="24">
        <v>0.16</v>
      </c>
      <c r="M98" s="24">
        <v>0.128</v>
      </c>
      <c r="N98" s="33">
        <v>0.1</v>
      </c>
      <c r="O98" s="21"/>
    </row>
    <row r="99" spans="1:15">
      <c r="A99" s="1967" t="s">
        <v>1141</v>
      </c>
      <c r="B99" s="43"/>
      <c r="C99" s="24">
        <v>8.0799999999999997E-2</v>
      </c>
      <c r="D99" s="24">
        <v>8.0500000000000002E-2</v>
      </c>
      <c r="E99" s="24">
        <v>7.8299999999999995E-2</v>
      </c>
      <c r="F99" s="24">
        <v>7.4999999999999997E-2</v>
      </c>
      <c r="G99" s="24">
        <v>7.3999999999999996E-2</v>
      </c>
      <c r="H99" s="24">
        <v>7.2400000000000006E-2</v>
      </c>
      <c r="I99" s="24">
        <v>7.1199999999999999E-2</v>
      </c>
      <c r="J99" s="24">
        <v>7.1599999999999997E-2</v>
      </c>
      <c r="K99" s="24">
        <v>7.1800000000000003E-2</v>
      </c>
      <c r="L99" s="24">
        <v>7.0999999999999994E-2</v>
      </c>
      <c r="M99" s="24">
        <v>7.0499999999999993E-2</v>
      </c>
      <c r="N99" s="33">
        <v>7.0400000000000004E-2</v>
      </c>
      <c r="O99" s="21"/>
    </row>
    <row r="100" spans="1:15">
      <c r="A100" s="1967"/>
      <c r="B100" s="43"/>
      <c r="C100" s="24"/>
      <c r="D100" s="24"/>
      <c r="E100" s="24"/>
      <c r="F100" s="24"/>
      <c r="G100" s="24"/>
      <c r="H100" s="24"/>
      <c r="I100" s="24"/>
      <c r="J100" s="24"/>
      <c r="K100" s="24"/>
      <c r="L100" s="24"/>
      <c r="M100" s="24"/>
      <c r="N100" s="33"/>
      <c r="O100" s="21"/>
    </row>
    <row r="101" spans="1:15" ht="24.75" customHeight="1">
      <c r="A101" s="1968" t="s">
        <v>1142</v>
      </c>
      <c r="B101" s="41">
        <f>A109</f>
        <v>0</v>
      </c>
      <c r="C101" s="24">
        <f t="shared" ref="C101:C103" si="138">B101</f>
        <v>0</v>
      </c>
      <c r="D101" s="24">
        <f t="shared" ref="D101:D103" si="139">C101</f>
        <v>0</v>
      </c>
      <c r="E101" s="24">
        <f t="shared" ref="E101:E103" si="140">D101</f>
        <v>0</v>
      </c>
      <c r="F101" s="24">
        <f t="shared" ref="F101:F103" si="141">E101</f>
        <v>0</v>
      </c>
      <c r="G101" s="24">
        <f t="shared" ref="G101:G103" si="142">F101</f>
        <v>0</v>
      </c>
      <c r="H101" s="24">
        <f t="shared" ref="H101:H103" si="143">G101</f>
        <v>0</v>
      </c>
      <c r="I101" s="24">
        <f t="shared" ref="I101:I103" si="144">H101</f>
        <v>0</v>
      </c>
      <c r="J101" s="24">
        <f t="shared" ref="J101:J103" si="145">I101</f>
        <v>0</v>
      </c>
      <c r="K101" s="24">
        <f t="shared" ref="K101:K103" si="146">J101</f>
        <v>0</v>
      </c>
      <c r="L101" s="24">
        <f t="shared" ref="L101:L103" si="147">K101</f>
        <v>0</v>
      </c>
      <c r="M101" s="24">
        <f t="shared" ref="M101:M103" si="148">L101</f>
        <v>0</v>
      </c>
      <c r="N101" s="33">
        <f t="shared" ref="N101:N103" si="149">M101</f>
        <v>0</v>
      </c>
      <c r="O101" s="21"/>
    </row>
    <row r="102" spans="1:15">
      <c r="A102" s="1968" t="s">
        <v>1143</v>
      </c>
      <c r="B102" s="42">
        <f>'Input''s from Initial Design'!X68</f>
        <v>0</v>
      </c>
      <c r="C102" s="24">
        <f t="shared" si="138"/>
        <v>0</v>
      </c>
      <c r="D102" s="24">
        <f t="shared" si="139"/>
        <v>0</v>
      </c>
      <c r="E102" s="24">
        <f t="shared" si="140"/>
        <v>0</v>
      </c>
      <c r="F102" s="24">
        <f t="shared" si="141"/>
        <v>0</v>
      </c>
      <c r="G102" s="24">
        <f t="shared" si="142"/>
        <v>0</v>
      </c>
      <c r="H102" s="24">
        <f t="shared" si="143"/>
        <v>0</v>
      </c>
      <c r="I102" s="24">
        <f t="shared" si="144"/>
        <v>0</v>
      </c>
      <c r="J102" s="24">
        <f t="shared" si="145"/>
        <v>0</v>
      </c>
      <c r="K102" s="24">
        <f t="shared" si="146"/>
        <v>0</v>
      </c>
      <c r="L102" s="24">
        <f t="shared" si="147"/>
        <v>0</v>
      </c>
      <c r="M102" s="24">
        <f t="shared" si="148"/>
        <v>0</v>
      </c>
      <c r="N102" s="33">
        <f t="shared" si="149"/>
        <v>0</v>
      </c>
      <c r="O102" s="21"/>
    </row>
    <row r="103" spans="1:15">
      <c r="A103" s="1968" t="s">
        <v>1144</v>
      </c>
      <c r="B103" s="42">
        <f>'Input''s from Initial Design'!Y68</f>
        <v>0</v>
      </c>
      <c r="C103" s="24">
        <f t="shared" si="138"/>
        <v>0</v>
      </c>
      <c r="D103" s="24">
        <f t="shared" si="139"/>
        <v>0</v>
      </c>
      <c r="E103" s="24">
        <f t="shared" si="140"/>
        <v>0</v>
      </c>
      <c r="F103" s="24">
        <f t="shared" si="141"/>
        <v>0</v>
      </c>
      <c r="G103" s="24">
        <f t="shared" si="142"/>
        <v>0</v>
      </c>
      <c r="H103" s="24">
        <f t="shared" si="143"/>
        <v>0</v>
      </c>
      <c r="I103" s="24">
        <f t="shared" si="144"/>
        <v>0</v>
      </c>
      <c r="J103" s="24">
        <f t="shared" si="145"/>
        <v>0</v>
      </c>
      <c r="K103" s="24">
        <f t="shared" si="146"/>
        <v>0</v>
      </c>
      <c r="L103" s="24">
        <f t="shared" si="147"/>
        <v>0</v>
      </c>
      <c r="M103" s="24">
        <f t="shared" si="148"/>
        <v>0</v>
      </c>
      <c r="N103" s="33">
        <f t="shared" si="149"/>
        <v>0</v>
      </c>
      <c r="O103" s="21"/>
    </row>
    <row r="104" spans="1:15">
      <c r="A104" s="1968" t="s">
        <v>1145</v>
      </c>
      <c r="B104" s="42">
        <v>415</v>
      </c>
      <c r="C104" s="24">
        <f>+B104</f>
        <v>415</v>
      </c>
      <c r="D104" s="24">
        <f t="shared" ref="D104" si="150">+C104</f>
        <v>415</v>
      </c>
      <c r="E104" s="24">
        <f t="shared" ref="E104" si="151">+D104</f>
        <v>415</v>
      </c>
      <c r="F104" s="24">
        <f t="shared" ref="F104" si="152">+E104</f>
        <v>415</v>
      </c>
      <c r="G104" s="24">
        <f t="shared" ref="G104" si="153">+F104</f>
        <v>415</v>
      </c>
      <c r="H104" s="24">
        <f t="shared" ref="H104" si="154">+G104</f>
        <v>415</v>
      </c>
      <c r="I104" s="24">
        <f t="shared" ref="I104" si="155">+H104</f>
        <v>415</v>
      </c>
      <c r="J104" s="24">
        <f t="shared" ref="J104" si="156">+I104</f>
        <v>415</v>
      </c>
      <c r="K104" s="24">
        <f t="shared" ref="K104" si="157">+J104</f>
        <v>415</v>
      </c>
      <c r="L104" s="24">
        <f t="shared" ref="L104" si="158">+K104</f>
        <v>415</v>
      </c>
      <c r="M104" s="24">
        <f t="shared" ref="M104" si="159">+L104</f>
        <v>415</v>
      </c>
      <c r="N104" s="33">
        <f t="shared" ref="N104" si="160">+M104</f>
        <v>415</v>
      </c>
      <c r="O104" s="21"/>
    </row>
    <row r="105" spans="1:15">
      <c r="A105" s="1967" t="s">
        <v>1146</v>
      </c>
      <c r="B105" s="43"/>
      <c r="C105" s="25" t="e">
        <f t="shared" ref="C105:N105" si="161">1.732*C101*(C98/1000*1+C99/1000*0)*C102/C103</f>
        <v>#DIV/0!</v>
      </c>
      <c r="D105" s="25" t="e">
        <f t="shared" si="161"/>
        <v>#DIV/0!</v>
      </c>
      <c r="E105" s="25" t="e">
        <f t="shared" si="161"/>
        <v>#DIV/0!</v>
      </c>
      <c r="F105" s="25" t="e">
        <f t="shared" si="161"/>
        <v>#DIV/0!</v>
      </c>
      <c r="G105" s="25" t="e">
        <f t="shared" si="161"/>
        <v>#DIV/0!</v>
      </c>
      <c r="H105" s="25" t="e">
        <f t="shared" si="161"/>
        <v>#DIV/0!</v>
      </c>
      <c r="I105" s="25" t="e">
        <f t="shared" si="161"/>
        <v>#DIV/0!</v>
      </c>
      <c r="J105" s="25" t="e">
        <f t="shared" si="161"/>
        <v>#DIV/0!</v>
      </c>
      <c r="K105" s="25" t="e">
        <f t="shared" si="161"/>
        <v>#DIV/0!</v>
      </c>
      <c r="L105" s="25" t="e">
        <f t="shared" si="161"/>
        <v>#DIV/0!</v>
      </c>
      <c r="M105" s="25" t="e">
        <f t="shared" si="161"/>
        <v>#DIV/0!</v>
      </c>
      <c r="N105" s="34" t="e">
        <f t="shared" si="161"/>
        <v>#DIV/0!</v>
      </c>
      <c r="O105" s="21"/>
    </row>
    <row r="106" spans="1:15">
      <c r="A106" s="1967" t="s">
        <v>1147</v>
      </c>
      <c r="B106" s="43"/>
      <c r="C106" s="1965" t="e">
        <f>C105/C104</f>
        <v>#DIV/0!</v>
      </c>
      <c r="D106" s="1965" t="e">
        <f t="shared" ref="D106:N106" si="162">D105/D104</f>
        <v>#DIV/0!</v>
      </c>
      <c r="E106" s="1965" t="e">
        <f t="shared" si="162"/>
        <v>#DIV/0!</v>
      </c>
      <c r="F106" s="1965" t="e">
        <f t="shared" si="162"/>
        <v>#DIV/0!</v>
      </c>
      <c r="G106" s="1965" t="e">
        <f t="shared" si="162"/>
        <v>#DIV/0!</v>
      </c>
      <c r="H106" s="1965" t="e">
        <f t="shared" si="162"/>
        <v>#DIV/0!</v>
      </c>
      <c r="I106" s="1965" t="e">
        <f t="shared" si="162"/>
        <v>#DIV/0!</v>
      </c>
      <c r="J106" s="1965" t="e">
        <f t="shared" si="162"/>
        <v>#DIV/0!</v>
      </c>
      <c r="K106" s="1965" t="e">
        <f t="shared" si="162"/>
        <v>#DIV/0!</v>
      </c>
      <c r="L106" s="1965" t="e">
        <f t="shared" si="162"/>
        <v>#DIV/0!</v>
      </c>
      <c r="M106" s="1965" t="e">
        <f t="shared" si="162"/>
        <v>#DIV/0!</v>
      </c>
      <c r="N106" s="1969" t="e">
        <f t="shared" si="162"/>
        <v>#DIV/0!</v>
      </c>
      <c r="O106" s="21"/>
    </row>
    <row r="107" spans="1:15">
      <c r="A107" s="1968" t="s">
        <v>1148</v>
      </c>
      <c r="B107" s="1966">
        <v>0.02</v>
      </c>
      <c r="C107" s="24" t="e">
        <f>IF(AND((C101*1.25)&lt;(C95*C103),(C106&lt;$B$16)),"PASS","FAIL")</f>
        <v>#DIV/0!</v>
      </c>
      <c r="D107" s="24" t="e">
        <f>IF(AND((D101*1.25)&lt;(D95*D103),(D106&lt;$B$16)),"PASS","FAIL")</f>
        <v>#DIV/0!</v>
      </c>
      <c r="E107" s="24" t="e">
        <f>IF(AND((E101*1.25)&lt;(E95*E103),(E106&lt;$B$16)),"PASS","FAIL")</f>
        <v>#DIV/0!</v>
      </c>
      <c r="F107" s="24" t="e">
        <f>IF(AND((F101*1.25)&lt;(F95*F103),(F106&lt;$B$16)),"PASS","FAIL")</f>
        <v>#DIV/0!</v>
      </c>
      <c r="G107" s="24" t="e">
        <f>IF(AND((G101*1.25)&lt;(G95*G103),(G106&lt;$B$16)),"PASS","FAIL")</f>
        <v>#DIV/0!</v>
      </c>
      <c r="H107" s="24" t="e">
        <f>IF(AND((H101*1.1)&lt;(H95*H103),(H106&lt;$B$16)),"PASS","FAIL")</f>
        <v>#DIV/0!</v>
      </c>
      <c r="I107" s="24" t="e">
        <f t="shared" ref="I107:N107" si="163">IF(AND((I101*1.25)&lt;(I95*I103),(I106&lt;$B$16)),"PASS","FAIL")</f>
        <v>#DIV/0!</v>
      </c>
      <c r="J107" s="24" t="e">
        <f t="shared" si="163"/>
        <v>#DIV/0!</v>
      </c>
      <c r="K107" s="24" t="e">
        <f t="shared" si="163"/>
        <v>#DIV/0!</v>
      </c>
      <c r="L107" s="24" t="e">
        <f t="shared" si="163"/>
        <v>#DIV/0!</v>
      </c>
      <c r="M107" s="24" t="e">
        <f t="shared" si="163"/>
        <v>#DIV/0!</v>
      </c>
      <c r="N107" s="33" t="e">
        <f t="shared" si="163"/>
        <v>#DIV/0!</v>
      </c>
      <c r="O107" s="21"/>
    </row>
    <row r="108" spans="1:15" ht="18.600000000000001" thickBot="1">
      <c r="A108" s="1970" t="s">
        <v>1149</v>
      </c>
      <c r="B108" s="1971"/>
      <c r="C108" s="1972" t="e">
        <f t="shared" ref="C108:N108" si="164">IF(AND((C101*1.25)&lt;(C96*C103),(C106&lt;$B$16)),"PASS","FAIL")</f>
        <v>#DIV/0!</v>
      </c>
      <c r="D108" s="1972" t="e">
        <f t="shared" si="164"/>
        <v>#DIV/0!</v>
      </c>
      <c r="E108" s="1972" t="e">
        <f t="shared" si="164"/>
        <v>#DIV/0!</v>
      </c>
      <c r="F108" s="1972" t="e">
        <f t="shared" si="164"/>
        <v>#DIV/0!</v>
      </c>
      <c r="G108" s="1972" t="e">
        <f t="shared" si="164"/>
        <v>#DIV/0!</v>
      </c>
      <c r="H108" s="1972" t="e">
        <f t="shared" si="164"/>
        <v>#DIV/0!</v>
      </c>
      <c r="I108" s="1972" t="e">
        <f t="shared" si="164"/>
        <v>#DIV/0!</v>
      </c>
      <c r="J108" s="1972" t="e">
        <f t="shared" si="164"/>
        <v>#DIV/0!</v>
      </c>
      <c r="K108" s="1972" t="e">
        <f t="shared" si="164"/>
        <v>#DIV/0!</v>
      </c>
      <c r="L108" s="1972" t="e">
        <f t="shared" si="164"/>
        <v>#DIV/0!</v>
      </c>
      <c r="M108" s="1972" t="e">
        <f t="shared" si="164"/>
        <v>#DIV/0!</v>
      </c>
      <c r="N108" s="1973" t="e">
        <f t="shared" si="164"/>
        <v>#DIV/0!</v>
      </c>
      <c r="O108" s="21"/>
    </row>
    <row r="109" spans="1:15">
      <c r="A109" s="1963">
        <f>('Input''s from Initial Design'!W68*1000/(1.732*440*1))</f>
        <v>0</v>
      </c>
      <c r="B109" s="1964" t="s">
        <v>1150</v>
      </c>
      <c r="C109" s="26"/>
      <c r="D109" s="3213"/>
      <c r="E109" s="3213"/>
      <c r="F109" s="3213"/>
      <c r="G109" s="21"/>
      <c r="H109" s="21"/>
      <c r="I109" s="21"/>
      <c r="J109" s="21"/>
    </row>
    <row r="110" spans="1:15">
      <c r="A110" s="21"/>
      <c r="B110" s="21"/>
      <c r="C110" s="26"/>
      <c r="D110" s="21"/>
      <c r="E110" s="21">
        <v>5</v>
      </c>
      <c r="F110" s="21"/>
      <c r="G110" s="27"/>
      <c r="H110" s="21"/>
      <c r="I110" s="21"/>
      <c r="J110" s="21"/>
    </row>
    <row r="111" spans="1:15">
      <c r="A111" s="28" t="s">
        <v>1148</v>
      </c>
      <c r="B111" s="29" t="e">
        <f>IF(C107="FAIL",IF(D107="FAIL",IF(E107="FAIL",IF(F107="FAIL",IF(G107="FAIL",IF(H107="FAIL",IF(I107="FAIL",IF(J107="FAIL",IF(K107="FAIL",IF(L107="FAIL",IF(M107="FAIL","NO MATCH",$M$1),$L$1),$K$1),$J$1),$I$1),$H$1),$G$1),$F$1),$E$1),$D$1),$C$1)</f>
        <v>#DIV/0!</v>
      </c>
      <c r="C111" s="30" t="s">
        <v>1151</v>
      </c>
      <c r="D111" s="21"/>
      <c r="E111" s="21"/>
      <c r="F111" s="21"/>
      <c r="G111" s="21"/>
      <c r="H111" s="26"/>
      <c r="I111" s="21"/>
      <c r="J111" s="21"/>
      <c r="K111" s="21"/>
      <c r="L111" s="21"/>
      <c r="N111" s="21"/>
      <c r="O111" s="21"/>
    </row>
    <row r="112" spans="1:15">
      <c r="A112" s="28" t="s">
        <v>1149</v>
      </c>
      <c r="B112" s="29" t="e">
        <f>IF(C108="FAIL",IF(D108="FAIL",IF(E108="FAIL",IF(F108="FAIL",IF(G108="FAIL",IF(H108="FAIL",IF(I108="FAIL",IF(J108="FAIL",IF(K108="FAIL",IF(L108="FAIL",IF(M108="FAIL","NO MATCH",$M$1),$L$1),$K$1),$J$1),$I$1),$H$1),$G$1),$F$1),$E$1),$D$1),$C$1)</f>
        <v>#DIV/0!</v>
      </c>
      <c r="C112" s="30" t="s">
        <v>1151</v>
      </c>
      <c r="D112" s="21"/>
      <c r="E112" s="21"/>
      <c r="F112" s="21"/>
      <c r="G112" s="21"/>
      <c r="H112" s="26"/>
      <c r="I112" s="21"/>
      <c r="J112" s="21"/>
      <c r="K112" s="21"/>
      <c r="L112" s="21"/>
      <c r="N112" s="21"/>
      <c r="O112" s="21"/>
    </row>
    <row r="113" spans="1:15" ht="18.600000000000001" thickBot="1"/>
    <row r="114" spans="1:15" s="23" customFormat="1">
      <c r="A114" s="3214" t="s">
        <v>1122</v>
      </c>
      <c r="B114" s="3216"/>
      <c r="C114" s="35">
        <v>16</v>
      </c>
      <c r="D114" s="36">
        <v>25</v>
      </c>
      <c r="E114" s="36">
        <v>35</v>
      </c>
      <c r="F114" s="36">
        <v>50</v>
      </c>
      <c r="G114" s="36">
        <v>70</v>
      </c>
      <c r="H114" s="36">
        <v>95</v>
      </c>
      <c r="I114" s="36">
        <v>120</v>
      </c>
      <c r="J114" s="36">
        <v>150</v>
      </c>
      <c r="K114" s="36">
        <v>185</v>
      </c>
      <c r="L114" s="36">
        <v>240</v>
      </c>
      <c r="M114" s="36">
        <v>300</v>
      </c>
      <c r="N114" s="37">
        <v>400</v>
      </c>
      <c r="O114" s="22"/>
    </row>
    <row r="115" spans="1:15" s="23" customFormat="1" ht="18.600000000000001" thickBot="1">
      <c r="A115" s="3215"/>
      <c r="B115" s="3217"/>
      <c r="C115" s="1978" t="s">
        <v>1123</v>
      </c>
      <c r="D115" s="1979" t="s">
        <v>1124</v>
      </c>
      <c r="E115" s="1979" t="s">
        <v>1125</v>
      </c>
      <c r="F115" s="1979" t="s">
        <v>1126</v>
      </c>
      <c r="G115" s="1979" t="s">
        <v>1127</v>
      </c>
      <c r="H115" s="1979" t="s">
        <v>1128</v>
      </c>
      <c r="I115" s="1979" t="s">
        <v>1129</v>
      </c>
      <c r="J115" s="1979" t="s">
        <v>1130</v>
      </c>
      <c r="K115" s="1979" t="s">
        <v>1131</v>
      </c>
      <c r="L115" s="1979" t="s">
        <v>1132</v>
      </c>
      <c r="M115" s="1979" t="s">
        <v>1133</v>
      </c>
      <c r="N115" s="1980" t="s">
        <v>1134</v>
      </c>
      <c r="O115" s="22"/>
    </row>
    <row r="116" spans="1:15">
      <c r="A116" s="1981" t="s">
        <v>1135</v>
      </c>
      <c r="B116" s="1982"/>
      <c r="C116" s="31">
        <v>74</v>
      </c>
      <c r="D116" s="31">
        <v>94</v>
      </c>
      <c r="E116" s="31">
        <v>113</v>
      </c>
      <c r="F116" s="31">
        <v>133</v>
      </c>
      <c r="G116" s="31">
        <v>164</v>
      </c>
      <c r="H116" s="31">
        <v>196</v>
      </c>
      <c r="I116" s="31">
        <v>223</v>
      </c>
      <c r="J116" s="31">
        <v>249</v>
      </c>
      <c r="K116" s="31">
        <v>282</v>
      </c>
      <c r="L116" s="31">
        <v>326</v>
      </c>
      <c r="M116" s="31">
        <v>367</v>
      </c>
      <c r="N116" s="32">
        <v>418</v>
      </c>
      <c r="O116" s="21"/>
    </row>
    <row r="117" spans="1:15">
      <c r="A117" s="1967" t="s">
        <v>1136</v>
      </c>
      <c r="B117" s="43"/>
      <c r="C117" s="24">
        <v>74</v>
      </c>
      <c r="D117" s="24">
        <v>96</v>
      </c>
      <c r="E117" s="24">
        <v>117</v>
      </c>
      <c r="F117" s="24">
        <v>142</v>
      </c>
      <c r="G117" s="24">
        <v>179</v>
      </c>
      <c r="H117" s="24">
        <v>221</v>
      </c>
      <c r="I117" s="24">
        <v>257</v>
      </c>
      <c r="J117" s="24">
        <v>292</v>
      </c>
      <c r="K117" s="24">
        <v>337</v>
      </c>
      <c r="L117" s="24">
        <v>399</v>
      </c>
      <c r="M117" s="24">
        <v>455</v>
      </c>
      <c r="N117" s="33">
        <v>530</v>
      </c>
      <c r="O117" s="21"/>
    </row>
    <row r="118" spans="1:15" ht="22.5" customHeight="1">
      <c r="A118" s="1967" t="s">
        <v>1137</v>
      </c>
      <c r="B118" s="42">
        <v>0.7</v>
      </c>
      <c r="C118" s="24">
        <f>B118</f>
        <v>0.7</v>
      </c>
      <c r="D118" s="24">
        <f>C118</f>
        <v>0.7</v>
      </c>
      <c r="E118" s="24">
        <f t="shared" ref="E118" si="165">D118</f>
        <v>0.7</v>
      </c>
      <c r="F118" s="24">
        <f t="shared" ref="F118" si="166">E118</f>
        <v>0.7</v>
      </c>
      <c r="G118" s="24">
        <f t="shared" ref="G118" si="167">F118</f>
        <v>0.7</v>
      </c>
      <c r="H118" s="24">
        <f t="shared" ref="H118" si="168">G118</f>
        <v>0.7</v>
      </c>
      <c r="I118" s="24">
        <f t="shared" ref="I118" si="169">H118</f>
        <v>0.7</v>
      </c>
      <c r="J118" s="24">
        <f t="shared" ref="J118" si="170">I118</f>
        <v>0.7</v>
      </c>
      <c r="K118" s="24">
        <f t="shared" ref="K118" si="171">J118</f>
        <v>0.7</v>
      </c>
      <c r="L118" s="24">
        <f t="shared" ref="L118" si="172">K118</f>
        <v>0.7</v>
      </c>
      <c r="M118" s="24">
        <f>L118</f>
        <v>0.7</v>
      </c>
      <c r="N118" s="33">
        <f>M118</f>
        <v>0.7</v>
      </c>
      <c r="O118" s="21"/>
    </row>
    <row r="119" spans="1:15">
      <c r="A119" s="1967" t="s">
        <v>1138</v>
      </c>
      <c r="B119" s="43"/>
      <c r="C119" s="24">
        <f>C116*C118</f>
        <v>51.8</v>
      </c>
      <c r="D119" s="24">
        <f t="shared" ref="D119:G119" si="173">D116*D118</f>
        <v>65.8</v>
      </c>
      <c r="E119" s="24">
        <f t="shared" si="173"/>
        <v>79.099999999999994</v>
      </c>
      <c r="F119" s="24">
        <f t="shared" si="173"/>
        <v>93.1</v>
      </c>
      <c r="G119" s="24">
        <f t="shared" si="173"/>
        <v>114.8</v>
      </c>
      <c r="H119" s="24">
        <f>H116*H118</f>
        <v>137.19999999999999</v>
      </c>
      <c r="I119" s="24">
        <f t="shared" ref="I119:N119" si="174">I116*I118</f>
        <v>156.1</v>
      </c>
      <c r="J119" s="24">
        <f t="shared" si="174"/>
        <v>174.29999999999998</v>
      </c>
      <c r="K119" s="24">
        <f t="shared" si="174"/>
        <v>197.39999999999998</v>
      </c>
      <c r="L119" s="24">
        <f t="shared" si="174"/>
        <v>228.2</v>
      </c>
      <c r="M119" s="24">
        <f t="shared" si="174"/>
        <v>256.89999999999998</v>
      </c>
      <c r="N119" s="33">
        <f t="shared" si="174"/>
        <v>292.59999999999997</v>
      </c>
      <c r="O119" s="21"/>
    </row>
    <row r="120" spans="1:15">
      <c r="A120" s="1967" t="s">
        <v>1139</v>
      </c>
      <c r="B120" s="43"/>
      <c r="C120" s="24">
        <f>C117*C118</f>
        <v>51.8</v>
      </c>
      <c r="D120" s="24">
        <f>D117*D118</f>
        <v>67.199999999999989</v>
      </c>
      <c r="E120" s="24">
        <f t="shared" ref="E120:G120" si="175">E117*E118</f>
        <v>81.899999999999991</v>
      </c>
      <c r="F120" s="24">
        <f t="shared" si="175"/>
        <v>99.399999999999991</v>
      </c>
      <c r="G120" s="24">
        <f t="shared" si="175"/>
        <v>125.3</v>
      </c>
      <c r="H120" s="24">
        <f>H117*H118</f>
        <v>154.69999999999999</v>
      </c>
      <c r="I120" s="24">
        <f t="shared" ref="I120:N120" si="176">I117*I118</f>
        <v>179.89999999999998</v>
      </c>
      <c r="J120" s="24">
        <f t="shared" si="176"/>
        <v>204.39999999999998</v>
      </c>
      <c r="K120" s="24">
        <f t="shared" si="176"/>
        <v>235.89999999999998</v>
      </c>
      <c r="L120" s="24">
        <f t="shared" si="176"/>
        <v>279.29999999999995</v>
      </c>
      <c r="M120" s="24">
        <f t="shared" si="176"/>
        <v>318.5</v>
      </c>
      <c r="N120" s="33">
        <f t="shared" si="176"/>
        <v>371</v>
      </c>
      <c r="O120" s="21"/>
    </row>
    <row r="121" spans="1:15">
      <c r="A121" s="1967"/>
      <c r="B121" s="43"/>
      <c r="C121" s="24"/>
      <c r="D121" s="24"/>
      <c r="E121" s="24"/>
      <c r="F121" s="24"/>
      <c r="G121" s="24"/>
      <c r="H121" s="24"/>
      <c r="I121" s="24"/>
      <c r="J121" s="24"/>
      <c r="K121" s="24"/>
      <c r="L121" s="24"/>
      <c r="M121" s="24"/>
      <c r="N121" s="33"/>
      <c r="O121" s="21"/>
    </row>
    <row r="122" spans="1:15">
      <c r="A122" s="1967" t="s">
        <v>1140</v>
      </c>
      <c r="B122" s="43"/>
      <c r="C122" s="24">
        <v>2.44</v>
      </c>
      <c r="D122" s="24">
        <v>1.54</v>
      </c>
      <c r="E122" s="24">
        <v>1.1100000000000001</v>
      </c>
      <c r="F122" s="24">
        <v>0.82</v>
      </c>
      <c r="G122" s="24">
        <v>0.56699999999999995</v>
      </c>
      <c r="H122" s="24">
        <v>0.41</v>
      </c>
      <c r="I122" s="24">
        <v>0.32400000000000001</v>
      </c>
      <c r="J122" s="24">
        <v>0.26400000000000001</v>
      </c>
      <c r="K122" s="24">
        <v>0.21</v>
      </c>
      <c r="L122" s="24">
        <v>0.16</v>
      </c>
      <c r="M122" s="24">
        <v>0.128</v>
      </c>
      <c r="N122" s="33">
        <v>0.1</v>
      </c>
      <c r="O122" s="21"/>
    </row>
    <row r="123" spans="1:15">
      <c r="A123" s="1967" t="s">
        <v>1141</v>
      </c>
      <c r="B123" s="43"/>
      <c r="C123" s="24">
        <v>8.0799999999999997E-2</v>
      </c>
      <c r="D123" s="24">
        <v>8.0500000000000002E-2</v>
      </c>
      <c r="E123" s="24">
        <v>7.8299999999999995E-2</v>
      </c>
      <c r="F123" s="24">
        <v>7.4999999999999997E-2</v>
      </c>
      <c r="G123" s="24">
        <v>7.3999999999999996E-2</v>
      </c>
      <c r="H123" s="24">
        <v>7.2400000000000006E-2</v>
      </c>
      <c r="I123" s="24">
        <v>7.1199999999999999E-2</v>
      </c>
      <c r="J123" s="24">
        <v>7.1599999999999997E-2</v>
      </c>
      <c r="K123" s="24">
        <v>7.1800000000000003E-2</v>
      </c>
      <c r="L123" s="24">
        <v>7.0999999999999994E-2</v>
      </c>
      <c r="M123" s="24">
        <v>7.0499999999999993E-2</v>
      </c>
      <c r="N123" s="33">
        <v>7.0400000000000004E-2</v>
      </c>
      <c r="O123" s="21"/>
    </row>
    <row r="124" spans="1:15">
      <c r="A124" s="1967"/>
      <c r="B124" s="43"/>
      <c r="C124" s="24"/>
      <c r="D124" s="24"/>
      <c r="E124" s="24"/>
      <c r="F124" s="24"/>
      <c r="G124" s="24"/>
      <c r="H124" s="24"/>
      <c r="I124" s="24"/>
      <c r="J124" s="24"/>
      <c r="K124" s="24"/>
      <c r="L124" s="24"/>
      <c r="M124" s="24"/>
      <c r="N124" s="33"/>
      <c r="O124" s="21"/>
    </row>
    <row r="125" spans="1:15" ht="24.75" customHeight="1">
      <c r="A125" s="1968" t="s">
        <v>1142</v>
      </c>
      <c r="B125" s="41">
        <f>A133</f>
        <v>0</v>
      </c>
      <c r="C125" s="24">
        <f t="shared" ref="C125:C127" si="177">B125</f>
        <v>0</v>
      </c>
      <c r="D125" s="24">
        <f t="shared" ref="D125:D127" si="178">C125</f>
        <v>0</v>
      </c>
      <c r="E125" s="24">
        <f t="shared" ref="E125:E127" si="179">D125</f>
        <v>0</v>
      </c>
      <c r="F125" s="24">
        <f t="shared" ref="F125:F127" si="180">E125</f>
        <v>0</v>
      </c>
      <c r="G125" s="24">
        <f t="shared" ref="G125:G127" si="181">F125</f>
        <v>0</v>
      </c>
      <c r="H125" s="24">
        <f t="shared" ref="H125:H127" si="182">G125</f>
        <v>0</v>
      </c>
      <c r="I125" s="24">
        <f t="shared" ref="I125:I127" si="183">H125</f>
        <v>0</v>
      </c>
      <c r="J125" s="24">
        <f t="shared" ref="J125:J127" si="184">I125</f>
        <v>0</v>
      </c>
      <c r="K125" s="24">
        <f t="shared" ref="K125:K127" si="185">J125</f>
        <v>0</v>
      </c>
      <c r="L125" s="24">
        <f t="shared" ref="L125:L127" si="186">K125</f>
        <v>0</v>
      </c>
      <c r="M125" s="24">
        <f t="shared" ref="M125:M127" si="187">L125</f>
        <v>0</v>
      </c>
      <c r="N125" s="33">
        <f t="shared" ref="N125:N127" si="188">M125</f>
        <v>0</v>
      </c>
      <c r="O125" s="21"/>
    </row>
    <row r="126" spans="1:15">
      <c r="A126" s="1968" t="s">
        <v>1143</v>
      </c>
      <c r="B126" s="42">
        <f>'Input''s from Initial Design'!X70</f>
        <v>0</v>
      </c>
      <c r="C126" s="24">
        <f t="shared" si="177"/>
        <v>0</v>
      </c>
      <c r="D126" s="24">
        <f t="shared" si="178"/>
        <v>0</v>
      </c>
      <c r="E126" s="24">
        <f t="shared" si="179"/>
        <v>0</v>
      </c>
      <c r="F126" s="24">
        <f t="shared" si="180"/>
        <v>0</v>
      </c>
      <c r="G126" s="24">
        <f t="shared" si="181"/>
        <v>0</v>
      </c>
      <c r="H126" s="24">
        <f t="shared" si="182"/>
        <v>0</v>
      </c>
      <c r="I126" s="24">
        <f t="shared" si="183"/>
        <v>0</v>
      </c>
      <c r="J126" s="24">
        <f t="shared" si="184"/>
        <v>0</v>
      </c>
      <c r="K126" s="24">
        <f t="shared" si="185"/>
        <v>0</v>
      </c>
      <c r="L126" s="24">
        <f t="shared" si="186"/>
        <v>0</v>
      </c>
      <c r="M126" s="24">
        <f t="shared" si="187"/>
        <v>0</v>
      </c>
      <c r="N126" s="33">
        <f t="shared" si="188"/>
        <v>0</v>
      </c>
      <c r="O126" s="21"/>
    </row>
    <row r="127" spans="1:15">
      <c r="A127" s="1968" t="s">
        <v>1144</v>
      </c>
      <c r="B127" s="42">
        <f>'Input''s from Initial Design'!Y70</f>
        <v>0</v>
      </c>
      <c r="C127" s="24">
        <f t="shared" si="177"/>
        <v>0</v>
      </c>
      <c r="D127" s="24">
        <f t="shared" si="178"/>
        <v>0</v>
      </c>
      <c r="E127" s="24">
        <f t="shared" si="179"/>
        <v>0</v>
      </c>
      <c r="F127" s="24">
        <f t="shared" si="180"/>
        <v>0</v>
      </c>
      <c r="G127" s="24">
        <f t="shared" si="181"/>
        <v>0</v>
      </c>
      <c r="H127" s="24">
        <f t="shared" si="182"/>
        <v>0</v>
      </c>
      <c r="I127" s="24">
        <f t="shared" si="183"/>
        <v>0</v>
      </c>
      <c r="J127" s="24">
        <f t="shared" si="184"/>
        <v>0</v>
      </c>
      <c r="K127" s="24">
        <f t="shared" si="185"/>
        <v>0</v>
      </c>
      <c r="L127" s="24">
        <f t="shared" si="186"/>
        <v>0</v>
      </c>
      <c r="M127" s="24">
        <f t="shared" si="187"/>
        <v>0</v>
      </c>
      <c r="N127" s="33">
        <f t="shared" si="188"/>
        <v>0</v>
      </c>
      <c r="O127" s="21"/>
    </row>
    <row r="128" spans="1:15">
      <c r="A128" s="1968" t="s">
        <v>1145</v>
      </c>
      <c r="B128" s="42">
        <v>415</v>
      </c>
      <c r="C128" s="24">
        <f>+B128</f>
        <v>415</v>
      </c>
      <c r="D128" s="24">
        <f t="shared" ref="D128" si="189">+C128</f>
        <v>415</v>
      </c>
      <c r="E128" s="24">
        <f t="shared" ref="E128" si="190">+D128</f>
        <v>415</v>
      </c>
      <c r="F128" s="24">
        <f t="shared" ref="F128" si="191">+E128</f>
        <v>415</v>
      </c>
      <c r="G128" s="24">
        <f t="shared" ref="G128" si="192">+F128</f>
        <v>415</v>
      </c>
      <c r="H128" s="24">
        <f t="shared" ref="H128" si="193">+G128</f>
        <v>415</v>
      </c>
      <c r="I128" s="24">
        <f t="shared" ref="I128" si="194">+H128</f>
        <v>415</v>
      </c>
      <c r="J128" s="24">
        <f t="shared" ref="J128" si="195">+I128</f>
        <v>415</v>
      </c>
      <c r="K128" s="24">
        <f t="shared" ref="K128" si="196">+J128</f>
        <v>415</v>
      </c>
      <c r="L128" s="24">
        <f t="shared" ref="L128" si="197">+K128</f>
        <v>415</v>
      </c>
      <c r="M128" s="24">
        <f t="shared" ref="M128" si="198">+L128</f>
        <v>415</v>
      </c>
      <c r="N128" s="33">
        <f t="shared" ref="N128" si="199">+M128</f>
        <v>415</v>
      </c>
      <c r="O128" s="21"/>
    </row>
    <row r="129" spans="1:15">
      <c r="A129" s="1967" t="s">
        <v>1146</v>
      </c>
      <c r="B129" s="43"/>
      <c r="C129" s="25" t="e">
        <f t="shared" ref="C129:N129" si="200">1.732*C125*(C122/1000*1+C123/1000*0)*C126/C127</f>
        <v>#DIV/0!</v>
      </c>
      <c r="D129" s="25" t="e">
        <f t="shared" si="200"/>
        <v>#DIV/0!</v>
      </c>
      <c r="E129" s="25" t="e">
        <f t="shared" si="200"/>
        <v>#DIV/0!</v>
      </c>
      <c r="F129" s="25" t="e">
        <f t="shared" si="200"/>
        <v>#DIV/0!</v>
      </c>
      <c r="G129" s="25" t="e">
        <f t="shared" si="200"/>
        <v>#DIV/0!</v>
      </c>
      <c r="H129" s="25" t="e">
        <f t="shared" si="200"/>
        <v>#DIV/0!</v>
      </c>
      <c r="I129" s="25" t="e">
        <f t="shared" si="200"/>
        <v>#DIV/0!</v>
      </c>
      <c r="J129" s="25" t="e">
        <f t="shared" si="200"/>
        <v>#DIV/0!</v>
      </c>
      <c r="K129" s="25" t="e">
        <f t="shared" si="200"/>
        <v>#DIV/0!</v>
      </c>
      <c r="L129" s="25" t="e">
        <f t="shared" si="200"/>
        <v>#DIV/0!</v>
      </c>
      <c r="M129" s="25" t="e">
        <f t="shared" si="200"/>
        <v>#DIV/0!</v>
      </c>
      <c r="N129" s="34" t="e">
        <f t="shared" si="200"/>
        <v>#DIV/0!</v>
      </c>
      <c r="O129" s="21"/>
    </row>
    <row r="130" spans="1:15">
      <c r="A130" s="1967" t="s">
        <v>1147</v>
      </c>
      <c r="B130" s="43"/>
      <c r="C130" s="1965" t="e">
        <f>C129/C128</f>
        <v>#DIV/0!</v>
      </c>
      <c r="D130" s="1965" t="e">
        <f t="shared" ref="D130:N130" si="201">D129/D128</f>
        <v>#DIV/0!</v>
      </c>
      <c r="E130" s="1965" t="e">
        <f t="shared" si="201"/>
        <v>#DIV/0!</v>
      </c>
      <c r="F130" s="1965" t="e">
        <f t="shared" si="201"/>
        <v>#DIV/0!</v>
      </c>
      <c r="G130" s="1965" t="e">
        <f t="shared" si="201"/>
        <v>#DIV/0!</v>
      </c>
      <c r="H130" s="1965" t="e">
        <f t="shared" si="201"/>
        <v>#DIV/0!</v>
      </c>
      <c r="I130" s="1965" t="e">
        <f t="shared" si="201"/>
        <v>#DIV/0!</v>
      </c>
      <c r="J130" s="1965" t="e">
        <f t="shared" si="201"/>
        <v>#DIV/0!</v>
      </c>
      <c r="K130" s="1965" t="e">
        <f t="shared" si="201"/>
        <v>#DIV/0!</v>
      </c>
      <c r="L130" s="1965" t="e">
        <f t="shared" si="201"/>
        <v>#DIV/0!</v>
      </c>
      <c r="M130" s="1965" t="e">
        <f t="shared" si="201"/>
        <v>#DIV/0!</v>
      </c>
      <c r="N130" s="1969" t="e">
        <f t="shared" si="201"/>
        <v>#DIV/0!</v>
      </c>
      <c r="O130" s="21"/>
    </row>
    <row r="131" spans="1:15">
      <c r="A131" s="1968" t="s">
        <v>1148</v>
      </c>
      <c r="B131" s="1966">
        <v>0.02</v>
      </c>
      <c r="C131" s="24" t="e">
        <f>IF(AND((C125*1.25)&lt;(C119*C127),(C130&lt;$B$16)),"PASS","FAIL")</f>
        <v>#DIV/0!</v>
      </c>
      <c r="D131" s="24" t="e">
        <f>IF(AND((D125*1.25)&lt;(D119*D127),(D130&lt;$B$16)),"PASS","FAIL")</f>
        <v>#DIV/0!</v>
      </c>
      <c r="E131" s="24" t="e">
        <f>IF(AND((E125*1.25)&lt;(E119*E127),(E130&lt;$B$16)),"PASS","FAIL")</f>
        <v>#DIV/0!</v>
      </c>
      <c r="F131" s="24" t="e">
        <f>IF(AND((F125*1.25)&lt;(F119*F127),(F130&lt;$B$16)),"PASS","FAIL")</f>
        <v>#DIV/0!</v>
      </c>
      <c r="G131" s="24" t="e">
        <f>IF(AND((G125*1.25)&lt;(G119*G127),(G130&lt;$B$16)),"PASS","FAIL")</f>
        <v>#DIV/0!</v>
      </c>
      <c r="H131" s="24" t="e">
        <f>IF(AND((H125*1.1)&lt;(H119*H127),(H130&lt;$B$16)),"PASS","FAIL")</f>
        <v>#DIV/0!</v>
      </c>
      <c r="I131" s="24" t="e">
        <f t="shared" ref="I131:N131" si="202">IF(AND((I125*1.25)&lt;(I119*I127),(I130&lt;$B$16)),"PASS","FAIL")</f>
        <v>#DIV/0!</v>
      </c>
      <c r="J131" s="24" t="e">
        <f t="shared" si="202"/>
        <v>#DIV/0!</v>
      </c>
      <c r="K131" s="24" t="e">
        <f t="shared" si="202"/>
        <v>#DIV/0!</v>
      </c>
      <c r="L131" s="24" t="e">
        <f t="shared" si="202"/>
        <v>#DIV/0!</v>
      </c>
      <c r="M131" s="24" t="e">
        <f t="shared" si="202"/>
        <v>#DIV/0!</v>
      </c>
      <c r="N131" s="33" t="e">
        <f t="shared" si="202"/>
        <v>#DIV/0!</v>
      </c>
      <c r="O131" s="21"/>
    </row>
    <row r="132" spans="1:15" ht="18.600000000000001" thickBot="1">
      <c r="A132" s="1970" t="s">
        <v>1149</v>
      </c>
      <c r="B132" s="1971"/>
      <c r="C132" s="1972" t="e">
        <f t="shared" ref="C132:N132" si="203">IF(AND((C125*1.25)&lt;(C120*C127),(C130&lt;$B$16)),"PASS","FAIL")</f>
        <v>#DIV/0!</v>
      </c>
      <c r="D132" s="1972" t="e">
        <f t="shared" si="203"/>
        <v>#DIV/0!</v>
      </c>
      <c r="E132" s="1972" t="e">
        <f t="shared" si="203"/>
        <v>#DIV/0!</v>
      </c>
      <c r="F132" s="1972" t="e">
        <f t="shared" si="203"/>
        <v>#DIV/0!</v>
      </c>
      <c r="G132" s="1972" t="e">
        <f t="shared" si="203"/>
        <v>#DIV/0!</v>
      </c>
      <c r="H132" s="1972" t="e">
        <f t="shared" si="203"/>
        <v>#DIV/0!</v>
      </c>
      <c r="I132" s="1972" t="e">
        <f t="shared" si="203"/>
        <v>#DIV/0!</v>
      </c>
      <c r="J132" s="1972" t="e">
        <f t="shared" si="203"/>
        <v>#DIV/0!</v>
      </c>
      <c r="K132" s="1972" t="e">
        <f t="shared" si="203"/>
        <v>#DIV/0!</v>
      </c>
      <c r="L132" s="1972" t="e">
        <f t="shared" si="203"/>
        <v>#DIV/0!</v>
      </c>
      <c r="M132" s="1972" t="e">
        <f t="shared" si="203"/>
        <v>#DIV/0!</v>
      </c>
      <c r="N132" s="1973" t="e">
        <f t="shared" si="203"/>
        <v>#DIV/0!</v>
      </c>
      <c r="O132" s="21"/>
    </row>
    <row r="133" spans="1:15">
      <c r="A133" s="1963">
        <f>('Input''s from Initial Design'!W70*1000/(1.732*440*1))</f>
        <v>0</v>
      </c>
      <c r="B133" s="1964" t="s">
        <v>1150</v>
      </c>
      <c r="C133" s="26"/>
      <c r="D133" s="3213"/>
      <c r="E133" s="3213"/>
      <c r="F133" s="3213"/>
      <c r="G133" s="21"/>
      <c r="H133" s="21"/>
      <c r="I133" s="21"/>
      <c r="J133" s="21"/>
    </row>
    <row r="134" spans="1:15">
      <c r="A134" s="21"/>
      <c r="B134" s="21"/>
      <c r="C134" s="26"/>
      <c r="D134" s="21"/>
      <c r="E134" s="21">
        <v>6</v>
      </c>
      <c r="F134" s="21"/>
      <c r="G134" s="27"/>
      <c r="H134" s="21"/>
      <c r="I134" s="21"/>
      <c r="J134" s="21"/>
    </row>
    <row r="135" spans="1:15">
      <c r="A135" s="28" t="s">
        <v>1148</v>
      </c>
      <c r="B135" s="29" t="e">
        <f>IF(C131="FAIL",IF(D131="FAIL",IF(E131="FAIL",IF(F131="FAIL",IF(G131="FAIL",IF(H131="FAIL",IF(I131="FAIL",IF(J131="FAIL",IF(K131="FAIL",IF(L131="FAIL",IF(M131="FAIL","NO MATCH",$M$1),$L$1),$K$1),$J$1),$I$1),$H$1),$G$1),$F$1),$E$1),$D$1),$C$1)</f>
        <v>#DIV/0!</v>
      </c>
      <c r="C135" s="30" t="s">
        <v>1151</v>
      </c>
      <c r="D135" s="21"/>
      <c r="E135" s="21"/>
      <c r="F135" s="21"/>
      <c r="G135" s="21"/>
      <c r="H135" s="26"/>
      <c r="I135" s="21"/>
      <c r="J135" s="21"/>
      <c r="K135" s="21"/>
      <c r="L135" s="21"/>
      <c r="N135" s="21"/>
      <c r="O135" s="21"/>
    </row>
    <row r="136" spans="1:15">
      <c r="A136" s="28" t="s">
        <v>1149</v>
      </c>
      <c r="B136" s="29" t="e">
        <f>IF(C132="FAIL",IF(D132="FAIL",IF(E132="FAIL",IF(F132="FAIL",IF(G132="FAIL",IF(H132="FAIL",IF(I132="FAIL",IF(J132="FAIL",IF(K132="FAIL",IF(L132="FAIL",IF(M132="FAIL","NO MATCH",$M$1),$L$1),$K$1),$J$1),$I$1),$H$1),$G$1),$F$1),$E$1),$D$1),$C$1)</f>
        <v>#DIV/0!</v>
      </c>
      <c r="C136" s="30" t="s">
        <v>1151</v>
      </c>
      <c r="D136" s="21"/>
      <c r="E136" s="21"/>
      <c r="F136" s="21"/>
      <c r="G136" s="21"/>
      <c r="H136" s="26"/>
      <c r="I136" s="21"/>
      <c r="J136" s="21"/>
      <c r="K136" s="21"/>
      <c r="L136" s="21"/>
      <c r="N136" s="21"/>
      <c r="O136" s="21"/>
    </row>
    <row r="137" spans="1:15" ht="18.600000000000001" thickBot="1"/>
    <row r="138" spans="1:15" s="23" customFormat="1">
      <c r="A138" s="3214" t="s">
        <v>1122</v>
      </c>
      <c r="B138" s="3216"/>
      <c r="C138" s="35">
        <v>16</v>
      </c>
      <c r="D138" s="36">
        <v>25</v>
      </c>
      <c r="E138" s="36">
        <v>35</v>
      </c>
      <c r="F138" s="36">
        <v>50</v>
      </c>
      <c r="G138" s="36">
        <v>70</v>
      </c>
      <c r="H138" s="36">
        <v>95</v>
      </c>
      <c r="I138" s="36">
        <v>120</v>
      </c>
      <c r="J138" s="36">
        <v>150</v>
      </c>
      <c r="K138" s="36">
        <v>185</v>
      </c>
      <c r="L138" s="36">
        <v>240</v>
      </c>
      <c r="M138" s="36">
        <v>300</v>
      </c>
      <c r="N138" s="37">
        <v>400</v>
      </c>
      <c r="O138" s="22"/>
    </row>
    <row r="139" spans="1:15" s="23" customFormat="1" ht="18.600000000000001" thickBot="1">
      <c r="A139" s="3215"/>
      <c r="B139" s="3217"/>
      <c r="C139" s="1978" t="s">
        <v>1123</v>
      </c>
      <c r="D139" s="1979" t="s">
        <v>1124</v>
      </c>
      <c r="E139" s="1979" t="s">
        <v>1125</v>
      </c>
      <c r="F139" s="1979" t="s">
        <v>1126</v>
      </c>
      <c r="G139" s="1979" t="s">
        <v>1127</v>
      </c>
      <c r="H139" s="1979" t="s">
        <v>1128</v>
      </c>
      <c r="I139" s="1979" t="s">
        <v>1129</v>
      </c>
      <c r="J139" s="1979" t="s">
        <v>1130</v>
      </c>
      <c r="K139" s="1979" t="s">
        <v>1131</v>
      </c>
      <c r="L139" s="1979" t="s">
        <v>1132</v>
      </c>
      <c r="M139" s="1979" t="s">
        <v>1133</v>
      </c>
      <c r="N139" s="1980" t="s">
        <v>1134</v>
      </c>
      <c r="O139" s="22"/>
    </row>
    <row r="140" spans="1:15">
      <c r="A140" s="1981" t="s">
        <v>1135</v>
      </c>
      <c r="B140" s="1982"/>
      <c r="C140" s="31">
        <v>74</v>
      </c>
      <c r="D140" s="31">
        <v>94</v>
      </c>
      <c r="E140" s="31">
        <v>113</v>
      </c>
      <c r="F140" s="31">
        <v>133</v>
      </c>
      <c r="G140" s="31">
        <v>164</v>
      </c>
      <c r="H140" s="31">
        <v>196</v>
      </c>
      <c r="I140" s="31">
        <v>223</v>
      </c>
      <c r="J140" s="31">
        <v>249</v>
      </c>
      <c r="K140" s="31">
        <v>282</v>
      </c>
      <c r="L140" s="31">
        <v>326</v>
      </c>
      <c r="M140" s="31">
        <v>367</v>
      </c>
      <c r="N140" s="32">
        <v>418</v>
      </c>
      <c r="O140" s="21"/>
    </row>
    <row r="141" spans="1:15">
      <c r="A141" s="1967" t="s">
        <v>1136</v>
      </c>
      <c r="B141" s="43"/>
      <c r="C141" s="24">
        <v>74</v>
      </c>
      <c r="D141" s="24">
        <v>96</v>
      </c>
      <c r="E141" s="24">
        <v>117</v>
      </c>
      <c r="F141" s="24">
        <v>142</v>
      </c>
      <c r="G141" s="24">
        <v>179</v>
      </c>
      <c r="H141" s="24">
        <v>221</v>
      </c>
      <c r="I141" s="24">
        <v>257</v>
      </c>
      <c r="J141" s="24">
        <v>292</v>
      </c>
      <c r="K141" s="24">
        <v>337</v>
      </c>
      <c r="L141" s="24">
        <v>399</v>
      </c>
      <c r="M141" s="24">
        <v>455</v>
      </c>
      <c r="N141" s="33">
        <v>530</v>
      </c>
      <c r="O141" s="21"/>
    </row>
    <row r="142" spans="1:15" ht="22.5" customHeight="1">
      <c r="A142" s="1967" t="s">
        <v>1137</v>
      </c>
      <c r="B142" s="42">
        <v>0.7</v>
      </c>
      <c r="C142" s="24">
        <f>B142</f>
        <v>0.7</v>
      </c>
      <c r="D142" s="24">
        <f>C142</f>
        <v>0.7</v>
      </c>
      <c r="E142" s="24">
        <f t="shared" ref="E142" si="204">D142</f>
        <v>0.7</v>
      </c>
      <c r="F142" s="24">
        <f t="shared" ref="F142" si="205">E142</f>
        <v>0.7</v>
      </c>
      <c r="G142" s="24">
        <f t="shared" ref="G142" si="206">F142</f>
        <v>0.7</v>
      </c>
      <c r="H142" s="24">
        <f t="shared" ref="H142" si="207">G142</f>
        <v>0.7</v>
      </c>
      <c r="I142" s="24">
        <f t="shared" ref="I142" si="208">H142</f>
        <v>0.7</v>
      </c>
      <c r="J142" s="24">
        <f t="shared" ref="J142" si="209">I142</f>
        <v>0.7</v>
      </c>
      <c r="K142" s="24">
        <f t="shared" ref="K142" si="210">J142</f>
        <v>0.7</v>
      </c>
      <c r="L142" s="24">
        <f t="shared" ref="L142" si="211">K142</f>
        <v>0.7</v>
      </c>
      <c r="M142" s="24">
        <f>L142</f>
        <v>0.7</v>
      </c>
      <c r="N142" s="33">
        <f>M142</f>
        <v>0.7</v>
      </c>
      <c r="O142" s="21"/>
    </row>
    <row r="143" spans="1:15">
      <c r="A143" s="1967" t="s">
        <v>1138</v>
      </c>
      <c r="B143" s="43"/>
      <c r="C143" s="24">
        <f>C140*C142</f>
        <v>51.8</v>
      </c>
      <c r="D143" s="24">
        <f t="shared" ref="D143:G143" si="212">D140*D142</f>
        <v>65.8</v>
      </c>
      <c r="E143" s="24">
        <f t="shared" si="212"/>
        <v>79.099999999999994</v>
      </c>
      <c r="F143" s="24">
        <f t="shared" si="212"/>
        <v>93.1</v>
      </c>
      <c r="G143" s="24">
        <f t="shared" si="212"/>
        <v>114.8</v>
      </c>
      <c r="H143" s="24">
        <f>H140*H142</f>
        <v>137.19999999999999</v>
      </c>
      <c r="I143" s="24">
        <f t="shared" ref="I143:N143" si="213">I140*I142</f>
        <v>156.1</v>
      </c>
      <c r="J143" s="24">
        <f t="shared" si="213"/>
        <v>174.29999999999998</v>
      </c>
      <c r="K143" s="24">
        <f t="shared" si="213"/>
        <v>197.39999999999998</v>
      </c>
      <c r="L143" s="24">
        <f t="shared" si="213"/>
        <v>228.2</v>
      </c>
      <c r="M143" s="24">
        <f t="shared" si="213"/>
        <v>256.89999999999998</v>
      </c>
      <c r="N143" s="33">
        <f t="shared" si="213"/>
        <v>292.59999999999997</v>
      </c>
      <c r="O143" s="21"/>
    </row>
    <row r="144" spans="1:15">
      <c r="A144" s="1967" t="s">
        <v>1139</v>
      </c>
      <c r="B144" s="43"/>
      <c r="C144" s="24">
        <f>C141*C142</f>
        <v>51.8</v>
      </c>
      <c r="D144" s="24">
        <f>D141*D142</f>
        <v>67.199999999999989</v>
      </c>
      <c r="E144" s="24">
        <f t="shared" ref="E144:G144" si="214">E141*E142</f>
        <v>81.899999999999991</v>
      </c>
      <c r="F144" s="24">
        <f t="shared" si="214"/>
        <v>99.399999999999991</v>
      </c>
      <c r="G144" s="24">
        <f t="shared" si="214"/>
        <v>125.3</v>
      </c>
      <c r="H144" s="24">
        <f>H141*H142</f>
        <v>154.69999999999999</v>
      </c>
      <c r="I144" s="24">
        <f t="shared" ref="I144:N144" si="215">I141*I142</f>
        <v>179.89999999999998</v>
      </c>
      <c r="J144" s="24">
        <f t="shared" si="215"/>
        <v>204.39999999999998</v>
      </c>
      <c r="K144" s="24">
        <f t="shared" si="215"/>
        <v>235.89999999999998</v>
      </c>
      <c r="L144" s="24">
        <f t="shared" si="215"/>
        <v>279.29999999999995</v>
      </c>
      <c r="M144" s="24">
        <f t="shared" si="215"/>
        <v>318.5</v>
      </c>
      <c r="N144" s="33">
        <f t="shared" si="215"/>
        <v>371</v>
      </c>
      <c r="O144" s="21"/>
    </row>
    <row r="145" spans="1:15">
      <c r="A145" s="1967"/>
      <c r="B145" s="43"/>
      <c r="C145" s="24"/>
      <c r="D145" s="24"/>
      <c r="E145" s="24"/>
      <c r="F145" s="24"/>
      <c r="G145" s="24"/>
      <c r="H145" s="24"/>
      <c r="I145" s="24"/>
      <c r="J145" s="24"/>
      <c r="K145" s="24"/>
      <c r="L145" s="24"/>
      <c r="M145" s="24"/>
      <c r="N145" s="33"/>
      <c r="O145" s="21"/>
    </row>
    <row r="146" spans="1:15">
      <c r="A146" s="1967" t="s">
        <v>1140</v>
      </c>
      <c r="B146" s="43"/>
      <c r="C146" s="24">
        <v>2.44</v>
      </c>
      <c r="D146" s="24">
        <v>1.54</v>
      </c>
      <c r="E146" s="24">
        <v>1.1100000000000001</v>
      </c>
      <c r="F146" s="24">
        <v>0.82</v>
      </c>
      <c r="G146" s="24">
        <v>0.56699999999999995</v>
      </c>
      <c r="H146" s="24">
        <v>0.41</v>
      </c>
      <c r="I146" s="24">
        <v>0.32400000000000001</v>
      </c>
      <c r="J146" s="24">
        <v>0.26400000000000001</v>
      </c>
      <c r="K146" s="24">
        <v>0.21</v>
      </c>
      <c r="L146" s="24">
        <v>0.16</v>
      </c>
      <c r="M146" s="24">
        <v>0.128</v>
      </c>
      <c r="N146" s="33">
        <v>0.1</v>
      </c>
      <c r="O146" s="21"/>
    </row>
    <row r="147" spans="1:15">
      <c r="A147" s="1967" t="s">
        <v>1141</v>
      </c>
      <c r="B147" s="43"/>
      <c r="C147" s="24">
        <v>8.0799999999999997E-2</v>
      </c>
      <c r="D147" s="24">
        <v>8.0500000000000002E-2</v>
      </c>
      <c r="E147" s="24">
        <v>7.8299999999999995E-2</v>
      </c>
      <c r="F147" s="24">
        <v>7.4999999999999997E-2</v>
      </c>
      <c r="G147" s="24">
        <v>7.3999999999999996E-2</v>
      </c>
      <c r="H147" s="24">
        <v>7.2400000000000006E-2</v>
      </c>
      <c r="I147" s="24">
        <v>7.1199999999999999E-2</v>
      </c>
      <c r="J147" s="24">
        <v>7.1599999999999997E-2</v>
      </c>
      <c r="K147" s="24">
        <v>7.1800000000000003E-2</v>
      </c>
      <c r="L147" s="24">
        <v>7.0999999999999994E-2</v>
      </c>
      <c r="M147" s="24">
        <v>7.0499999999999993E-2</v>
      </c>
      <c r="N147" s="33">
        <v>7.0400000000000004E-2</v>
      </c>
      <c r="O147" s="21"/>
    </row>
    <row r="148" spans="1:15">
      <c r="A148" s="1967"/>
      <c r="B148" s="43"/>
      <c r="C148" s="24"/>
      <c r="D148" s="24"/>
      <c r="E148" s="24"/>
      <c r="F148" s="24"/>
      <c r="G148" s="24"/>
      <c r="H148" s="24"/>
      <c r="I148" s="24"/>
      <c r="J148" s="24"/>
      <c r="K148" s="24"/>
      <c r="L148" s="24"/>
      <c r="M148" s="24"/>
      <c r="N148" s="33"/>
      <c r="O148" s="21"/>
    </row>
    <row r="149" spans="1:15" ht="24.75" customHeight="1">
      <c r="A149" s="1968" t="s">
        <v>1142</v>
      </c>
      <c r="B149" s="41">
        <f>A157</f>
        <v>0</v>
      </c>
      <c r="C149" s="24">
        <f t="shared" ref="C149:C151" si="216">B149</f>
        <v>0</v>
      </c>
      <c r="D149" s="24">
        <f t="shared" ref="D149:D151" si="217">C149</f>
        <v>0</v>
      </c>
      <c r="E149" s="24">
        <f t="shared" ref="E149:E151" si="218">D149</f>
        <v>0</v>
      </c>
      <c r="F149" s="24">
        <f t="shared" ref="F149:F151" si="219">E149</f>
        <v>0</v>
      </c>
      <c r="G149" s="24">
        <f t="shared" ref="G149:G151" si="220">F149</f>
        <v>0</v>
      </c>
      <c r="H149" s="24">
        <f t="shared" ref="H149:H151" si="221">G149</f>
        <v>0</v>
      </c>
      <c r="I149" s="24">
        <f t="shared" ref="I149:I151" si="222">H149</f>
        <v>0</v>
      </c>
      <c r="J149" s="24">
        <f t="shared" ref="J149:J151" si="223">I149</f>
        <v>0</v>
      </c>
      <c r="K149" s="24">
        <f t="shared" ref="K149:K151" si="224">J149</f>
        <v>0</v>
      </c>
      <c r="L149" s="24">
        <f t="shared" ref="L149:L151" si="225">K149</f>
        <v>0</v>
      </c>
      <c r="M149" s="24">
        <f t="shared" ref="M149:M151" si="226">L149</f>
        <v>0</v>
      </c>
      <c r="N149" s="33">
        <f t="shared" ref="N149:N151" si="227">M149</f>
        <v>0</v>
      </c>
      <c r="O149" s="21"/>
    </row>
    <row r="150" spans="1:15">
      <c r="A150" s="1968" t="s">
        <v>1143</v>
      </c>
      <c r="B150" s="42">
        <f>'Input''s from Initial Design'!X72</f>
        <v>0</v>
      </c>
      <c r="C150" s="24">
        <f t="shared" si="216"/>
        <v>0</v>
      </c>
      <c r="D150" s="24">
        <f t="shared" si="217"/>
        <v>0</v>
      </c>
      <c r="E150" s="24">
        <f t="shared" si="218"/>
        <v>0</v>
      </c>
      <c r="F150" s="24">
        <f t="shared" si="219"/>
        <v>0</v>
      </c>
      <c r="G150" s="24">
        <f t="shared" si="220"/>
        <v>0</v>
      </c>
      <c r="H150" s="24">
        <f t="shared" si="221"/>
        <v>0</v>
      </c>
      <c r="I150" s="24">
        <f t="shared" si="222"/>
        <v>0</v>
      </c>
      <c r="J150" s="24">
        <f t="shared" si="223"/>
        <v>0</v>
      </c>
      <c r="K150" s="24">
        <f t="shared" si="224"/>
        <v>0</v>
      </c>
      <c r="L150" s="24">
        <f t="shared" si="225"/>
        <v>0</v>
      </c>
      <c r="M150" s="24">
        <f t="shared" si="226"/>
        <v>0</v>
      </c>
      <c r="N150" s="33">
        <f t="shared" si="227"/>
        <v>0</v>
      </c>
      <c r="O150" s="21"/>
    </row>
    <row r="151" spans="1:15">
      <c r="A151" s="1968" t="s">
        <v>1144</v>
      </c>
      <c r="B151" s="42">
        <f>'Input''s from Initial Design'!Y72</f>
        <v>0</v>
      </c>
      <c r="C151" s="24">
        <f t="shared" si="216"/>
        <v>0</v>
      </c>
      <c r="D151" s="24">
        <f t="shared" si="217"/>
        <v>0</v>
      </c>
      <c r="E151" s="24">
        <f t="shared" si="218"/>
        <v>0</v>
      </c>
      <c r="F151" s="24">
        <f t="shared" si="219"/>
        <v>0</v>
      </c>
      <c r="G151" s="24">
        <f t="shared" si="220"/>
        <v>0</v>
      </c>
      <c r="H151" s="24">
        <f t="shared" si="221"/>
        <v>0</v>
      </c>
      <c r="I151" s="24">
        <f t="shared" si="222"/>
        <v>0</v>
      </c>
      <c r="J151" s="24">
        <f t="shared" si="223"/>
        <v>0</v>
      </c>
      <c r="K151" s="24">
        <f t="shared" si="224"/>
        <v>0</v>
      </c>
      <c r="L151" s="24">
        <f t="shared" si="225"/>
        <v>0</v>
      </c>
      <c r="M151" s="24">
        <f t="shared" si="226"/>
        <v>0</v>
      </c>
      <c r="N151" s="33">
        <f t="shared" si="227"/>
        <v>0</v>
      </c>
      <c r="O151" s="21"/>
    </row>
    <row r="152" spans="1:15">
      <c r="A152" s="1968" t="s">
        <v>1145</v>
      </c>
      <c r="B152" s="42">
        <v>415</v>
      </c>
      <c r="C152" s="24">
        <f>+B152</f>
        <v>415</v>
      </c>
      <c r="D152" s="24">
        <f t="shared" ref="D152" si="228">+C152</f>
        <v>415</v>
      </c>
      <c r="E152" s="24">
        <f t="shared" ref="E152" si="229">+D152</f>
        <v>415</v>
      </c>
      <c r="F152" s="24">
        <f t="shared" ref="F152" si="230">+E152</f>
        <v>415</v>
      </c>
      <c r="G152" s="24">
        <f t="shared" ref="G152" si="231">+F152</f>
        <v>415</v>
      </c>
      <c r="H152" s="24">
        <f t="shared" ref="H152" si="232">+G152</f>
        <v>415</v>
      </c>
      <c r="I152" s="24">
        <f t="shared" ref="I152" si="233">+H152</f>
        <v>415</v>
      </c>
      <c r="J152" s="24">
        <f t="shared" ref="J152" si="234">+I152</f>
        <v>415</v>
      </c>
      <c r="K152" s="24">
        <f t="shared" ref="K152" si="235">+J152</f>
        <v>415</v>
      </c>
      <c r="L152" s="24">
        <f t="shared" ref="L152" si="236">+K152</f>
        <v>415</v>
      </c>
      <c r="M152" s="24">
        <f t="shared" ref="M152" si="237">+L152</f>
        <v>415</v>
      </c>
      <c r="N152" s="33">
        <f t="shared" ref="N152" si="238">+M152</f>
        <v>415</v>
      </c>
      <c r="O152" s="21"/>
    </row>
    <row r="153" spans="1:15">
      <c r="A153" s="1967" t="s">
        <v>1146</v>
      </c>
      <c r="B153" s="43"/>
      <c r="C153" s="25" t="e">
        <f t="shared" ref="C153:N153" si="239">1.732*C149*(C146/1000*1+C147/1000*0)*C150/C151</f>
        <v>#DIV/0!</v>
      </c>
      <c r="D153" s="25" t="e">
        <f t="shared" si="239"/>
        <v>#DIV/0!</v>
      </c>
      <c r="E153" s="25" t="e">
        <f t="shared" si="239"/>
        <v>#DIV/0!</v>
      </c>
      <c r="F153" s="25" t="e">
        <f t="shared" si="239"/>
        <v>#DIV/0!</v>
      </c>
      <c r="G153" s="25" t="e">
        <f t="shared" si="239"/>
        <v>#DIV/0!</v>
      </c>
      <c r="H153" s="25" t="e">
        <f t="shared" si="239"/>
        <v>#DIV/0!</v>
      </c>
      <c r="I153" s="25" t="e">
        <f t="shared" si="239"/>
        <v>#DIV/0!</v>
      </c>
      <c r="J153" s="25" t="e">
        <f t="shared" si="239"/>
        <v>#DIV/0!</v>
      </c>
      <c r="K153" s="25" t="e">
        <f t="shared" si="239"/>
        <v>#DIV/0!</v>
      </c>
      <c r="L153" s="25" t="e">
        <f t="shared" si="239"/>
        <v>#DIV/0!</v>
      </c>
      <c r="M153" s="25" t="e">
        <f t="shared" si="239"/>
        <v>#DIV/0!</v>
      </c>
      <c r="N153" s="34" t="e">
        <f t="shared" si="239"/>
        <v>#DIV/0!</v>
      </c>
      <c r="O153" s="21"/>
    </row>
    <row r="154" spans="1:15">
      <c r="A154" s="1967" t="s">
        <v>1147</v>
      </c>
      <c r="B154" s="43"/>
      <c r="C154" s="1965" t="e">
        <f>C153/C152</f>
        <v>#DIV/0!</v>
      </c>
      <c r="D154" s="1965" t="e">
        <f t="shared" ref="D154:N154" si="240">D153/D152</f>
        <v>#DIV/0!</v>
      </c>
      <c r="E154" s="1965" t="e">
        <f t="shared" si="240"/>
        <v>#DIV/0!</v>
      </c>
      <c r="F154" s="1965" t="e">
        <f t="shared" si="240"/>
        <v>#DIV/0!</v>
      </c>
      <c r="G154" s="1965" t="e">
        <f t="shared" si="240"/>
        <v>#DIV/0!</v>
      </c>
      <c r="H154" s="1965" t="e">
        <f t="shared" si="240"/>
        <v>#DIV/0!</v>
      </c>
      <c r="I154" s="1965" t="e">
        <f t="shared" si="240"/>
        <v>#DIV/0!</v>
      </c>
      <c r="J154" s="1965" t="e">
        <f t="shared" si="240"/>
        <v>#DIV/0!</v>
      </c>
      <c r="K154" s="1965" t="e">
        <f t="shared" si="240"/>
        <v>#DIV/0!</v>
      </c>
      <c r="L154" s="1965" t="e">
        <f t="shared" si="240"/>
        <v>#DIV/0!</v>
      </c>
      <c r="M154" s="1965" t="e">
        <f t="shared" si="240"/>
        <v>#DIV/0!</v>
      </c>
      <c r="N154" s="1969" t="e">
        <f t="shared" si="240"/>
        <v>#DIV/0!</v>
      </c>
      <c r="O154" s="21"/>
    </row>
    <row r="155" spans="1:15">
      <c r="A155" s="1968" t="s">
        <v>1148</v>
      </c>
      <c r="B155" s="1966">
        <v>0.02</v>
      </c>
      <c r="C155" s="24" t="e">
        <f>IF(AND((C149*1.25)&lt;(C143*C151),(C154&lt;$B$16)),"PASS","FAIL")</f>
        <v>#DIV/0!</v>
      </c>
      <c r="D155" s="24" t="e">
        <f>IF(AND((D149*1.25)&lt;(D143*D151),(D154&lt;$B$16)),"PASS","FAIL")</f>
        <v>#DIV/0!</v>
      </c>
      <c r="E155" s="24" t="e">
        <f>IF(AND((E149*1.25)&lt;(E143*E151),(E154&lt;$B$16)),"PASS","FAIL")</f>
        <v>#DIV/0!</v>
      </c>
      <c r="F155" s="24" t="e">
        <f>IF(AND((F149*1.25)&lt;(F143*F151),(F154&lt;$B$16)),"PASS","FAIL")</f>
        <v>#DIV/0!</v>
      </c>
      <c r="G155" s="24" t="e">
        <f>IF(AND((G149*1.25)&lt;(G143*G151),(G154&lt;$B$16)),"PASS","FAIL")</f>
        <v>#DIV/0!</v>
      </c>
      <c r="H155" s="24" t="e">
        <f>IF(AND((H149*1.1)&lt;(H143*H151),(H154&lt;$B$16)),"PASS","FAIL")</f>
        <v>#DIV/0!</v>
      </c>
      <c r="I155" s="24" t="e">
        <f t="shared" ref="I155:N155" si="241">IF(AND((I149*1.25)&lt;(I143*I151),(I154&lt;$B$16)),"PASS","FAIL")</f>
        <v>#DIV/0!</v>
      </c>
      <c r="J155" s="24" t="e">
        <f t="shared" si="241"/>
        <v>#DIV/0!</v>
      </c>
      <c r="K155" s="24" t="e">
        <f t="shared" si="241"/>
        <v>#DIV/0!</v>
      </c>
      <c r="L155" s="24" t="e">
        <f t="shared" si="241"/>
        <v>#DIV/0!</v>
      </c>
      <c r="M155" s="24" t="e">
        <f t="shared" si="241"/>
        <v>#DIV/0!</v>
      </c>
      <c r="N155" s="33" t="e">
        <f t="shared" si="241"/>
        <v>#DIV/0!</v>
      </c>
      <c r="O155" s="21"/>
    </row>
    <row r="156" spans="1:15" ht="18.600000000000001" thickBot="1">
      <c r="A156" s="1970" t="s">
        <v>1149</v>
      </c>
      <c r="B156" s="1971"/>
      <c r="C156" s="1972" t="e">
        <f t="shared" ref="C156:N156" si="242">IF(AND((C149*1.25)&lt;(C144*C151),(C154&lt;$B$16)),"PASS","FAIL")</f>
        <v>#DIV/0!</v>
      </c>
      <c r="D156" s="1972" t="e">
        <f t="shared" si="242"/>
        <v>#DIV/0!</v>
      </c>
      <c r="E156" s="1972" t="e">
        <f t="shared" si="242"/>
        <v>#DIV/0!</v>
      </c>
      <c r="F156" s="1972" t="e">
        <f t="shared" si="242"/>
        <v>#DIV/0!</v>
      </c>
      <c r="G156" s="1972" t="e">
        <f t="shared" si="242"/>
        <v>#DIV/0!</v>
      </c>
      <c r="H156" s="1972" t="e">
        <f t="shared" si="242"/>
        <v>#DIV/0!</v>
      </c>
      <c r="I156" s="1972" t="e">
        <f t="shared" si="242"/>
        <v>#DIV/0!</v>
      </c>
      <c r="J156" s="1972" t="e">
        <f t="shared" si="242"/>
        <v>#DIV/0!</v>
      </c>
      <c r="K156" s="1972" t="e">
        <f t="shared" si="242"/>
        <v>#DIV/0!</v>
      </c>
      <c r="L156" s="1972" t="e">
        <f t="shared" si="242"/>
        <v>#DIV/0!</v>
      </c>
      <c r="M156" s="1972" t="e">
        <f t="shared" si="242"/>
        <v>#DIV/0!</v>
      </c>
      <c r="N156" s="1973" t="e">
        <f t="shared" si="242"/>
        <v>#DIV/0!</v>
      </c>
      <c r="O156" s="21"/>
    </row>
    <row r="157" spans="1:15">
      <c r="A157" s="1963">
        <f>('Input''s from Initial Design'!W72*1000/(1.732*440*1))</f>
        <v>0</v>
      </c>
      <c r="B157" s="1964" t="s">
        <v>1150</v>
      </c>
      <c r="C157" s="26"/>
      <c r="D157" s="3213"/>
      <c r="E157" s="3213"/>
      <c r="F157" s="3213"/>
      <c r="G157" s="21"/>
      <c r="H157" s="21"/>
      <c r="I157" s="21"/>
      <c r="J157" s="21"/>
    </row>
    <row r="158" spans="1:15">
      <c r="A158" s="21"/>
      <c r="B158" s="21"/>
      <c r="C158" s="26"/>
      <c r="D158" s="21"/>
      <c r="E158" s="21">
        <v>7</v>
      </c>
      <c r="F158" s="21"/>
      <c r="G158" s="27"/>
      <c r="H158" s="21"/>
      <c r="I158" s="21"/>
      <c r="J158" s="21"/>
    </row>
    <row r="159" spans="1:15">
      <c r="A159" s="28" t="s">
        <v>1148</v>
      </c>
      <c r="B159" s="29" t="e">
        <f>IF(C155="FAIL",IF(D155="FAIL",IF(E155="FAIL",IF(F155="FAIL",IF(G155="FAIL",IF(H155="FAIL",IF(I155="FAIL",IF(J155="FAIL",IF(K155="FAIL",IF(L155="FAIL",IF(M155="FAIL","NO MATCH",$M$1),$L$1),$K$1),$J$1),$I$1),$H$1),$G$1),$F$1),$E$1),$D$1),$C$1)</f>
        <v>#DIV/0!</v>
      </c>
      <c r="C159" s="30" t="s">
        <v>1151</v>
      </c>
      <c r="D159" s="21"/>
      <c r="E159" s="21"/>
      <c r="F159" s="21"/>
      <c r="G159" s="21"/>
      <c r="H159" s="26"/>
      <c r="I159" s="21"/>
      <c r="J159" s="21"/>
      <c r="K159" s="21"/>
      <c r="L159" s="21"/>
      <c r="N159" s="21"/>
      <c r="O159" s="21"/>
    </row>
    <row r="160" spans="1:15">
      <c r="A160" s="28" t="s">
        <v>1149</v>
      </c>
      <c r="B160" s="29" t="e">
        <f>IF(C156="FAIL",IF(D156="FAIL",IF(E156="FAIL",IF(F156="FAIL",IF(G156="FAIL",IF(H156="FAIL",IF(I156="FAIL",IF(J156="FAIL",IF(K156="FAIL",IF(L156="FAIL",IF(M156="FAIL","NO MATCH",$M$1),$L$1),$K$1),$J$1),$I$1),$H$1),$G$1),$F$1),$E$1),$D$1),$C$1)</f>
        <v>#DIV/0!</v>
      </c>
      <c r="C160" s="30" t="s">
        <v>1151</v>
      </c>
      <c r="D160" s="21"/>
      <c r="E160" s="21"/>
      <c r="F160" s="21"/>
      <c r="G160" s="21"/>
      <c r="H160" s="26"/>
      <c r="I160" s="21"/>
      <c r="J160" s="21"/>
      <c r="K160" s="21"/>
      <c r="L160" s="21"/>
      <c r="N160" s="21"/>
      <c r="O160" s="21"/>
    </row>
    <row r="161" spans="1:15" ht="18.600000000000001" thickBot="1"/>
    <row r="162" spans="1:15" s="23" customFormat="1">
      <c r="A162" s="3214" t="s">
        <v>1122</v>
      </c>
      <c r="B162" s="3216"/>
      <c r="C162" s="35">
        <v>16</v>
      </c>
      <c r="D162" s="36">
        <v>25</v>
      </c>
      <c r="E162" s="36">
        <v>35</v>
      </c>
      <c r="F162" s="36">
        <v>50</v>
      </c>
      <c r="G162" s="36">
        <v>70</v>
      </c>
      <c r="H162" s="36">
        <v>95</v>
      </c>
      <c r="I162" s="36">
        <v>120</v>
      </c>
      <c r="J162" s="36">
        <v>150</v>
      </c>
      <c r="K162" s="36">
        <v>185</v>
      </c>
      <c r="L162" s="36">
        <v>240</v>
      </c>
      <c r="M162" s="36">
        <v>300</v>
      </c>
      <c r="N162" s="37">
        <v>400</v>
      </c>
      <c r="O162" s="22"/>
    </row>
    <row r="163" spans="1:15" s="23" customFormat="1" ht="18.600000000000001" thickBot="1">
      <c r="A163" s="3215"/>
      <c r="B163" s="3217"/>
      <c r="C163" s="1978" t="s">
        <v>1123</v>
      </c>
      <c r="D163" s="1979" t="s">
        <v>1124</v>
      </c>
      <c r="E163" s="1979" t="s">
        <v>1125</v>
      </c>
      <c r="F163" s="1979" t="s">
        <v>1126</v>
      </c>
      <c r="G163" s="1979" t="s">
        <v>1127</v>
      </c>
      <c r="H163" s="1979" t="s">
        <v>1128</v>
      </c>
      <c r="I163" s="1979" t="s">
        <v>1129</v>
      </c>
      <c r="J163" s="1979" t="s">
        <v>1130</v>
      </c>
      <c r="K163" s="1979" t="s">
        <v>1131</v>
      </c>
      <c r="L163" s="1979" t="s">
        <v>1132</v>
      </c>
      <c r="M163" s="1979" t="s">
        <v>1133</v>
      </c>
      <c r="N163" s="1980" t="s">
        <v>1134</v>
      </c>
      <c r="O163" s="22"/>
    </row>
    <row r="164" spans="1:15">
      <c r="A164" s="1981" t="s">
        <v>1135</v>
      </c>
      <c r="B164" s="1982"/>
      <c r="C164" s="31">
        <v>74</v>
      </c>
      <c r="D164" s="31">
        <v>94</v>
      </c>
      <c r="E164" s="31">
        <v>113</v>
      </c>
      <c r="F164" s="31">
        <v>133</v>
      </c>
      <c r="G164" s="31">
        <v>164</v>
      </c>
      <c r="H164" s="31">
        <v>196</v>
      </c>
      <c r="I164" s="31">
        <v>223</v>
      </c>
      <c r="J164" s="31">
        <v>249</v>
      </c>
      <c r="K164" s="31">
        <v>282</v>
      </c>
      <c r="L164" s="31">
        <v>326</v>
      </c>
      <c r="M164" s="31">
        <v>367</v>
      </c>
      <c r="N164" s="32">
        <v>418</v>
      </c>
      <c r="O164" s="21"/>
    </row>
    <row r="165" spans="1:15">
      <c r="A165" s="1967" t="s">
        <v>1136</v>
      </c>
      <c r="B165" s="43"/>
      <c r="C165" s="24">
        <v>74</v>
      </c>
      <c r="D165" s="24">
        <v>96</v>
      </c>
      <c r="E165" s="24">
        <v>117</v>
      </c>
      <c r="F165" s="24">
        <v>142</v>
      </c>
      <c r="G165" s="24">
        <v>179</v>
      </c>
      <c r="H165" s="24">
        <v>221</v>
      </c>
      <c r="I165" s="24">
        <v>257</v>
      </c>
      <c r="J165" s="24">
        <v>292</v>
      </c>
      <c r="K165" s="24">
        <v>337</v>
      </c>
      <c r="L165" s="24">
        <v>399</v>
      </c>
      <c r="M165" s="24">
        <v>455</v>
      </c>
      <c r="N165" s="33">
        <v>530</v>
      </c>
      <c r="O165" s="21"/>
    </row>
    <row r="166" spans="1:15" ht="22.5" customHeight="1">
      <c r="A166" s="1967" t="s">
        <v>1137</v>
      </c>
      <c r="B166" s="42">
        <v>0.7</v>
      </c>
      <c r="C166" s="24">
        <f>B166</f>
        <v>0.7</v>
      </c>
      <c r="D166" s="24">
        <f>C166</f>
        <v>0.7</v>
      </c>
      <c r="E166" s="24">
        <f t="shared" ref="E166" si="243">D166</f>
        <v>0.7</v>
      </c>
      <c r="F166" s="24">
        <f t="shared" ref="F166" si="244">E166</f>
        <v>0.7</v>
      </c>
      <c r="G166" s="24">
        <f t="shared" ref="G166" si="245">F166</f>
        <v>0.7</v>
      </c>
      <c r="H166" s="24">
        <f t="shared" ref="H166" si="246">G166</f>
        <v>0.7</v>
      </c>
      <c r="I166" s="24">
        <f t="shared" ref="I166" si="247">H166</f>
        <v>0.7</v>
      </c>
      <c r="J166" s="24">
        <f t="shared" ref="J166" si="248">I166</f>
        <v>0.7</v>
      </c>
      <c r="K166" s="24">
        <f t="shared" ref="K166" si="249">J166</f>
        <v>0.7</v>
      </c>
      <c r="L166" s="24">
        <f t="shared" ref="L166" si="250">K166</f>
        <v>0.7</v>
      </c>
      <c r="M166" s="24">
        <f>L166</f>
        <v>0.7</v>
      </c>
      <c r="N166" s="33">
        <f>M166</f>
        <v>0.7</v>
      </c>
      <c r="O166" s="21"/>
    </row>
    <row r="167" spans="1:15">
      <c r="A167" s="1967" t="s">
        <v>1138</v>
      </c>
      <c r="B167" s="43"/>
      <c r="C167" s="24">
        <f>C164*C166</f>
        <v>51.8</v>
      </c>
      <c r="D167" s="24">
        <f t="shared" ref="D167:G167" si="251">D164*D166</f>
        <v>65.8</v>
      </c>
      <c r="E167" s="24">
        <f t="shared" si="251"/>
        <v>79.099999999999994</v>
      </c>
      <c r="F167" s="24">
        <f t="shared" si="251"/>
        <v>93.1</v>
      </c>
      <c r="G167" s="24">
        <f t="shared" si="251"/>
        <v>114.8</v>
      </c>
      <c r="H167" s="24">
        <f>H164*H166</f>
        <v>137.19999999999999</v>
      </c>
      <c r="I167" s="24">
        <f t="shared" ref="I167:N167" si="252">I164*I166</f>
        <v>156.1</v>
      </c>
      <c r="J167" s="24">
        <f t="shared" si="252"/>
        <v>174.29999999999998</v>
      </c>
      <c r="K167" s="24">
        <f t="shared" si="252"/>
        <v>197.39999999999998</v>
      </c>
      <c r="L167" s="24">
        <f t="shared" si="252"/>
        <v>228.2</v>
      </c>
      <c r="M167" s="24">
        <f t="shared" si="252"/>
        <v>256.89999999999998</v>
      </c>
      <c r="N167" s="33">
        <f t="shared" si="252"/>
        <v>292.59999999999997</v>
      </c>
      <c r="O167" s="21"/>
    </row>
    <row r="168" spans="1:15">
      <c r="A168" s="1967" t="s">
        <v>1139</v>
      </c>
      <c r="B168" s="43"/>
      <c r="C168" s="24">
        <f>C165*C166</f>
        <v>51.8</v>
      </c>
      <c r="D168" s="24">
        <f>D165*D166</f>
        <v>67.199999999999989</v>
      </c>
      <c r="E168" s="24">
        <f t="shared" ref="E168:G168" si="253">E165*E166</f>
        <v>81.899999999999991</v>
      </c>
      <c r="F168" s="24">
        <f t="shared" si="253"/>
        <v>99.399999999999991</v>
      </c>
      <c r="G168" s="24">
        <f t="shared" si="253"/>
        <v>125.3</v>
      </c>
      <c r="H168" s="24">
        <f>H165*H166</f>
        <v>154.69999999999999</v>
      </c>
      <c r="I168" s="24">
        <f t="shared" ref="I168:N168" si="254">I165*I166</f>
        <v>179.89999999999998</v>
      </c>
      <c r="J168" s="24">
        <f t="shared" si="254"/>
        <v>204.39999999999998</v>
      </c>
      <c r="K168" s="24">
        <f t="shared" si="254"/>
        <v>235.89999999999998</v>
      </c>
      <c r="L168" s="24">
        <f t="shared" si="254"/>
        <v>279.29999999999995</v>
      </c>
      <c r="M168" s="24">
        <f t="shared" si="254"/>
        <v>318.5</v>
      </c>
      <c r="N168" s="33">
        <f t="shared" si="254"/>
        <v>371</v>
      </c>
      <c r="O168" s="21"/>
    </row>
    <row r="169" spans="1:15">
      <c r="A169" s="1967"/>
      <c r="B169" s="43"/>
      <c r="C169" s="24"/>
      <c r="D169" s="24"/>
      <c r="E169" s="24"/>
      <c r="F169" s="24"/>
      <c r="G169" s="24"/>
      <c r="H169" s="24"/>
      <c r="I169" s="24"/>
      <c r="J169" s="24"/>
      <c r="K169" s="24"/>
      <c r="L169" s="24"/>
      <c r="M169" s="24"/>
      <c r="N169" s="33"/>
      <c r="O169" s="21"/>
    </row>
    <row r="170" spans="1:15">
      <c r="A170" s="1967" t="s">
        <v>1140</v>
      </c>
      <c r="B170" s="43"/>
      <c r="C170" s="24">
        <v>2.44</v>
      </c>
      <c r="D170" s="24">
        <v>1.54</v>
      </c>
      <c r="E170" s="24">
        <v>1.1100000000000001</v>
      </c>
      <c r="F170" s="24">
        <v>0.82</v>
      </c>
      <c r="G170" s="24">
        <v>0.56699999999999995</v>
      </c>
      <c r="H170" s="24">
        <v>0.41</v>
      </c>
      <c r="I170" s="24">
        <v>0.32400000000000001</v>
      </c>
      <c r="J170" s="24">
        <v>0.26400000000000001</v>
      </c>
      <c r="K170" s="24">
        <v>0.21</v>
      </c>
      <c r="L170" s="24">
        <v>0.16</v>
      </c>
      <c r="M170" s="24">
        <v>0.128</v>
      </c>
      <c r="N170" s="33">
        <v>0.1</v>
      </c>
      <c r="O170" s="21"/>
    </row>
    <row r="171" spans="1:15">
      <c r="A171" s="1967" t="s">
        <v>1141</v>
      </c>
      <c r="B171" s="43"/>
      <c r="C171" s="24">
        <v>8.0799999999999997E-2</v>
      </c>
      <c r="D171" s="24">
        <v>8.0500000000000002E-2</v>
      </c>
      <c r="E171" s="24">
        <v>7.8299999999999995E-2</v>
      </c>
      <c r="F171" s="24">
        <v>7.4999999999999997E-2</v>
      </c>
      <c r="G171" s="24">
        <v>7.3999999999999996E-2</v>
      </c>
      <c r="H171" s="24">
        <v>7.2400000000000006E-2</v>
      </c>
      <c r="I171" s="24">
        <v>7.1199999999999999E-2</v>
      </c>
      <c r="J171" s="24">
        <v>7.1599999999999997E-2</v>
      </c>
      <c r="K171" s="24">
        <v>7.1800000000000003E-2</v>
      </c>
      <c r="L171" s="24">
        <v>7.0999999999999994E-2</v>
      </c>
      <c r="M171" s="24">
        <v>7.0499999999999993E-2</v>
      </c>
      <c r="N171" s="33">
        <v>7.0400000000000004E-2</v>
      </c>
      <c r="O171" s="21"/>
    </row>
    <row r="172" spans="1:15">
      <c r="A172" s="1967"/>
      <c r="B172" s="43"/>
      <c r="C172" s="24"/>
      <c r="D172" s="24"/>
      <c r="E172" s="24"/>
      <c r="F172" s="24"/>
      <c r="G172" s="24"/>
      <c r="H172" s="24"/>
      <c r="I172" s="24"/>
      <c r="J172" s="24"/>
      <c r="K172" s="24"/>
      <c r="L172" s="24"/>
      <c r="M172" s="24"/>
      <c r="N172" s="33"/>
      <c r="O172" s="21"/>
    </row>
    <row r="173" spans="1:15" ht="24.75" customHeight="1">
      <c r="A173" s="1968" t="s">
        <v>1142</v>
      </c>
      <c r="B173" s="41">
        <f>A181</f>
        <v>0</v>
      </c>
      <c r="C173" s="24">
        <f t="shared" ref="C173:C175" si="255">B173</f>
        <v>0</v>
      </c>
      <c r="D173" s="24">
        <f t="shared" ref="D173:D175" si="256">C173</f>
        <v>0</v>
      </c>
      <c r="E173" s="24">
        <f t="shared" ref="E173:E175" si="257">D173</f>
        <v>0</v>
      </c>
      <c r="F173" s="24">
        <f t="shared" ref="F173:F175" si="258">E173</f>
        <v>0</v>
      </c>
      <c r="G173" s="24">
        <f t="shared" ref="G173:G175" si="259">F173</f>
        <v>0</v>
      </c>
      <c r="H173" s="24">
        <f t="shared" ref="H173:H175" si="260">G173</f>
        <v>0</v>
      </c>
      <c r="I173" s="24">
        <f t="shared" ref="I173:I175" si="261">H173</f>
        <v>0</v>
      </c>
      <c r="J173" s="24">
        <f t="shared" ref="J173:J175" si="262">I173</f>
        <v>0</v>
      </c>
      <c r="K173" s="24">
        <f t="shared" ref="K173:K175" si="263">J173</f>
        <v>0</v>
      </c>
      <c r="L173" s="24">
        <f t="shared" ref="L173:L175" si="264">K173</f>
        <v>0</v>
      </c>
      <c r="M173" s="24">
        <f t="shared" ref="M173:M175" si="265">L173</f>
        <v>0</v>
      </c>
      <c r="N173" s="33">
        <f t="shared" ref="N173:N175" si="266">M173</f>
        <v>0</v>
      </c>
      <c r="O173" s="21"/>
    </row>
    <row r="174" spans="1:15">
      <c r="A174" s="1968" t="s">
        <v>1143</v>
      </c>
      <c r="B174" s="42">
        <f>'Input''s from Initial Design'!X74</f>
        <v>0</v>
      </c>
      <c r="C174" s="24">
        <f t="shared" si="255"/>
        <v>0</v>
      </c>
      <c r="D174" s="24">
        <f t="shared" si="256"/>
        <v>0</v>
      </c>
      <c r="E174" s="24">
        <f t="shared" si="257"/>
        <v>0</v>
      </c>
      <c r="F174" s="24">
        <f t="shared" si="258"/>
        <v>0</v>
      </c>
      <c r="G174" s="24">
        <f t="shared" si="259"/>
        <v>0</v>
      </c>
      <c r="H174" s="24">
        <f t="shared" si="260"/>
        <v>0</v>
      </c>
      <c r="I174" s="24">
        <f t="shared" si="261"/>
        <v>0</v>
      </c>
      <c r="J174" s="24">
        <f t="shared" si="262"/>
        <v>0</v>
      </c>
      <c r="K174" s="24">
        <f t="shared" si="263"/>
        <v>0</v>
      </c>
      <c r="L174" s="24">
        <f t="shared" si="264"/>
        <v>0</v>
      </c>
      <c r="M174" s="24">
        <f t="shared" si="265"/>
        <v>0</v>
      </c>
      <c r="N174" s="33">
        <f t="shared" si="266"/>
        <v>0</v>
      </c>
      <c r="O174" s="21"/>
    </row>
    <row r="175" spans="1:15">
      <c r="A175" s="1968" t="s">
        <v>1144</v>
      </c>
      <c r="B175" s="42">
        <f>'Input''s from Initial Design'!Y74</f>
        <v>0</v>
      </c>
      <c r="C175" s="24">
        <f t="shared" si="255"/>
        <v>0</v>
      </c>
      <c r="D175" s="24">
        <f t="shared" si="256"/>
        <v>0</v>
      </c>
      <c r="E175" s="24">
        <f t="shared" si="257"/>
        <v>0</v>
      </c>
      <c r="F175" s="24">
        <f t="shared" si="258"/>
        <v>0</v>
      </c>
      <c r="G175" s="24">
        <f t="shared" si="259"/>
        <v>0</v>
      </c>
      <c r="H175" s="24">
        <f t="shared" si="260"/>
        <v>0</v>
      </c>
      <c r="I175" s="24">
        <f t="shared" si="261"/>
        <v>0</v>
      </c>
      <c r="J175" s="24">
        <f t="shared" si="262"/>
        <v>0</v>
      </c>
      <c r="K175" s="24">
        <f t="shared" si="263"/>
        <v>0</v>
      </c>
      <c r="L175" s="24">
        <f t="shared" si="264"/>
        <v>0</v>
      </c>
      <c r="M175" s="24">
        <f t="shared" si="265"/>
        <v>0</v>
      </c>
      <c r="N175" s="33">
        <f t="shared" si="266"/>
        <v>0</v>
      </c>
      <c r="O175" s="21"/>
    </row>
    <row r="176" spans="1:15">
      <c r="A176" s="1968" t="s">
        <v>1145</v>
      </c>
      <c r="B176" s="42">
        <v>415</v>
      </c>
      <c r="C176" s="24">
        <f>+B176</f>
        <v>415</v>
      </c>
      <c r="D176" s="24">
        <f t="shared" ref="D176" si="267">+C176</f>
        <v>415</v>
      </c>
      <c r="E176" s="24">
        <f t="shared" ref="E176" si="268">+D176</f>
        <v>415</v>
      </c>
      <c r="F176" s="24">
        <f t="shared" ref="F176" si="269">+E176</f>
        <v>415</v>
      </c>
      <c r="G176" s="24">
        <f t="shared" ref="G176" si="270">+F176</f>
        <v>415</v>
      </c>
      <c r="H176" s="24">
        <f t="shared" ref="H176" si="271">+G176</f>
        <v>415</v>
      </c>
      <c r="I176" s="24">
        <f t="shared" ref="I176" si="272">+H176</f>
        <v>415</v>
      </c>
      <c r="J176" s="24">
        <f t="shared" ref="J176" si="273">+I176</f>
        <v>415</v>
      </c>
      <c r="K176" s="24">
        <f t="shared" ref="K176" si="274">+J176</f>
        <v>415</v>
      </c>
      <c r="L176" s="24">
        <f t="shared" ref="L176" si="275">+K176</f>
        <v>415</v>
      </c>
      <c r="M176" s="24">
        <f t="shared" ref="M176" si="276">+L176</f>
        <v>415</v>
      </c>
      <c r="N176" s="33">
        <f t="shared" ref="N176" si="277">+M176</f>
        <v>415</v>
      </c>
      <c r="O176" s="21"/>
    </row>
    <row r="177" spans="1:15">
      <c r="A177" s="1967" t="s">
        <v>1146</v>
      </c>
      <c r="B177" s="43"/>
      <c r="C177" s="25" t="e">
        <f t="shared" ref="C177:N177" si="278">1.732*C173*(C170/1000*1+C171/1000*0)*C174/C175</f>
        <v>#DIV/0!</v>
      </c>
      <c r="D177" s="25" t="e">
        <f t="shared" si="278"/>
        <v>#DIV/0!</v>
      </c>
      <c r="E177" s="25" t="e">
        <f t="shared" si="278"/>
        <v>#DIV/0!</v>
      </c>
      <c r="F177" s="25" t="e">
        <f t="shared" si="278"/>
        <v>#DIV/0!</v>
      </c>
      <c r="G177" s="25" t="e">
        <f t="shared" si="278"/>
        <v>#DIV/0!</v>
      </c>
      <c r="H177" s="25" t="e">
        <f t="shared" si="278"/>
        <v>#DIV/0!</v>
      </c>
      <c r="I177" s="25" t="e">
        <f t="shared" si="278"/>
        <v>#DIV/0!</v>
      </c>
      <c r="J177" s="25" t="e">
        <f t="shared" si="278"/>
        <v>#DIV/0!</v>
      </c>
      <c r="K177" s="25" t="e">
        <f t="shared" si="278"/>
        <v>#DIV/0!</v>
      </c>
      <c r="L177" s="25" t="e">
        <f t="shared" si="278"/>
        <v>#DIV/0!</v>
      </c>
      <c r="M177" s="25" t="e">
        <f t="shared" si="278"/>
        <v>#DIV/0!</v>
      </c>
      <c r="N177" s="34" t="e">
        <f t="shared" si="278"/>
        <v>#DIV/0!</v>
      </c>
      <c r="O177" s="21"/>
    </row>
    <row r="178" spans="1:15">
      <c r="A178" s="1967" t="s">
        <v>1147</v>
      </c>
      <c r="B178" s="43"/>
      <c r="C178" s="1965" t="e">
        <f>C177/C176</f>
        <v>#DIV/0!</v>
      </c>
      <c r="D178" s="1965" t="e">
        <f t="shared" ref="D178:N178" si="279">D177/D176</f>
        <v>#DIV/0!</v>
      </c>
      <c r="E178" s="1965" t="e">
        <f t="shared" si="279"/>
        <v>#DIV/0!</v>
      </c>
      <c r="F178" s="1965" t="e">
        <f t="shared" si="279"/>
        <v>#DIV/0!</v>
      </c>
      <c r="G178" s="1965" t="e">
        <f t="shared" si="279"/>
        <v>#DIV/0!</v>
      </c>
      <c r="H178" s="1965" t="e">
        <f t="shared" si="279"/>
        <v>#DIV/0!</v>
      </c>
      <c r="I178" s="1965" t="e">
        <f t="shared" si="279"/>
        <v>#DIV/0!</v>
      </c>
      <c r="J178" s="1965" t="e">
        <f t="shared" si="279"/>
        <v>#DIV/0!</v>
      </c>
      <c r="K178" s="1965" t="e">
        <f t="shared" si="279"/>
        <v>#DIV/0!</v>
      </c>
      <c r="L178" s="1965" t="e">
        <f t="shared" si="279"/>
        <v>#DIV/0!</v>
      </c>
      <c r="M178" s="1965" t="e">
        <f t="shared" si="279"/>
        <v>#DIV/0!</v>
      </c>
      <c r="N178" s="1969" t="e">
        <f t="shared" si="279"/>
        <v>#DIV/0!</v>
      </c>
      <c r="O178" s="21"/>
    </row>
    <row r="179" spans="1:15">
      <c r="A179" s="1968" t="s">
        <v>1148</v>
      </c>
      <c r="B179" s="1966">
        <v>0.02</v>
      </c>
      <c r="C179" s="24" t="e">
        <f>IF(AND((C173*1.25)&lt;(C167*C175),(C178&lt;$B$16)),"PASS","FAIL")</f>
        <v>#DIV/0!</v>
      </c>
      <c r="D179" s="24" t="e">
        <f>IF(AND((D173*1.25)&lt;(D167*D175),(D178&lt;$B$16)),"PASS","FAIL")</f>
        <v>#DIV/0!</v>
      </c>
      <c r="E179" s="24" t="e">
        <f>IF(AND((E173*1.25)&lt;(E167*E175),(E178&lt;$B$16)),"PASS","FAIL")</f>
        <v>#DIV/0!</v>
      </c>
      <c r="F179" s="24" t="e">
        <f>IF(AND((F173*1.25)&lt;(F167*F175),(F178&lt;$B$16)),"PASS","FAIL")</f>
        <v>#DIV/0!</v>
      </c>
      <c r="G179" s="24" t="e">
        <f>IF(AND((G173*1.25)&lt;(G167*G175),(G178&lt;$B$16)),"PASS","FAIL")</f>
        <v>#DIV/0!</v>
      </c>
      <c r="H179" s="24" t="e">
        <f>IF(AND((H173*1.1)&lt;(H167*H175),(H178&lt;$B$16)),"PASS","FAIL")</f>
        <v>#DIV/0!</v>
      </c>
      <c r="I179" s="24" t="e">
        <f t="shared" ref="I179:N179" si="280">IF(AND((I173*1.25)&lt;(I167*I175),(I178&lt;$B$16)),"PASS","FAIL")</f>
        <v>#DIV/0!</v>
      </c>
      <c r="J179" s="24" t="e">
        <f t="shared" si="280"/>
        <v>#DIV/0!</v>
      </c>
      <c r="K179" s="24" t="e">
        <f t="shared" si="280"/>
        <v>#DIV/0!</v>
      </c>
      <c r="L179" s="24" t="e">
        <f t="shared" si="280"/>
        <v>#DIV/0!</v>
      </c>
      <c r="M179" s="24" t="e">
        <f t="shared" si="280"/>
        <v>#DIV/0!</v>
      </c>
      <c r="N179" s="33" t="e">
        <f t="shared" si="280"/>
        <v>#DIV/0!</v>
      </c>
      <c r="O179" s="21"/>
    </row>
    <row r="180" spans="1:15" ht="18.600000000000001" thickBot="1">
      <c r="A180" s="1970" t="s">
        <v>1149</v>
      </c>
      <c r="B180" s="1971"/>
      <c r="C180" s="1972" t="e">
        <f t="shared" ref="C180:N180" si="281">IF(AND((C173*1.25)&lt;(C168*C175),(C178&lt;$B$16)),"PASS","FAIL")</f>
        <v>#DIV/0!</v>
      </c>
      <c r="D180" s="1972" t="e">
        <f t="shared" si="281"/>
        <v>#DIV/0!</v>
      </c>
      <c r="E180" s="1972" t="e">
        <f t="shared" si="281"/>
        <v>#DIV/0!</v>
      </c>
      <c r="F180" s="1972" t="e">
        <f t="shared" si="281"/>
        <v>#DIV/0!</v>
      </c>
      <c r="G180" s="1972" t="e">
        <f t="shared" si="281"/>
        <v>#DIV/0!</v>
      </c>
      <c r="H180" s="1972" t="e">
        <f t="shared" si="281"/>
        <v>#DIV/0!</v>
      </c>
      <c r="I180" s="1972" t="e">
        <f t="shared" si="281"/>
        <v>#DIV/0!</v>
      </c>
      <c r="J180" s="1972" t="e">
        <f t="shared" si="281"/>
        <v>#DIV/0!</v>
      </c>
      <c r="K180" s="1972" t="e">
        <f t="shared" si="281"/>
        <v>#DIV/0!</v>
      </c>
      <c r="L180" s="1972" t="e">
        <f t="shared" si="281"/>
        <v>#DIV/0!</v>
      </c>
      <c r="M180" s="1972" t="e">
        <f t="shared" si="281"/>
        <v>#DIV/0!</v>
      </c>
      <c r="N180" s="1973" t="e">
        <f t="shared" si="281"/>
        <v>#DIV/0!</v>
      </c>
      <c r="O180" s="21"/>
    </row>
    <row r="181" spans="1:15">
      <c r="A181" s="1963">
        <f>('Input''s from Initial Design'!W74*1000/(1.732*440*1))</f>
        <v>0</v>
      </c>
      <c r="B181" s="1964" t="s">
        <v>1150</v>
      </c>
      <c r="C181" s="26"/>
      <c r="D181" s="3213"/>
      <c r="E181" s="3213"/>
      <c r="F181" s="3213"/>
      <c r="G181" s="21"/>
      <c r="H181" s="21"/>
      <c r="I181" s="21"/>
      <c r="J181" s="21"/>
    </row>
    <row r="182" spans="1:15">
      <c r="A182" s="21"/>
      <c r="B182" s="21"/>
      <c r="C182" s="26"/>
      <c r="D182" s="21"/>
      <c r="E182" s="21">
        <v>8</v>
      </c>
      <c r="F182" s="21"/>
      <c r="G182" s="27"/>
      <c r="H182" s="21"/>
      <c r="I182" s="21"/>
      <c r="J182" s="21"/>
    </row>
    <row r="183" spans="1:15">
      <c r="A183" s="28" t="s">
        <v>1148</v>
      </c>
      <c r="B183" s="29" t="e">
        <f>IF(C179="FAIL",IF(D179="FAIL",IF(E179="FAIL",IF(F179="FAIL",IF(G179="FAIL",IF(H179="FAIL",IF(I179="FAIL",IF(J179="FAIL",IF(K179="FAIL",IF(L179="FAIL",IF(M179="FAIL","NO MATCH",$M$1),$L$1),$K$1),$J$1),$I$1),$H$1),$G$1),$F$1),$E$1),$D$1),$C$1)</f>
        <v>#DIV/0!</v>
      </c>
      <c r="C183" s="30" t="s">
        <v>1151</v>
      </c>
      <c r="D183" s="21"/>
      <c r="E183" s="21"/>
      <c r="F183" s="21"/>
      <c r="G183" s="21"/>
      <c r="H183" s="26"/>
      <c r="I183" s="21"/>
      <c r="J183" s="21"/>
      <c r="K183" s="21"/>
      <c r="L183" s="21"/>
      <c r="N183" s="21"/>
      <c r="O183" s="21"/>
    </row>
    <row r="184" spans="1:15">
      <c r="A184" s="28" t="s">
        <v>1149</v>
      </c>
      <c r="B184" s="29" t="e">
        <f>IF(C180="FAIL",IF(D180="FAIL",IF(E180="FAIL",IF(F180="FAIL",IF(G180="FAIL",IF(H180="FAIL",IF(I180="FAIL",IF(J180="FAIL",IF(K180="FAIL",IF(L180="FAIL",IF(M180="FAIL","NO MATCH",$M$1),$L$1),$K$1),$J$1),$I$1),$H$1),$G$1),$F$1),$E$1),$D$1),$C$1)</f>
        <v>#DIV/0!</v>
      </c>
      <c r="C184" s="30" t="s">
        <v>1151</v>
      </c>
      <c r="D184" s="21"/>
      <c r="E184" s="21"/>
      <c r="F184" s="21"/>
      <c r="G184" s="21"/>
      <c r="H184" s="26"/>
      <c r="I184" s="21"/>
      <c r="J184" s="21"/>
      <c r="K184" s="21"/>
      <c r="L184" s="21"/>
      <c r="N184" s="21"/>
      <c r="O184" s="21"/>
    </row>
    <row r="185" spans="1:15" ht="18.600000000000001" thickBot="1">
      <c r="A185" s="21"/>
      <c r="B185" s="21"/>
      <c r="C185" s="21"/>
      <c r="D185" s="21"/>
      <c r="E185" s="21"/>
      <c r="F185" s="21"/>
      <c r="G185" s="21"/>
      <c r="H185" s="26"/>
      <c r="I185" s="21"/>
      <c r="J185" s="21"/>
      <c r="K185" s="21"/>
      <c r="L185" s="21"/>
      <c r="N185" s="21"/>
      <c r="O185" s="21"/>
    </row>
    <row r="186" spans="1:15" s="23" customFormat="1">
      <c r="A186" s="3214" t="s">
        <v>1122</v>
      </c>
      <c r="B186" s="3216"/>
      <c r="C186" s="35">
        <v>16</v>
      </c>
      <c r="D186" s="36">
        <v>25</v>
      </c>
      <c r="E186" s="36">
        <v>35</v>
      </c>
      <c r="F186" s="36">
        <v>50</v>
      </c>
      <c r="G186" s="36">
        <v>70</v>
      </c>
      <c r="H186" s="36">
        <v>95</v>
      </c>
      <c r="I186" s="36">
        <v>120</v>
      </c>
      <c r="J186" s="36">
        <v>150</v>
      </c>
      <c r="K186" s="36">
        <v>185</v>
      </c>
      <c r="L186" s="36">
        <v>240</v>
      </c>
      <c r="M186" s="36">
        <v>300</v>
      </c>
      <c r="N186" s="37">
        <v>400</v>
      </c>
      <c r="O186" s="22"/>
    </row>
    <row r="187" spans="1:15" s="23" customFormat="1" ht="18.600000000000001" thickBot="1">
      <c r="A187" s="3215"/>
      <c r="B187" s="3217"/>
      <c r="C187" s="1978" t="s">
        <v>1123</v>
      </c>
      <c r="D187" s="1979" t="s">
        <v>1124</v>
      </c>
      <c r="E187" s="1979" t="s">
        <v>1125</v>
      </c>
      <c r="F187" s="1979" t="s">
        <v>1126</v>
      </c>
      <c r="G187" s="1979" t="s">
        <v>1127</v>
      </c>
      <c r="H187" s="1979" t="s">
        <v>1128</v>
      </c>
      <c r="I187" s="1979" t="s">
        <v>1129</v>
      </c>
      <c r="J187" s="1979" t="s">
        <v>1130</v>
      </c>
      <c r="K187" s="1979" t="s">
        <v>1131</v>
      </c>
      <c r="L187" s="1979" t="s">
        <v>1132</v>
      </c>
      <c r="M187" s="1979" t="s">
        <v>1133</v>
      </c>
      <c r="N187" s="1980" t="s">
        <v>1134</v>
      </c>
      <c r="O187" s="22"/>
    </row>
    <row r="188" spans="1:15">
      <c r="A188" s="1981" t="s">
        <v>1135</v>
      </c>
      <c r="B188" s="1982"/>
      <c r="C188" s="31">
        <v>74</v>
      </c>
      <c r="D188" s="31">
        <v>94</v>
      </c>
      <c r="E188" s="31">
        <v>113</v>
      </c>
      <c r="F188" s="31">
        <v>133</v>
      </c>
      <c r="G188" s="31">
        <v>164</v>
      </c>
      <c r="H188" s="31">
        <v>196</v>
      </c>
      <c r="I188" s="31">
        <v>223</v>
      </c>
      <c r="J188" s="31">
        <v>249</v>
      </c>
      <c r="K188" s="31">
        <v>282</v>
      </c>
      <c r="L188" s="31">
        <v>326</v>
      </c>
      <c r="M188" s="31">
        <v>367</v>
      </c>
      <c r="N188" s="32">
        <v>418</v>
      </c>
      <c r="O188" s="21"/>
    </row>
    <row r="189" spans="1:15">
      <c r="A189" s="1967" t="s">
        <v>1136</v>
      </c>
      <c r="B189" s="43"/>
      <c r="C189" s="24">
        <v>74</v>
      </c>
      <c r="D189" s="24">
        <v>96</v>
      </c>
      <c r="E189" s="24">
        <v>117</v>
      </c>
      <c r="F189" s="24">
        <v>142</v>
      </c>
      <c r="G189" s="24">
        <v>179</v>
      </c>
      <c r="H189" s="24">
        <v>221</v>
      </c>
      <c r="I189" s="24">
        <v>257</v>
      </c>
      <c r="J189" s="24">
        <v>292</v>
      </c>
      <c r="K189" s="24">
        <v>337</v>
      </c>
      <c r="L189" s="24">
        <v>399</v>
      </c>
      <c r="M189" s="24">
        <v>455</v>
      </c>
      <c r="N189" s="33">
        <v>530</v>
      </c>
      <c r="O189" s="21"/>
    </row>
    <row r="190" spans="1:15" ht="22.5" customHeight="1">
      <c r="A190" s="1967" t="s">
        <v>1137</v>
      </c>
      <c r="B190" s="42">
        <v>0.7</v>
      </c>
      <c r="C190" s="24">
        <f>B190</f>
        <v>0.7</v>
      </c>
      <c r="D190" s="24">
        <f>C190</f>
        <v>0.7</v>
      </c>
      <c r="E190" s="24">
        <f t="shared" ref="E190" si="282">D190</f>
        <v>0.7</v>
      </c>
      <c r="F190" s="24">
        <f t="shared" ref="F190" si="283">E190</f>
        <v>0.7</v>
      </c>
      <c r="G190" s="24">
        <f t="shared" ref="G190" si="284">F190</f>
        <v>0.7</v>
      </c>
      <c r="H190" s="24">
        <f t="shared" ref="H190" si="285">G190</f>
        <v>0.7</v>
      </c>
      <c r="I190" s="24">
        <f t="shared" ref="I190" si="286">H190</f>
        <v>0.7</v>
      </c>
      <c r="J190" s="24">
        <f t="shared" ref="J190" si="287">I190</f>
        <v>0.7</v>
      </c>
      <c r="K190" s="24">
        <f t="shared" ref="K190" si="288">J190</f>
        <v>0.7</v>
      </c>
      <c r="L190" s="24">
        <f t="shared" ref="L190" si="289">K190</f>
        <v>0.7</v>
      </c>
      <c r="M190" s="24">
        <f>L190</f>
        <v>0.7</v>
      </c>
      <c r="N190" s="33">
        <f>M190</f>
        <v>0.7</v>
      </c>
      <c r="O190" s="21"/>
    </row>
    <row r="191" spans="1:15">
      <c r="A191" s="1967" t="s">
        <v>1138</v>
      </c>
      <c r="B191" s="43"/>
      <c r="C191" s="24">
        <f>C188*C190</f>
        <v>51.8</v>
      </c>
      <c r="D191" s="24">
        <f t="shared" ref="D191:G191" si="290">D188*D190</f>
        <v>65.8</v>
      </c>
      <c r="E191" s="24">
        <f t="shared" si="290"/>
        <v>79.099999999999994</v>
      </c>
      <c r="F191" s="24">
        <f t="shared" si="290"/>
        <v>93.1</v>
      </c>
      <c r="G191" s="24">
        <f t="shared" si="290"/>
        <v>114.8</v>
      </c>
      <c r="H191" s="24">
        <f>H188*H190</f>
        <v>137.19999999999999</v>
      </c>
      <c r="I191" s="24">
        <f t="shared" ref="I191:N191" si="291">I188*I190</f>
        <v>156.1</v>
      </c>
      <c r="J191" s="24">
        <f t="shared" si="291"/>
        <v>174.29999999999998</v>
      </c>
      <c r="K191" s="24">
        <f t="shared" si="291"/>
        <v>197.39999999999998</v>
      </c>
      <c r="L191" s="24">
        <f t="shared" si="291"/>
        <v>228.2</v>
      </c>
      <c r="M191" s="24">
        <f t="shared" si="291"/>
        <v>256.89999999999998</v>
      </c>
      <c r="N191" s="33">
        <f t="shared" si="291"/>
        <v>292.59999999999997</v>
      </c>
      <c r="O191" s="21"/>
    </row>
    <row r="192" spans="1:15">
      <c r="A192" s="1967" t="s">
        <v>1139</v>
      </c>
      <c r="B192" s="43"/>
      <c r="C192" s="24">
        <f>C189*C190</f>
        <v>51.8</v>
      </c>
      <c r="D192" s="24">
        <f>D189*D190</f>
        <v>67.199999999999989</v>
      </c>
      <c r="E192" s="24">
        <f t="shared" ref="E192:G192" si="292">E189*E190</f>
        <v>81.899999999999991</v>
      </c>
      <c r="F192" s="24">
        <f t="shared" si="292"/>
        <v>99.399999999999991</v>
      </c>
      <c r="G192" s="24">
        <f t="shared" si="292"/>
        <v>125.3</v>
      </c>
      <c r="H192" s="24">
        <f>H189*H190</f>
        <v>154.69999999999999</v>
      </c>
      <c r="I192" s="24">
        <f t="shared" ref="I192:N192" si="293">I189*I190</f>
        <v>179.89999999999998</v>
      </c>
      <c r="J192" s="24">
        <f t="shared" si="293"/>
        <v>204.39999999999998</v>
      </c>
      <c r="K192" s="24">
        <f t="shared" si="293"/>
        <v>235.89999999999998</v>
      </c>
      <c r="L192" s="24">
        <f t="shared" si="293"/>
        <v>279.29999999999995</v>
      </c>
      <c r="M192" s="24">
        <f t="shared" si="293"/>
        <v>318.5</v>
      </c>
      <c r="N192" s="33">
        <f t="shared" si="293"/>
        <v>371</v>
      </c>
      <c r="O192" s="21"/>
    </row>
    <row r="193" spans="1:15">
      <c r="A193" s="1967"/>
      <c r="B193" s="43"/>
      <c r="C193" s="24"/>
      <c r="D193" s="24"/>
      <c r="E193" s="24"/>
      <c r="F193" s="24"/>
      <c r="G193" s="24"/>
      <c r="H193" s="24"/>
      <c r="I193" s="24"/>
      <c r="J193" s="24"/>
      <c r="K193" s="24"/>
      <c r="L193" s="24"/>
      <c r="M193" s="24"/>
      <c r="N193" s="33"/>
      <c r="O193" s="21"/>
    </row>
    <row r="194" spans="1:15">
      <c r="A194" s="1967" t="s">
        <v>1140</v>
      </c>
      <c r="B194" s="43"/>
      <c r="C194" s="24">
        <v>2.44</v>
      </c>
      <c r="D194" s="24">
        <v>1.54</v>
      </c>
      <c r="E194" s="24">
        <v>1.1100000000000001</v>
      </c>
      <c r="F194" s="24">
        <v>0.82</v>
      </c>
      <c r="G194" s="24">
        <v>0.56699999999999995</v>
      </c>
      <c r="H194" s="24">
        <v>0.41</v>
      </c>
      <c r="I194" s="24">
        <v>0.32400000000000001</v>
      </c>
      <c r="J194" s="24">
        <v>0.26400000000000001</v>
      </c>
      <c r="K194" s="24">
        <v>0.21</v>
      </c>
      <c r="L194" s="24">
        <v>0.16</v>
      </c>
      <c r="M194" s="24">
        <v>0.128</v>
      </c>
      <c r="N194" s="33">
        <v>0.1</v>
      </c>
      <c r="O194" s="21"/>
    </row>
    <row r="195" spans="1:15">
      <c r="A195" s="1967" t="s">
        <v>1141</v>
      </c>
      <c r="B195" s="43"/>
      <c r="C195" s="24">
        <v>8.0799999999999997E-2</v>
      </c>
      <c r="D195" s="24">
        <v>8.0500000000000002E-2</v>
      </c>
      <c r="E195" s="24">
        <v>7.8299999999999995E-2</v>
      </c>
      <c r="F195" s="24">
        <v>7.4999999999999997E-2</v>
      </c>
      <c r="G195" s="24">
        <v>7.3999999999999996E-2</v>
      </c>
      <c r="H195" s="24">
        <v>7.2400000000000006E-2</v>
      </c>
      <c r="I195" s="24">
        <v>7.1199999999999999E-2</v>
      </c>
      <c r="J195" s="24">
        <v>7.1599999999999997E-2</v>
      </c>
      <c r="K195" s="24">
        <v>7.1800000000000003E-2</v>
      </c>
      <c r="L195" s="24">
        <v>7.0999999999999994E-2</v>
      </c>
      <c r="M195" s="24">
        <v>7.0499999999999993E-2</v>
      </c>
      <c r="N195" s="33">
        <v>7.0400000000000004E-2</v>
      </c>
      <c r="O195" s="21"/>
    </row>
    <row r="196" spans="1:15">
      <c r="A196" s="1967"/>
      <c r="B196" s="43"/>
      <c r="C196" s="24"/>
      <c r="D196" s="24"/>
      <c r="E196" s="24"/>
      <c r="F196" s="24"/>
      <c r="G196" s="24"/>
      <c r="H196" s="24"/>
      <c r="I196" s="24"/>
      <c r="J196" s="24"/>
      <c r="K196" s="24"/>
      <c r="L196" s="24"/>
      <c r="M196" s="24"/>
      <c r="N196" s="33"/>
      <c r="O196" s="21"/>
    </row>
    <row r="197" spans="1:15" ht="24.75" customHeight="1">
      <c r="A197" s="1968" t="s">
        <v>1142</v>
      </c>
      <c r="B197" s="41">
        <f>A205</f>
        <v>0</v>
      </c>
      <c r="C197" s="24">
        <f t="shared" ref="C197:C199" si="294">B197</f>
        <v>0</v>
      </c>
      <c r="D197" s="24">
        <f t="shared" ref="D197:D199" si="295">C197</f>
        <v>0</v>
      </c>
      <c r="E197" s="24">
        <f t="shared" ref="E197:E199" si="296">D197</f>
        <v>0</v>
      </c>
      <c r="F197" s="24">
        <f t="shared" ref="F197:F199" si="297">E197</f>
        <v>0</v>
      </c>
      <c r="G197" s="24">
        <f t="shared" ref="G197:G199" si="298">F197</f>
        <v>0</v>
      </c>
      <c r="H197" s="24">
        <f t="shared" ref="H197:H199" si="299">G197</f>
        <v>0</v>
      </c>
      <c r="I197" s="24">
        <f t="shared" ref="I197:I199" si="300">H197</f>
        <v>0</v>
      </c>
      <c r="J197" s="24">
        <f t="shared" ref="J197:J199" si="301">I197</f>
        <v>0</v>
      </c>
      <c r="K197" s="24">
        <f t="shared" ref="K197:K199" si="302">J197</f>
        <v>0</v>
      </c>
      <c r="L197" s="24">
        <f t="shared" ref="L197:L199" si="303">K197</f>
        <v>0</v>
      </c>
      <c r="M197" s="24">
        <f t="shared" ref="M197:M199" si="304">L197</f>
        <v>0</v>
      </c>
      <c r="N197" s="33">
        <f t="shared" ref="N197:N199" si="305">M197</f>
        <v>0</v>
      </c>
      <c r="O197" s="21"/>
    </row>
    <row r="198" spans="1:15">
      <c r="A198" s="1968" t="s">
        <v>1143</v>
      </c>
      <c r="B198" s="42">
        <f>'Input''s from Initial Design'!X76</f>
        <v>0</v>
      </c>
      <c r="C198" s="24">
        <f t="shared" si="294"/>
        <v>0</v>
      </c>
      <c r="D198" s="24">
        <f t="shared" si="295"/>
        <v>0</v>
      </c>
      <c r="E198" s="24">
        <f t="shared" si="296"/>
        <v>0</v>
      </c>
      <c r="F198" s="24">
        <f t="shared" si="297"/>
        <v>0</v>
      </c>
      <c r="G198" s="24">
        <f t="shared" si="298"/>
        <v>0</v>
      </c>
      <c r="H198" s="24">
        <f t="shared" si="299"/>
        <v>0</v>
      </c>
      <c r="I198" s="24">
        <f t="shared" si="300"/>
        <v>0</v>
      </c>
      <c r="J198" s="24">
        <f t="shared" si="301"/>
        <v>0</v>
      </c>
      <c r="K198" s="24">
        <f t="shared" si="302"/>
        <v>0</v>
      </c>
      <c r="L198" s="24">
        <f t="shared" si="303"/>
        <v>0</v>
      </c>
      <c r="M198" s="24">
        <f t="shared" si="304"/>
        <v>0</v>
      </c>
      <c r="N198" s="33">
        <f t="shared" si="305"/>
        <v>0</v>
      </c>
      <c r="O198" s="21"/>
    </row>
    <row r="199" spans="1:15">
      <c r="A199" s="1968" t="s">
        <v>1144</v>
      </c>
      <c r="B199" s="42">
        <f>'Input''s from Initial Design'!Y76</f>
        <v>0</v>
      </c>
      <c r="C199" s="24">
        <f t="shared" si="294"/>
        <v>0</v>
      </c>
      <c r="D199" s="24">
        <f t="shared" si="295"/>
        <v>0</v>
      </c>
      <c r="E199" s="24">
        <f t="shared" si="296"/>
        <v>0</v>
      </c>
      <c r="F199" s="24">
        <f t="shared" si="297"/>
        <v>0</v>
      </c>
      <c r="G199" s="24">
        <f t="shared" si="298"/>
        <v>0</v>
      </c>
      <c r="H199" s="24">
        <f t="shared" si="299"/>
        <v>0</v>
      </c>
      <c r="I199" s="24">
        <f t="shared" si="300"/>
        <v>0</v>
      </c>
      <c r="J199" s="24">
        <f t="shared" si="301"/>
        <v>0</v>
      </c>
      <c r="K199" s="24">
        <f t="shared" si="302"/>
        <v>0</v>
      </c>
      <c r="L199" s="24">
        <f t="shared" si="303"/>
        <v>0</v>
      </c>
      <c r="M199" s="24">
        <f t="shared" si="304"/>
        <v>0</v>
      </c>
      <c r="N199" s="33">
        <f t="shared" si="305"/>
        <v>0</v>
      </c>
      <c r="O199" s="21"/>
    </row>
    <row r="200" spans="1:15">
      <c r="A200" s="1968" t="s">
        <v>1145</v>
      </c>
      <c r="B200" s="42">
        <v>415</v>
      </c>
      <c r="C200" s="24">
        <f>+B200</f>
        <v>415</v>
      </c>
      <c r="D200" s="24">
        <f t="shared" ref="D200" si="306">+C200</f>
        <v>415</v>
      </c>
      <c r="E200" s="24">
        <f t="shared" ref="E200" si="307">+D200</f>
        <v>415</v>
      </c>
      <c r="F200" s="24">
        <f t="shared" ref="F200" si="308">+E200</f>
        <v>415</v>
      </c>
      <c r="G200" s="24">
        <f t="shared" ref="G200" si="309">+F200</f>
        <v>415</v>
      </c>
      <c r="H200" s="24">
        <f t="shared" ref="H200" si="310">+G200</f>
        <v>415</v>
      </c>
      <c r="I200" s="24">
        <f t="shared" ref="I200" si="311">+H200</f>
        <v>415</v>
      </c>
      <c r="J200" s="24">
        <f t="shared" ref="J200" si="312">+I200</f>
        <v>415</v>
      </c>
      <c r="K200" s="24">
        <f t="shared" ref="K200" si="313">+J200</f>
        <v>415</v>
      </c>
      <c r="L200" s="24">
        <f t="shared" ref="L200" si="314">+K200</f>
        <v>415</v>
      </c>
      <c r="M200" s="24">
        <f t="shared" ref="M200" si="315">+L200</f>
        <v>415</v>
      </c>
      <c r="N200" s="33">
        <f t="shared" ref="N200" si="316">+M200</f>
        <v>415</v>
      </c>
      <c r="O200" s="21"/>
    </row>
    <row r="201" spans="1:15">
      <c r="A201" s="1967" t="s">
        <v>1146</v>
      </c>
      <c r="B201" s="43"/>
      <c r="C201" s="25" t="e">
        <f t="shared" ref="C201:N201" si="317">1.732*C197*(C194/1000*1+C195/1000*0)*C198/C199</f>
        <v>#DIV/0!</v>
      </c>
      <c r="D201" s="25" t="e">
        <f t="shared" si="317"/>
        <v>#DIV/0!</v>
      </c>
      <c r="E201" s="25" t="e">
        <f t="shared" si="317"/>
        <v>#DIV/0!</v>
      </c>
      <c r="F201" s="25" t="e">
        <f t="shared" si="317"/>
        <v>#DIV/0!</v>
      </c>
      <c r="G201" s="25" t="e">
        <f t="shared" si="317"/>
        <v>#DIV/0!</v>
      </c>
      <c r="H201" s="25" t="e">
        <f t="shared" si="317"/>
        <v>#DIV/0!</v>
      </c>
      <c r="I201" s="25" t="e">
        <f t="shared" si="317"/>
        <v>#DIV/0!</v>
      </c>
      <c r="J201" s="25" t="e">
        <f t="shared" si="317"/>
        <v>#DIV/0!</v>
      </c>
      <c r="K201" s="25" t="e">
        <f t="shared" si="317"/>
        <v>#DIV/0!</v>
      </c>
      <c r="L201" s="25" t="e">
        <f t="shared" si="317"/>
        <v>#DIV/0!</v>
      </c>
      <c r="M201" s="25" t="e">
        <f t="shared" si="317"/>
        <v>#DIV/0!</v>
      </c>
      <c r="N201" s="34" t="e">
        <f t="shared" si="317"/>
        <v>#DIV/0!</v>
      </c>
      <c r="O201" s="21"/>
    </row>
    <row r="202" spans="1:15">
      <c r="A202" s="1967" t="s">
        <v>1147</v>
      </c>
      <c r="B202" s="43"/>
      <c r="C202" s="1965" t="e">
        <f>C201/C200</f>
        <v>#DIV/0!</v>
      </c>
      <c r="D202" s="1965" t="e">
        <f t="shared" ref="D202:N202" si="318">D201/D200</f>
        <v>#DIV/0!</v>
      </c>
      <c r="E202" s="1965" t="e">
        <f t="shared" si="318"/>
        <v>#DIV/0!</v>
      </c>
      <c r="F202" s="1965" t="e">
        <f t="shared" si="318"/>
        <v>#DIV/0!</v>
      </c>
      <c r="G202" s="1965" t="e">
        <f t="shared" si="318"/>
        <v>#DIV/0!</v>
      </c>
      <c r="H202" s="1965" t="e">
        <f t="shared" si="318"/>
        <v>#DIV/0!</v>
      </c>
      <c r="I202" s="1965" t="e">
        <f t="shared" si="318"/>
        <v>#DIV/0!</v>
      </c>
      <c r="J202" s="1965" t="e">
        <f t="shared" si="318"/>
        <v>#DIV/0!</v>
      </c>
      <c r="K202" s="1965" t="e">
        <f t="shared" si="318"/>
        <v>#DIV/0!</v>
      </c>
      <c r="L202" s="1965" t="e">
        <f t="shared" si="318"/>
        <v>#DIV/0!</v>
      </c>
      <c r="M202" s="1965" t="e">
        <f t="shared" si="318"/>
        <v>#DIV/0!</v>
      </c>
      <c r="N202" s="1969" t="e">
        <f t="shared" si="318"/>
        <v>#DIV/0!</v>
      </c>
      <c r="O202" s="21"/>
    </row>
    <row r="203" spans="1:15">
      <c r="A203" s="1968" t="s">
        <v>1148</v>
      </c>
      <c r="B203" s="1966">
        <v>0.02</v>
      </c>
      <c r="C203" s="24" t="e">
        <f>IF(AND((C197*1.25)&lt;(C191*C199),(C202&lt;$B$16)),"PASS","FAIL")</f>
        <v>#DIV/0!</v>
      </c>
      <c r="D203" s="24" t="e">
        <f>IF(AND((D197*1.25)&lt;(D191*D199),(D202&lt;$B$16)),"PASS","FAIL")</f>
        <v>#DIV/0!</v>
      </c>
      <c r="E203" s="24" t="e">
        <f>IF(AND((E197*1.25)&lt;(E191*E199),(E202&lt;$B$16)),"PASS","FAIL")</f>
        <v>#DIV/0!</v>
      </c>
      <c r="F203" s="24" t="e">
        <f>IF(AND((F197*1.25)&lt;(F191*F199),(F202&lt;$B$16)),"PASS","FAIL")</f>
        <v>#DIV/0!</v>
      </c>
      <c r="G203" s="24" t="e">
        <f>IF(AND((G197*1.25)&lt;(G191*G199),(G202&lt;$B$16)),"PASS","FAIL")</f>
        <v>#DIV/0!</v>
      </c>
      <c r="H203" s="24" t="e">
        <f>IF(AND((H197*1.1)&lt;(H191*H199),(H202&lt;$B$16)),"PASS","FAIL")</f>
        <v>#DIV/0!</v>
      </c>
      <c r="I203" s="24" t="e">
        <f t="shared" ref="I203:N203" si="319">IF(AND((I197*1.25)&lt;(I191*I199),(I202&lt;$B$16)),"PASS","FAIL")</f>
        <v>#DIV/0!</v>
      </c>
      <c r="J203" s="24" t="e">
        <f t="shared" si="319"/>
        <v>#DIV/0!</v>
      </c>
      <c r="K203" s="24" t="e">
        <f t="shared" si="319"/>
        <v>#DIV/0!</v>
      </c>
      <c r="L203" s="24" t="e">
        <f t="shared" si="319"/>
        <v>#DIV/0!</v>
      </c>
      <c r="M203" s="24" t="e">
        <f t="shared" si="319"/>
        <v>#DIV/0!</v>
      </c>
      <c r="N203" s="33" t="e">
        <f t="shared" si="319"/>
        <v>#DIV/0!</v>
      </c>
      <c r="O203" s="21"/>
    </row>
    <row r="204" spans="1:15" ht="18.600000000000001" thickBot="1">
      <c r="A204" s="1970" t="s">
        <v>1149</v>
      </c>
      <c r="B204" s="1971"/>
      <c r="C204" s="1972" t="e">
        <f t="shared" ref="C204:N204" si="320">IF(AND((C197*1.25)&lt;(C192*C199),(C202&lt;$B$16)),"PASS","FAIL")</f>
        <v>#DIV/0!</v>
      </c>
      <c r="D204" s="1972" t="e">
        <f t="shared" si="320"/>
        <v>#DIV/0!</v>
      </c>
      <c r="E204" s="1972" t="e">
        <f t="shared" si="320"/>
        <v>#DIV/0!</v>
      </c>
      <c r="F204" s="1972" t="e">
        <f t="shared" si="320"/>
        <v>#DIV/0!</v>
      </c>
      <c r="G204" s="1972" t="e">
        <f t="shared" si="320"/>
        <v>#DIV/0!</v>
      </c>
      <c r="H204" s="1972" t="e">
        <f t="shared" si="320"/>
        <v>#DIV/0!</v>
      </c>
      <c r="I204" s="1972" t="e">
        <f t="shared" si="320"/>
        <v>#DIV/0!</v>
      </c>
      <c r="J204" s="1972" t="e">
        <f t="shared" si="320"/>
        <v>#DIV/0!</v>
      </c>
      <c r="K204" s="1972" t="e">
        <f t="shared" si="320"/>
        <v>#DIV/0!</v>
      </c>
      <c r="L204" s="1972" t="e">
        <f t="shared" si="320"/>
        <v>#DIV/0!</v>
      </c>
      <c r="M204" s="1972" t="e">
        <f t="shared" si="320"/>
        <v>#DIV/0!</v>
      </c>
      <c r="N204" s="1973" t="e">
        <f t="shared" si="320"/>
        <v>#DIV/0!</v>
      </c>
      <c r="O204" s="21"/>
    </row>
    <row r="205" spans="1:15">
      <c r="A205" s="1963">
        <f>('Input''s from Initial Design'!W76*1000/(1.732*440*1))</f>
        <v>0</v>
      </c>
      <c r="B205" s="1964" t="s">
        <v>1150</v>
      </c>
      <c r="C205" s="26"/>
      <c r="D205" s="3213"/>
      <c r="E205" s="3213"/>
      <c r="F205" s="3213"/>
      <c r="G205" s="21"/>
      <c r="H205" s="21"/>
      <c r="I205" s="21"/>
      <c r="J205" s="21"/>
    </row>
    <row r="206" spans="1:15">
      <c r="A206" s="21"/>
      <c r="B206" s="21"/>
      <c r="C206" s="26"/>
      <c r="D206" s="21"/>
      <c r="E206" s="21">
        <v>9</v>
      </c>
      <c r="F206" s="21"/>
      <c r="G206" s="27"/>
      <c r="H206" s="21"/>
      <c r="I206" s="21"/>
      <c r="J206" s="21"/>
    </row>
    <row r="207" spans="1:15">
      <c r="A207" s="28" t="s">
        <v>1148</v>
      </c>
      <c r="B207" s="29" t="e">
        <f>IF(C203="FAIL",IF(D203="FAIL",IF(E203="FAIL",IF(F203="FAIL",IF(G203="FAIL",IF(H203="FAIL",IF(I203="FAIL",IF(J203="FAIL",IF(K203="FAIL",IF(L203="FAIL",IF(M203="FAIL","NO MATCH",$M$1),$L$1),$K$1),$J$1),$I$1),$H$1),$G$1),$F$1),$E$1),$D$1),$C$1)</f>
        <v>#DIV/0!</v>
      </c>
      <c r="C207" s="30" t="s">
        <v>1151</v>
      </c>
      <c r="D207" s="21"/>
      <c r="E207" s="21"/>
      <c r="F207" s="21"/>
      <c r="G207" s="21"/>
      <c r="H207" s="26"/>
      <c r="I207" s="21"/>
      <c r="J207" s="21"/>
      <c r="K207" s="21"/>
      <c r="L207" s="21"/>
      <c r="N207" s="21"/>
      <c r="O207" s="21"/>
    </row>
    <row r="208" spans="1:15">
      <c r="A208" s="28" t="s">
        <v>1149</v>
      </c>
      <c r="B208" s="29" t="e">
        <f>IF(C204="FAIL",IF(D204="FAIL",IF(E204="FAIL",IF(F204="FAIL",IF(G204="FAIL",IF(H204="FAIL",IF(I204="FAIL",IF(J204="FAIL",IF(K204="FAIL",IF(L204="FAIL",IF(M204="FAIL","NO MATCH",$M$1),$L$1),$K$1),$J$1),$I$1),$H$1),$G$1),$F$1),$E$1),$D$1),$C$1)</f>
        <v>#DIV/0!</v>
      </c>
      <c r="C208" s="30" t="s">
        <v>1151</v>
      </c>
      <c r="D208" s="21"/>
      <c r="E208" s="21"/>
      <c r="F208" s="21"/>
      <c r="G208" s="21"/>
      <c r="H208" s="26"/>
      <c r="I208" s="21"/>
      <c r="J208" s="21"/>
      <c r="K208" s="21"/>
      <c r="L208" s="21"/>
      <c r="N208" s="21"/>
      <c r="O208" s="21"/>
    </row>
    <row r="209" spans="1:15" ht="18.600000000000001" thickBot="1"/>
    <row r="210" spans="1:15" s="23" customFormat="1">
      <c r="A210" s="3214" t="s">
        <v>1122</v>
      </c>
      <c r="B210" s="3216"/>
      <c r="C210" s="35">
        <v>16</v>
      </c>
      <c r="D210" s="36">
        <v>25</v>
      </c>
      <c r="E210" s="36">
        <v>35</v>
      </c>
      <c r="F210" s="36">
        <v>50</v>
      </c>
      <c r="G210" s="36">
        <v>70</v>
      </c>
      <c r="H210" s="36">
        <v>95</v>
      </c>
      <c r="I210" s="36">
        <v>120</v>
      </c>
      <c r="J210" s="36">
        <v>150</v>
      </c>
      <c r="K210" s="36">
        <v>185</v>
      </c>
      <c r="L210" s="36">
        <v>240</v>
      </c>
      <c r="M210" s="36">
        <v>300</v>
      </c>
      <c r="N210" s="37">
        <v>400</v>
      </c>
      <c r="O210" s="22"/>
    </row>
    <row r="211" spans="1:15" s="23" customFormat="1" ht="18.600000000000001" thickBot="1">
      <c r="A211" s="3215"/>
      <c r="B211" s="3217"/>
      <c r="C211" s="1978" t="s">
        <v>1123</v>
      </c>
      <c r="D211" s="1979" t="s">
        <v>1124</v>
      </c>
      <c r="E211" s="1979" t="s">
        <v>1125</v>
      </c>
      <c r="F211" s="1979" t="s">
        <v>1126</v>
      </c>
      <c r="G211" s="1979" t="s">
        <v>1127</v>
      </c>
      <c r="H211" s="1979" t="s">
        <v>1128</v>
      </c>
      <c r="I211" s="1979" t="s">
        <v>1129</v>
      </c>
      <c r="J211" s="1979" t="s">
        <v>1130</v>
      </c>
      <c r="K211" s="1979" t="s">
        <v>1131</v>
      </c>
      <c r="L211" s="1979" t="s">
        <v>1132</v>
      </c>
      <c r="M211" s="1979" t="s">
        <v>1133</v>
      </c>
      <c r="N211" s="1980" t="s">
        <v>1134</v>
      </c>
      <c r="O211" s="22"/>
    </row>
    <row r="212" spans="1:15">
      <c r="A212" s="1981" t="s">
        <v>1135</v>
      </c>
      <c r="B212" s="1982"/>
      <c r="C212" s="31">
        <v>74</v>
      </c>
      <c r="D212" s="31">
        <v>94</v>
      </c>
      <c r="E212" s="31">
        <v>113</v>
      </c>
      <c r="F212" s="31">
        <v>133</v>
      </c>
      <c r="G212" s="31">
        <v>164</v>
      </c>
      <c r="H212" s="31">
        <v>196</v>
      </c>
      <c r="I212" s="31">
        <v>223</v>
      </c>
      <c r="J212" s="31">
        <v>249</v>
      </c>
      <c r="K212" s="31">
        <v>282</v>
      </c>
      <c r="L212" s="31">
        <v>326</v>
      </c>
      <c r="M212" s="31">
        <v>367</v>
      </c>
      <c r="N212" s="32">
        <v>418</v>
      </c>
      <c r="O212" s="21"/>
    </row>
    <row r="213" spans="1:15">
      <c r="A213" s="1967" t="s">
        <v>1136</v>
      </c>
      <c r="B213" s="43"/>
      <c r="C213" s="24">
        <v>74</v>
      </c>
      <c r="D213" s="24">
        <v>96</v>
      </c>
      <c r="E213" s="24">
        <v>117</v>
      </c>
      <c r="F213" s="24">
        <v>142</v>
      </c>
      <c r="G213" s="24">
        <v>179</v>
      </c>
      <c r="H213" s="24">
        <v>221</v>
      </c>
      <c r="I213" s="24">
        <v>257</v>
      </c>
      <c r="J213" s="24">
        <v>292</v>
      </c>
      <c r="K213" s="24">
        <v>337</v>
      </c>
      <c r="L213" s="24">
        <v>399</v>
      </c>
      <c r="M213" s="24">
        <v>455</v>
      </c>
      <c r="N213" s="33">
        <v>530</v>
      </c>
      <c r="O213" s="21"/>
    </row>
    <row r="214" spans="1:15" ht="22.5" customHeight="1">
      <c r="A214" s="1967" t="s">
        <v>1137</v>
      </c>
      <c r="B214" s="42">
        <v>0.7</v>
      </c>
      <c r="C214" s="24">
        <f>B214</f>
        <v>0.7</v>
      </c>
      <c r="D214" s="24">
        <f>C214</f>
        <v>0.7</v>
      </c>
      <c r="E214" s="24">
        <f t="shared" ref="E214" si="321">D214</f>
        <v>0.7</v>
      </c>
      <c r="F214" s="24">
        <f t="shared" ref="F214" si="322">E214</f>
        <v>0.7</v>
      </c>
      <c r="G214" s="24">
        <f t="shared" ref="G214" si="323">F214</f>
        <v>0.7</v>
      </c>
      <c r="H214" s="24">
        <f t="shared" ref="H214" si="324">G214</f>
        <v>0.7</v>
      </c>
      <c r="I214" s="24">
        <f t="shared" ref="I214" si="325">H214</f>
        <v>0.7</v>
      </c>
      <c r="J214" s="24">
        <f t="shared" ref="J214" si="326">I214</f>
        <v>0.7</v>
      </c>
      <c r="K214" s="24">
        <f t="shared" ref="K214" si="327">J214</f>
        <v>0.7</v>
      </c>
      <c r="L214" s="24">
        <f t="shared" ref="L214" si="328">K214</f>
        <v>0.7</v>
      </c>
      <c r="M214" s="24">
        <f>L214</f>
        <v>0.7</v>
      </c>
      <c r="N214" s="33">
        <f>M214</f>
        <v>0.7</v>
      </c>
      <c r="O214" s="21"/>
    </row>
    <row r="215" spans="1:15">
      <c r="A215" s="1967" t="s">
        <v>1138</v>
      </c>
      <c r="B215" s="43"/>
      <c r="C215" s="24">
        <f>C212*C214</f>
        <v>51.8</v>
      </c>
      <c r="D215" s="24">
        <f t="shared" ref="D215:G215" si="329">D212*D214</f>
        <v>65.8</v>
      </c>
      <c r="E215" s="24">
        <f t="shared" si="329"/>
        <v>79.099999999999994</v>
      </c>
      <c r="F215" s="24">
        <f t="shared" si="329"/>
        <v>93.1</v>
      </c>
      <c r="G215" s="24">
        <f t="shared" si="329"/>
        <v>114.8</v>
      </c>
      <c r="H215" s="24">
        <f>H212*H214</f>
        <v>137.19999999999999</v>
      </c>
      <c r="I215" s="24">
        <f t="shared" ref="I215:N215" si="330">I212*I214</f>
        <v>156.1</v>
      </c>
      <c r="J215" s="24">
        <f t="shared" si="330"/>
        <v>174.29999999999998</v>
      </c>
      <c r="K215" s="24">
        <f t="shared" si="330"/>
        <v>197.39999999999998</v>
      </c>
      <c r="L215" s="24">
        <f t="shared" si="330"/>
        <v>228.2</v>
      </c>
      <c r="M215" s="24">
        <f t="shared" si="330"/>
        <v>256.89999999999998</v>
      </c>
      <c r="N215" s="33">
        <f t="shared" si="330"/>
        <v>292.59999999999997</v>
      </c>
      <c r="O215" s="21"/>
    </row>
    <row r="216" spans="1:15">
      <c r="A216" s="1967" t="s">
        <v>1139</v>
      </c>
      <c r="B216" s="43"/>
      <c r="C216" s="24">
        <f>C213*C214</f>
        <v>51.8</v>
      </c>
      <c r="D216" s="24">
        <f>D213*D214</f>
        <v>67.199999999999989</v>
      </c>
      <c r="E216" s="24">
        <f t="shared" ref="E216:G216" si="331">E213*E214</f>
        <v>81.899999999999991</v>
      </c>
      <c r="F216" s="24">
        <f t="shared" si="331"/>
        <v>99.399999999999991</v>
      </c>
      <c r="G216" s="24">
        <f t="shared" si="331"/>
        <v>125.3</v>
      </c>
      <c r="H216" s="24">
        <f>H213*H214</f>
        <v>154.69999999999999</v>
      </c>
      <c r="I216" s="24">
        <f t="shared" ref="I216:N216" si="332">I213*I214</f>
        <v>179.89999999999998</v>
      </c>
      <c r="J216" s="24">
        <f t="shared" si="332"/>
        <v>204.39999999999998</v>
      </c>
      <c r="K216" s="24">
        <f t="shared" si="332"/>
        <v>235.89999999999998</v>
      </c>
      <c r="L216" s="24">
        <f t="shared" si="332"/>
        <v>279.29999999999995</v>
      </c>
      <c r="M216" s="24">
        <f t="shared" si="332"/>
        <v>318.5</v>
      </c>
      <c r="N216" s="33">
        <f t="shared" si="332"/>
        <v>371</v>
      </c>
      <c r="O216" s="21"/>
    </row>
    <row r="217" spans="1:15">
      <c r="A217" s="1967"/>
      <c r="B217" s="43"/>
      <c r="C217" s="24"/>
      <c r="D217" s="24"/>
      <c r="E217" s="24"/>
      <c r="F217" s="24"/>
      <c r="G217" s="24"/>
      <c r="H217" s="24"/>
      <c r="I217" s="24"/>
      <c r="J217" s="24"/>
      <c r="K217" s="24"/>
      <c r="L217" s="24"/>
      <c r="M217" s="24"/>
      <c r="N217" s="33"/>
      <c r="O217" s="21"/>
    </row>
    <row r="218" spans="1:15">
      <c r="A218" s="1967" t="s">
        <v>1140</v>
      </c>
      <c r="B218" s="43"/>
      <c r="C218" s="24">
        <v>2.44</v>
      </c>
      <c r="D218" s="24">
        <v>1.54</v>
      </c>
      <c r="E218" s="24">
        <v>1.1100000000000001</v>
      </c>
      <c r="F218" s="24">
        <v>0.82</v>
      </c>
      <c r="G218" s="24">
        <v>0.56699999999999995</v>
      </c>
      <c r="H218" s="24">
        <v>0.41</v>
      </c>
      <c r="I218" s="24">
        <v>0.32400000000000001</v>
      </c>
      <c r="J218" s="24">
        <v>0.26400000000000001</v>
      </c>
      <c r="K218" s="24">
        <v>0.21</v>
      </c>
      <c r="L218" s="24">
        <v>0.16</v>
      </c>
      <c r="M218" s="24">
        <v>0.128</v>
      </c>
      <c r="N218" s="33">
        <v>0.1</v>
      </c>
      <c r="O218" s="21"/>
    </row>
    <row r="219" spans="1:15">
      <c r="A219" s="1967" t="s">
        <v>1141</v>
      </c>
      <c r="B219" s="43"/>
      <c r="C219" s="24">
        <v>8.0799999999999997E-2</v>
      </c>
      <c r="D219" s="24">
        <v>8.0500000000000002E-2</v>
      </c>
      <c r="E219" s="24">
        <v>7.8299999999999995E-2</v>
      </c>
      <c r="F219" s="24">
        <v>7.4999999999999997E-2</v>
      </c>
      <c r="G219" s="24">
        <v>7.3999999999999996E-2</v>
      </c>
      <c r="H219" s="24">
        <v>7.2400000000000006E-2</v>
      </c>
      <c r="I219" s="24">
        <v>7.1199999999999999E-2</v>
      </c>
      <c r="J219" s="24">
        <v>7.1599999999999997E-2</v>
      </c>
      <c r="K219" s="24">
        <v>7.1800000000000003E-2</v>
      </c>
      <c r="L219" s="24">
        <v>7.0999999999999994E-2</v>
      </c>
      <c r="M219" s="24">
        <v>7.0499999999999993E-2</v>
      </c>
      <c r="N219" s="33">
        <v>7.0400000000000004E-2</v>
      </c>
      <c r="O219" s="21"/>
    </row>
    <row r="220" spans="1:15">
      <c r="A220" s="1967"/>
      <c r="B220" s="43"/>
      <c r="C220" s="24"/>
      <c r="D220" s="24"/>
      <c r="E220" s="24"/>
      <c r="F220" s="24"/>
      <c r="G220" s="24"/>
      <c r="H220" s="24"/>
      <c r="I220" s="24"/>
      <c r="J220" s="24"/>
      <c r="K220" s="24"/>
      <c r="L220" s="24"/>
      <c r="M220" s="24"/>
      <c r="N220" s="33"/>
      <c r="O220" s="21"/>
    </row>
    <row r="221" spans="1:15" ht="24.75" customHeight="1">
      <c r="A221" s="1968" t="s">
        <v>1142</v>
      </c>
      <c r="B221" s="41">
        <f>A229</f>
        <v>0</v>
      </c>
      <c r="C221" s="24">
        <f t="shared" ref="C221:C223" si="333">B221</f>
        <v>0</v>
      </c>
      <c r="D221" s="24">
        <f t="shared" ref="D221:D223" si="334">C221</f>
        <v>0</v>
      </c>
      <c r="E221" s="24">
        <f t="shared" ref="E221:E223" si="335">D221</f>
        <v>0</v>
      </c>
      <c r="F221" s="24">
        <f t="shared" ref="F221:F223" si="336">E221</f>
        <v>0</v>
      </c>
      <c r="G221" s="24">
        <f t="shared" ref="G221:G223" si="337">F221</f>
        <v>0</v>
      </c>
      <c r="H221" s="24">
        <f t="shared" ref="H221:H223" si="338">G221</f>
        <v>0</v>
      </c>
      <c r="I221" s="24">
        <f t="shared" ref="I221:I223" si="339">H221</f>
        <v>0</v>
      </c>
      <c r="J221" s="24">
        <f t="shared" ref="J221:J223" si="340">I221</f>
        <v>0</v>
      </c>
      <c r="K221" s="24">
        <f t="shared" ref="K221:K223" si="341">J221</f>
        <v>0</v>
      </c>
      <c r="L221" s="24">
        <f t="shared" ref="L221:L223" si="342">K221</f>
        <v>0</v>
      </c>
      <c r="M221" s="24">
        <f t="shared" ref="M221:M223" si="343">L221</f>
        <v>0</v>
      </c>
      <c r="N221" s="33">
        <f t="shared" ref="N221:N223" si="344">M221</f>
        <v>0</v>
      </c>
      <c r="O221" s="21"/>
    </row>
    <row r="222" spans="1:15">
      <c r="A222" s="1968" t="s">
        <v>1143</v>
      </c>
      <c r="B222" s="42">
        <f>'Input''s from Initial Design'!X78</f>
        <v>0</v>
      </c>
      <c r="C222" s="24">
        <f t="shared" si="333"/>
        <v>0</v>
      </c>
      <c r="D222" s="24">
        <f t="shared" si="334"/>
        <v>0</v>
      </c>
      <c r="E222" s="24">
        <f t="shared" si="335"/>
        <v>0</v>
      </c>
      <c r="F222" s="24">
        <f t="shared" si="336"/>
        <v>0</v>
      </c>
      <c r="G222" s="24">
        <f t="shared" si="337"/>
        <v>0</v>
      </c>
      <c r="H222" s="24">
        <f t="shared" si="338"/>
        <v>0</v>
      </c>
      <c r="I222" s="24">
        <f t="shared" si="339"/>
        <v>0</v>
      </c>
      <c r="J222" s="24">
        <f t="shared" si="340"/>
        <v>0</v>
      </c>
      <c r="K222" s="24">
        <f t="shared" si="341"/>
        <v>0</v>
      </c>
      <c r="L222" s="24">
        <f t="shared" si="342"/>
        <v>0</v>
      </c>
      <c r="M222" s="24">
        <f t="shared" si="343"/>
        <v>0</v>
      </c>
      <c r="N222" s="33">
        <f t="shared" si="344"/>
        <v>0</v>
      </c>
      <c r="O222" s="21"/>
    </row>
    <row r="223" spans="1:15">
      <c r="A223" s="1968" t="s">
        <v>1144</v>
      </c>
      <c r="B223" s="42">
        <f>'Input''s from Initial Design'!Y78</f>
        <v>0</v>
      </c>
      <c r="C223" s="24">
        <f t="shared" si="333"/>
        <v>0</v>
      </c>
      <c r="D223" s="24">
        <f t="shared" si="334"/>
        <v>0</v>
      </c>
      <c r="E223" s="24">
        <f t="shared" si="335"/>
        <v>0</v>
      </c>
      <c r="F223" s="24">
        <f t="shared" si="336"/>
        <v>0</v>
      </c>
      <c r="G223" s="24">
        <f t="shared" si="337"/>
        <v>0</v>
      </c>
      <c r="H223" s="24">
        <f t="shared" si="338"/>
        <v>0</v>
      </c>
      <c r="I223" s="24">
        <f t="shared" si="339"/>
        <v>0</v>
      </c>
      <c r="J223" s="24">
        <f t="shared" si="340"/>
        <v>0</v>
      </c>
      <c r="K223" s="24">
        <f t="shared" si="341"/>
        <v>0</v>
      </c>
      <c r="L223" s="24">
        <f t="shared" si="342"/>
        <v>0</v>
      </c>
      <c r="M223" s="24">
        <f t="shared" si="343"/>
        <v>0</v>
      </c>
      <c r="N223" s="33">
        <f t="shared" si="344"/>
        <v>0</v>
      </c>
      <c r="O223" s="21"/>
    </row>
    <row r="224" spans="1:15">
      <c r="A224" s="1968" t="s">
        <v>1145</v>
      </c>
      <c r="B224" s="42">
        <v>415</v>
      </c>
      <c r="C224" s="24">
        <f>+B224</f>
        <v>415</v>
      </c>
      <c r="D224" s="24">
        <f t="shared" ref="D224" si="345">+C224</f>
        <v>415</v>
      </c>
      <c r="E224" s="24">
        <f t="shared" ref="E224" si="346">+D224</f>
        <v>415</v>
      </c>
      <c r="F224" s="24">
        <f t="shared" ref="F224" si="347">+E224</f>
        <v>415</v>
      </c>
      <c r="G224" s="24">
        <f t="shared" ref="G224" si="348">+F224</f>
        <v>415</v>
      </c>
      <c r="H224" s="24">
        <f t="shared" ref="H224" si="349">+G224</f>
        <v>415</v>
      </c>
      <c r="I224" s="24">
        <f t="shared" ref="I224" si="350">+H224</f>
        <v>415</v>
      </c>
      <c r="J224" s="24">
        <f t="shared" ref="J224" si="351">+I224</f>
        <v>415</v>
      </c>
      <c r="K224" s="24">
        <f t="shared" ref="K224" si="352">+J224</f>
        <v>415</v>
      </c>
      <c r="L224" s="24">
        <f t="shared" ref="L224" si="353">+K224</f>
        <v>415</v>
      </c>
      <c r="M224" s="24">
        <f t="shared" ref="M224" si="354">+L224</f>
        <v>415</v>
      </c>
      <c r="N224" s="33">
        <f t="shared" ref="N224" si="355">+M224</f>
        <v>415</v>
      </c>
      <c r="O224" s="21"/>
    </row>
    <row r="225" spans="1:15">
      <c r="A225" s="1967" t="s">
        <v>1146</v>
      </c>
      <c r="B225" s="43"/>
      <c r="C225" s="25" t="e">
        <f t="shared" ref="C225:N225" si="356">1.732*C221*(C218/1000*1+C219/1000*0)*C222/C223</f>
        <v>#DIV/0!</v>
      </c>
      <c r="D225" s="25" t="e">
        <f t="shared" si="356"/>
        <v>#DIV/0!</v>
      </c>
      <c r="E225" s="25" t="e">
        <f t="shared" si="356"/>
        <v>#DIV/0!</v>
      </c>
      <c r="F225" s="25" t="e">
        <f t="shared" si="356"/>
        <v>#DIV/0!</v>
      </c>
      <c r="G225" s="25" t="e">
        <f t="shared" si="356"/>
        <v>#DIV/0!</v>
      </c>
      <c r="H225" s="25" t="e">
        <f t="shared" si="356"/>
        <v>#DIV/0!</v>
      </c>
      <c r="I225" s="25" t="e">
        <f t="shared" si="356"/>
        <v>#DIV/0!</v>
      </c>
      <c r="J225" s="25" t="e">
        <f t="shared" si="356"/>
        <v>#DIV/0!</v>
      </c>
      <c r="K225" s="25" t="e">
        <f t="shared" si="356"/>
        <v>#DIV/0!</v>
      </c>
      <c r="L225" s="25" t="e">
        <f t="shared" si="356"/>
        <v>#DIV/0!</v>
      </c>
      <c r="M225" s="25" t="e">
        <f t="shared" si="356"/>
        <v>#DIV/0!</v>
      </c>
      <c r="N225" s="34" t="e">
        <f t="shared" si="356"/>
        <v>#DIV/0!</v>
      </c>
      <c r="O225" s="21"/>
    </row>
    <row r="226" spans="1:15">
      <c r="A226" s="1967" t="s">
        <v>1147</v>
      </c>
      <c r="B226" s="43"/>
      <c r="C226" s="1965" t="e">
        <f>C225/C224</f>
        <v>#DIV/0!</v>
      </c>
      <c r="D226" s="1965" t="e">
        <f t="shared" ref="D226:N226" si="357">D225/D224</f>
        <v>#DIV/0!</v>
      </c>
      <c r="E226" s="1965" t="e">
        <f t="shared" si="357"/>
        <v>#DIV/0!</v>
      </c>
      <c r="F226" s="1965" t="e">
        <f t="shared" si="357"/>
        <v>#DIV/0!</v>
      </c>
      <c r="G226" s="1965" t="e">
        <f t="shared" si="357"/>
        <v>#DIV/0!</v>
      </c>
      <c r="H226" s="1965" t="e">
        <f t="shared" si="357"/>
        <v>#DIV/0!</v>
      </c>
      <c r="I226" s="1965" t="e">
        <f t="shared" si="357"/>
        <v>#DIV/0!</v>
      </c>
      <c r="J226" s="1965" t="e">
        <f t="shared" si="357"/>
        <v>#DIV/0!</v>
      </c>
      <c r="K226" s="1965" t="e">
        <f t="shared" si="357"/>
        <v>#DIV/0!</v>
      </c>
      <c r="L226" s="1965" t="e">
        <f t="shared" si="357"/>
        <v>#DIV/0!</v>
      </c>
      <c r="M226" s="1965" t="e">
        <f t="shared" si="357"/>
        <v>#DIV/0!</v>
      </c>
      <c r="N226" s="1969" t="e">
        <f t="shared" si="357"/>
        <v>#DIV/0!</v>
      </c>
      <c r="O226" s="21"/>
    </row>
    <row r="227" spans="1:15">
      <c r="A227" s="1968" t="s">
        <v>1148</v>
      </c>
      <c r="B227" s="1966">
        <v>0.02</v>
      </c>
      <c r="C227" s="24" t="e">
        <f>IF(AND((C221*1.25)&lt;(C215*C223),(C226&lt;$B$16)),"PASS","FAIL")</f>
        <v>#DIV/0!</v>
      </c>
      <c r="D227" s="24" t="e">
        <f>IF(AND((D221*1.25)&lt;(D215*D223),(D226&lt;$B$16)),"PASS","FAIL")</f>
        <v>#DIV/0!</v>
      </c>
      <c r="E227" s="24" t="e">
        <f>IF(AND((E221*1.25)&lt;(E215*E223),(E226&lt;$B$16)),"PASS","FAIL")</f>
        <v>#DIV/0!</v>
      </c>
      <c r="F227" s="24" t="e">
        <f>IF(AND((F221*1.25)&lt;(F215*F223),(F226&lt;$B$16)),"PASS","FAIL")</f>
        <v>#DIV/0!</v>
      </c>
      <c r="G227" s="24" t="e">
        <f>IF(AND((G221*1.25)&lt;(G215*G223),(G226&lt;$B$16)),"PASS","FAIL")</f>
        <v>#DIV/0!</v>
      </c>
      <c r="H227" s="24" t="e">
        <f>IF(AND((H221*1.1)&lt;(H215*H223),(H226&lt;$B$16)),"PASS","FAIL")</f>
        <v>#DIV/0!</v>
      </c>
      <c r="I227" s="24" t="e">
        <f t="shared" ref="I227:N227" si="358">IF(AND((I221*1.25)&lt;(I215*I223),(I226&lt;$B$16)),"PASS","FAIL")</f>
        <v>#DIV/0!</v>
      </c>
      <c r="J227" s="24" t="e">
        <f t="shared" si="358"/>
        <v>#DIV/0!</v>
      </c>
      <c r="K227" s="24" t="e">
        <f t="shared" si="358"/>
        <v>#DIV/0!</v>
      </c>
      <c r="L227" s="24" t="e">
        <f t="shared" si="358"/>
        <v>#DIV/0!</v>
      </c>
      <c r="M227" s="24" t="e">
        <f t="shared" si="358"/>
        <v>#DIV/0!</v>
      </c>
      <c r="N227" s="33" t="e">
        <f t="shared" si="358"/>
        <v>#DIV/0!</v>
      </c>
      <c r="O227" s="21"/>
    </row>
    <row r="228" spans="1:15" ht="18.600000000000001" thickBot="1">
      <c r="A228" s="1970" t="s">
        <v>1149</v>
      </c>
      <c r="B228" s="1971"/>
      <c r="C228" s="1972" t="e">
        <f t="shared" ref="C228:N228" si="359">IF(AND((C221*1.25)&lt;(C216*C223),(C226&lt;$B$16)),"PASS","FAIL")</f>
        <v>#DIV/0!</v>
      </c>
      <c r="D228" s="1972" t="e">
        <f t="shared" si="359"/>
        <v>#DIV/0!</v>
      </c>
      <c r="E228" s="1972" t="e">
        <f t="shared" si="359"/>
        <v>#DIV/0!</v>
      </c>
      <c r="F228" s="1972" t="e">
        <f t="shared" si="359"/>
        <v>#DIV/0!</v>
      </c>
      <c r="G228" s="1972" t="e">
        <f t="shared" si="359"/>
        <v>#DIV/0!</v>
      </c>
      <c r="H228" s="1972" t="e">
        <f t="shared" si="359"/>
        <v>#DIV/0!</v>
      </c>
      <c r="I228" s="1972" t="e">
        <f t="shared" si="359"/>
        <v>#DIV/0!</v>
      </c>
      <c r="J228" s="1972" t="e">
        <f t="shared" si="359"/>
        <v>#DIV/0!</v>
      </c>
      <c r="K228" s="1972" t="e">
        <f t="shared" si="359"/>
        <v>#DIV/0!</v>
      </c>
      <c r="L228" s="1972" t="e">
        <f t="shared" si="359"/>
        <v>#DIV/0!</v>
      </c>
      <c r="M228" s="1972" t="e">
        <f t="shared" si="359"/>
        <v>#DIV/0!</v>
      </c>
      <c r="N228" s="1973" t="e">
        <f t="shared" si="359"/>
        <v>#DIV/0!</v>
      </c>
      <c r="O228" s="21"/>
    </row>
    <row r="229" spans="1:15">
      <c r="A229" s="1963">
        <f>('Input''s from Initial Design'!W78*1000/(1.732*440*1))</f>
        <v>0</v>
      </c>
      <c r="B229" s="1964" t="s">
        <v>1150</v>
      </c>
      <c r="C229" s="26"/>
      <c r="D229" s="3213"/>
      <c r="E229" s="3213"/>
      <c r="F229" s="3213"/>
      <c r="G229" s="21"/>
      <c r="H229" s="21"/>
      <c r="I229" s="21"/>
      <c r="J229" s="21"/>
    </row>
    <row r="230" spans="1:15">
      <c r="A230" s="21"/>
      <c r="B230" s="21"/>
      <c r="C230" s="26"/>
      <c r="D230" s="21"/>
      <c r="E230" s="21">
        <v>10</v>
      </c>
      <c r="F230" s="21"/>
      <c r="G230" s="27"/>
      <c r="H230" s="21"/>
      <c r="I230" s="21"/>
      <c r="J230" s="21"/>
    </row>
    <row r="231" spans="1:15">
      <c r="A231" s="28" t="s">
        <v>1148</v>
      </c>
      <c r="B231" s="29" t="e">
        <f>IF(C227="FAIL",IF(D227="FAIL",IF(E227="FAIL",IF(F227="FAIL",IF(G227="FAIL",IF(H227="FAIL",IF(I227="FAIL",IF(J227="FAIL",IF(K227="FAIL",IF(L227="FAIL",IF(M227="FAIL","NO MATCH",$M$1),$L$1),$K$1),$J$1),$I$1),$H$1),$G$1),$F$1),$E$1),$D$1),$C$1)</f>
        <v>#DIV/0!</v>
      </c>
      <c r="C231" s="30" t="s">
        <v>1151</v>
      </c>
      <c r="D231" s="21"/>
      <c r="E231" s="21"/>
      <c r="F231" s="21"/>
      <c r="G231" s="21"/>
      <c r="H231" s="26"/>
      <c r="I231" s="21"/>
      <c r="J231" s="21"/>
      <c r="K231" s="21"/>
      <c r="L231" s="21"/>
      <c r="N231" s="21"/>
      <c r="O231" s="21"/>
    </row>
    <row r="232" spans="1:15">
      <c r="A232" s="28" t="s">
        <v>1149</v>
      </c>
      <c r="B232" s="29" t="e">
        <f>IF(C228="FAIL",IF(D228="FAIL",IF(E228="FAIL",IF(F228="FAIL",IF(G228="FAIL",IF(H228="FAIL",IF(I228="FAIL",IF(J228="FAIL",IF(K228="FAIL",IF(L228="FAIL",IF(M228="FAIL","NO MATCH",$M$1),$L$1),$K$1),$J$1),$I$1),$H$1),$G$1),$F$1),$E$1),$D$1),$C$1)</f>
        <v>#DIV/0!</v>
      </c>
      <c r="C232" s="30" t="s">
        <v>1151</v>
      </c>
      <c r="D232" s="21"/>
      <c r="E232" s="21"/>
      <c r="F232" s="21"/>
      <c r="G232" s="21"/>
      <c r="H232" s="26"/>
      <c r="I232" s="21"/>
      <c r="J232" s="21"/>
      <c r="K232" s="21"/>
      <c r="L232" s="21"/>
      <c r="N232" s="21"/>
      <c r="O232" s="21"/>
    </row>
    <row r="233" spans="1:15" ht="18.600000000000001" thickBot="1"/>
    <row r="234" spans="1:15" s="23" customFormat="1">
      <c r="A234" s="3214" t="s">
        <v>1122</v>
      </c>
      <c r="B234" s="3216"/>
      <c r="C234" s="35">
        <v>16</v>
      </c>
      <c r="D234" s="36">
        <v>25</v>
      </c>
      <c r="E234" s="36">
        <v>35</v>
      </c>
      <c r="F234" s="36">
        <v>50</v>
      </c>
      <c r="G234" s="36">
        <v>70</v>
      </c>
      <c r="H234" s="36">
        <v>95</v>
      </c>
      <c r="I234" s="36">
        <v>120</v>
      </c>
      <c r="J234" s="36">
        <v>150</v>
      </c>
      <c r="K234" s="36">
        <v>185</v>
      </c>
      <c r="L234" s="36">
        <v>240</v>
      </c>
      <c r="M234" s="36">
        <v>300</v>
      </c>
      <c r="N234" s="37">
        <v>400</v>
      </c>
      <c r="O234" s="22"/>
    </row>
    <row r="235" spans="1:15" s="23" customFormat="1" ht="18.600000000000001" thickBot="1">
      <c r="A235" s="3215"/>
      <c r="B235" s="3217"/>
      <c r="C235" s="1978" t="s">
        <v>1123</v>
      </c>
      <c r="D235" s="1979" t="s">
        <v>1124</v>
      </c>
      <c r="E235" s="1979" t="s">
        <v>1125</v>
      </c>
      <c r="F235" s="1979" t="s">
        <v>1126</v>
      </c>
      <c r="G235" s="1979" t="s">
        <v>1127</v>
      </c>
      <c r="H235" s="1979" t="s">
        <v>1128</v>
      </c>
      <c r="I235" s="1979" t="s">
        <v>1129</v>
      </c>
      <c r="J235" s="1979" t="s">
        <v>1130</v>
      </c>
      <c r="K235" s="1979" t="s">
        <v>1131</v>
      </c>
      <c r="L235" s="1979" t="s">
        <v>1132</v>
      </c>
      <c r="M235" s="1979" t="s">
        <v>1133</v>
      </c>
      <c r="N235" s="1980" t="s">
        <v>1134</v>
      </c>
      <c r="O235" s="22"/>
    </row>
    <row r="236" spans="1:15">
      <c r="A236" s="1981" t="s">
        <v>1135</v>
      </c>
      <c r="B236" s="1982"/>
      <c r="C236" s="31">
        <v>74</v>
      </c>
      <c r="D236" s="31">
        <v>94</v>
      </c>
      <c r="E236" s="31">
        <v>113</v>
      </c>
      <c r="F236" s="31">
        <v>133</v>
      </c>
      <c r="G236" s="31">
        <v>164</v>
      </c>
      <c r="H236" s="31">
        <v>196</v>
      </c>
      <c r="I236" s="31">
        <v>223</v>
      </c>
      <c r="J236" s="31">
        <v>249</v>
      </c>
      <c r="K236" s="31">
        <v>282</v>
      </c>
      <c r="L236" s="31">
        <v>326</v>
      </c>
      <c r="M236" s="31">
        <v>367</v>
      </c>
      <c r="N236" s="32">
        <v>418</v>
      </c>
      <c r="O236" s="21"/>
    </row>
    <row r="237" spans="1:15">
      <c r="A237" s="1967" t="s">
        <v>1136</v>
      </c>
      <c r="B237" s="43"/>
      <c r="C237" s="24">
        <v>74</v>
      </c>
      <c r="D237" s="24">
        <v>96</v>
      </c>
      <c r="E237" s="24">
        <v>117</v>
      </c>
      <c r="F237" s="24">
        <v>142</v>
      </c>
      <c r="G237" s="24">
        <v>179</v>
      </c>
      <c r="H237" s="24">
        <v>221</v>
      </c>
      <c r="I237" s="24">
        <v>257</v>
      </c>
      <c r="J237" s="24">
        <v>292</v>
      </c>
      <c r="K237" s="24">
        <v>337</v>
      </c>
      <c r="L237" s="24">
        <v>399</v>
      </c>
      <c r="M237" s="24">
        <v>455</v>
      </c>
      <c r="N237" s="33">
        <v>530</v>
      </c>
      <c r="O237" s="21"/>
    </row>
    <row r="238" spans="1:15" ht="22.5" customHeight="1">
      <c r="A238" s="1967" t="s">
        <v>1137</v>
      </c>
      <c r="B238" s="42">
        <v>0.7</v>
      </c>
      <c r="C238" s="24">
        <f>B238</f>
        <v>0.7</v>
      </c>
      <c r="D238" s="24">
        <f>C238</f>
        <v>0.7</v>
      </c>
      <c r="E238" s="24">
        <f t="shared" ref="E238" si="360">D238</f>
        <v>0.7</v>
      </c>
      <c r="F238" s="24">
        <f t="shared" ref="F238" si="361">E238</f>
        <v>0.7</v>
      </c>
      <c r="G238" s="24">
        <f t="shared" ref="G238" si="362">F238</f>
        <v>0.7</v>
      </c>
      <c r="H238" s="24">
        <f t="shared" ref="H238" si="363">G238</f>
        <v>0.7</v>
      </c>
      <c r="I238" s="24">
        <f t="shared" ref="I238" si="364">H238</f>
        <v>0.7</v>
      </c>
      <c r="J238" s="24">
        <f t="shared" ref="J238" si="365">I238</f>
        <v>0.7</v>
      </c>
      <c r="K238" s="24">
        <f t="shared" ref="K238" si="366">J238</f>
        <v>0.7</v>
      </c>
      <c r="L238" s="24">
        <f t="shared" ref="L238" si="367">K238</f>
        <v>0.7</v>
      </c>
      <c r="M238" s="24">
        <f>L238</f>
        <v>0.7</v>
      </c>
      <c r="N238" s="33">
        <f>M238</f>
        <v>0.7</v>
      </c>
      <c r="O238" s="21"/>
    </row>
    <row r="239" spans="1:15">
      <c r="A239" s="1967" t="s">
        <v>1138</v>
      </c>
      <c r="B239" s="43"/>
      <c r="C239" s="24">
        <f>C236*C238</f>
        <v>51.8</v>
      </c>
      <c r="D239" s="24">
        <f t="shared" ref="D239:G239" si="368">D236*D238</f>
        <v>65.8</v>
      </c>
      <c r="E239" s="24">
        <f t="shared" si="368"/>
        <v>79.099999999999994</v>
      </c>
      <c r="F239" s="24">
        <f t="shared" si="368"/>
        <v>93.1</v>
      </c>
      <c r="G239" s="24">
        <f t="shared" si="368"/>
        <v>114.8</v>
      </c>
      <c r="H239" s="24">
        <f>H236*H238</f>
        <v>137.19999999999999</v>
      </c>
      <c r="I239" s="24">
        <f t="shared" ref="I239:N239" si="369">I236*I238</f>
        <v>156.1</v>
      </c>
      <c r="J239" s="24">
        <f t="shared" si="369"/>
        <v>174.29999999999998</v>
      </c>
      <c r="K239" s="24">
        <f t="shared" si="369"/>
        <v>197.39999999999998</v>
      </c>
      <c r="L239" s="24">
        <f t="shared" si="369"/>
        <v>228.2</v>
      </c>
      <c r="M239" s="24">
        <f t="shared" si="369"/>
        <v>256.89999999999998</v>
      </c>
      <c r="N239" s="33">
        <f t="shared" si="369"/>
        <v>292.59999999999997</v>
      </c>
      <c r="O239" s="21"/>
    </row>
    <row r="240" spans="1:15">
      <c r="A240" s="1967" t="s">
        <v>1139</v>
      </c>
      <c r="B240" s="43"/>
      <c r="C240" s="24">
        <f>C237*C238</f>
        <v>51.8</v>
      </c>
      <c r="D240" s="24">
        <f>D237*D238</f>
        <v>67.199999999999989</v>
      </c>
      <c r="E240" s="24">
        <f t="shared" ref="E240:G240" si="370">E237*E238</f>
        <v>81.899999999999991</v>
      </c>
      <c r="F240" s="24">
        <f t="shared" si="370"/>
        <v>99.399999999999991</v>
      </c>
      <c r="G240" s="24">
        <f t="shared" si="370"/>
        <v>125.3</v>
      </c>
      <c r="H240" s="24">
        <f>H237*H238</f>
        <v>154.69999999999999</v>
      </c>
      <c r="I240" s="24">
        <f t="shared" ref="I240:N240" si="371">I237*I238</f>
        <v>179.89999999999998</v>
      </c>
      <c r="J240" s="24">
        <f t="shared" si="371"/>
        <v>204.39999999999998</v>
      </c>
      <c r="K240" s="24">
        <f t="shared" si="371"/>
        <v>235.89999999999998</v>
      </c>
      <c r="L240" s="24">
        <f t="shared" si="371"/>
        <v>279.29999999999995</v>
      </c>
      <c r="M240" s="24">
        <f t="shared" si="371"/>
        <v>318.5</v>
      </c>
      <c r="N240" s="33">
        <f t="shared" si="371"/>
        <v>371</v>
      </c>
      <c r="O240" s="21"/>
    </row>
    <row r="241" spans="1:15">
      <c r="A241" s="1967"/>
      <c r="B241" s="43"/>
      <c r="C241" s="24"/>
      <c r="D241" s="24"/>
      <c r="E241" s="24"/>
      <c r="F241" s="24"/>
      <c r="G241" s="24"/>
      <c r="H241" s="24"/>
      <c r="I241" s="24"/>
      <c r="J241" s="24"/>
      <c r="K241" s="24"/>
      <c r="L241" s="24"/>
      <c r="M241" s="24"/>
      <c r="N241" s="33"/>
      <c r="O241" s="21"/>
    </row>
    <row r="242" spans="1:15">
      <c r="A242" s="1967" t="s">
        <v>1140</v>
      </c>
      <c r="B242" s="43"/>
      <c r="C242" s="24">
        <v>2.44</v>
      </c>
      <c r="D242" s="24">
        <v>1.54</v>
      </c>
      <c r="E242" s="24">
        <v>1.1100000000000001</v>
      </c>
      <c r="F242" s="24">
        <v>0.82</v>
      </c>
      <c r="G242" s="24">
        <v>0.56699999999999995</v>
      </c>
      <c r="H242" s="24">
        <v>0.41</v>
      </c>
      <c r="I242" s="24">
        <v>0.32400000000000001</v>
      </c>
      <c r="J242" s="24">
        <v>0.26400000000000001</v>
      </c>
      <c r="K242" s="24">
        <v>0.21</v>
      </c>
      <c r="L242" s="24">
        <v>0.16</v>
      </c>
      <c r="M242" s="24">
        <v>0.128</v>
      </c>
      <c r="N242" s="33">
        <v>0.1</v>
      </c>
      <c r="O242" s="21"/>
    </row>
    <row r="243" spans="1:15">
      <c r="A243" s="1967" t="s">
        <v>1141</v>
      </c>
      <c r="B243" s="43"/>
      <c r="C243" s="24">
        <v>8.0799999999999997E-2</v>
      </c>
      <c r="D243" s="24">
        <v>8.0500000000000002E-2</v>
      </c>
      <c r="E243" s="24">
        <v>7.8299999999999995E-2</v>
      </c>
      <c r="F243" s="24">
        <v>7.4999999999999997E-2</v>
      </c>
      <c r="G243" s="24">
        <v>7.3999999999999996E-2</v>
      </c>
      <c r="H243" s="24">
        <v>7.2400000000000006E-2</v>
      </c>
      <c r="I243" s="24">
        <v>7.1199999999999999E-2</v>
      </c>
      <c r="J243" s="24">
        <v>7.1599999999999997E-2</v>
      </c>
      <c r="K243" s="24">
        <v>7.1800000000000003E-2</v>
      </c>
      <c r="L243" s="24">
        <v>7.0999999999999994E-2</v>
      </c>
      <c r="M243" s="24">
        <v>7.0499999999999993E-2</v>
      </c>
      <c r="N243" s="33">
        <v>7.0400000000000004E-2</v>
      </c>
      <c r="O243" s="21"/>
    </row>
    <row r="244" spans="1:15">
      <c r="A244" s="1967"/>
      <c r="B244" s="43"/>
      <c r="C244" s="24"/>
      <c r="D244" s="24"/>
      <c r="E244" s="24"/>
      <c r="F244" s="24"/>
      <c r="G244" s="24"/>
      <c r="H244" s="24"/>
      <c r="I244" s="24"/>
      <c r="J244" s="24"/>
      <c r="K244" s="24"/>
      <c r="L244" s="24"/>
      <c r="M244" s="24"/>
      <c r="N244" s="33"/>
      <c r="O244" s="21"/>
    </row>
    <row r="245" spans="1:15" ht="24.75" customHeight="1">
      <c r="A245" s="1968" t="s">
        <v>1142</v>
      </c>
      <c r="B245" s="41">
        <f>A253</f>
        <v>0</v>
      </c>
      <c r="C245" s="24">
        <f t="shared" ref="C245:C247" si="372">B245</f>
        <v>0</v>
      </c>
      <c r="D245" s="24">
        <f t="shared" ref="D245:D247" si="373">C245</f>
        <v>0</v>
      </c>
      <c r="E245" s="24">
        <f t="shared" ref="E245:E247" si="374">D245</f>
        <v>0</v>
      </c>
      <c r="F245" s="24">
        <f t="shared" ref="F245:F247" si="375">E245</f>
        <v>0</v>
      </c>
      <c r="G245" s="24">
        <f t="shared" ref="G245:G247" si="376">F245</f>
        <v>0</v>
      </c>
      <c r="H245" s="24">
        <f t="shared" ref="H245:H247" si="377">G245</f>
        <v>0</v>
      </c>
      <c r="I245" s="24">
        <f t="shared" ref="I245:I247" si="378">H245</f>
        <v>0</v>
      </c>
      <c r="J245" s="24">
        <f t="shared" ref="J245:J247" si="379">I245</f>
        <v>0</v>
      </c>
      <c r="K245" s="24">
        <f t="shared" ref="K245:K247" si="380">J245</f>
        <v>0</v>
      </c>
      <c r="L245" s="24">
        <f t="shared" ref="L245:L247" si="381">K245</f>
        <v>0</v>
      </c>
      <c r="M245" s="24">
        <f t="shared" ref="M245:M247" si="382">L245</f>
        <v>0</v>
      </c>
      <c r="N245" s="33">
        <f t="shared" ref="N245:N247" si="383">M245</f>
        <v>0</v>
      </c>
      <c r="O245" s="21"/>
    </row>
    <row r="246" spans="1:15">
      <c r="A246" s="1968" t="s">
        <v>1143</v>
      </c>
      <c r="B246" s="42">
        <f>'Input''s from Initial Design'!X80</f>
        <v>0</v>
      </c>
      <c r="C246" s="24">
        <f t="shared" si="372"/>
        <v>0</v>
      </c>
      <c r="D246" s="24">
        <f t="shared" si="373"/>
        <v>0</v>
      </c>
      <c r="E246" s="24">
        <f t="shared" si="374"/>
        <v>0</v>
      </c>
      <c r="F246" s="24">
        <f t="shared" si="375"/>
        <v>0</v>
      </c>
      <c r="G246" s="24">
        <f t="shared" si="376"/>
        <v>0</v>
      </c>
      <c r="H246" s="24">
        <f t="shared" si="377"/>
        <v>0</v>
      </c>
      <c r="I246" s="24">
        <f t="shared" si="378"/>
        <v>0</v>
      </c>
      <c r="J246" s="24">
        <f t="shared" si="379"/>
        <v>0</v>
      </c>
      <c r="K246" s="24">
        <f t="shared" si="380"/>
        <v>0</v>
      </c>
      <c r="L246" s="24">
        <f t="shared" si="381"/>
        <v>0</v>
      </c>
      <c r="M246" s="24">
        <f t="shared" si="382"/>
        <v>0</v>
      </c>
      <c r="N246" s="33">
        <f t="shared" si="383"/>
        <v>0</v>
      </c>
      <c r="O246" s="21"/>
    </row>
    <row r="247" spans="1:15">
      <c r="A247" s="1968" t="s">
        <v>1144</v>
      </c>
      <c r="B247" s="42">
        <f>'Input''s from Initial Design'!Y80</f>
        <v>0</v>
      </c>
      <c r="C247" s="24">
        <f t="shared" si="372"/>
        <v>0</v>
      </c>
      <c r="D247" s="24">
        <f t="shared" si="373"/>
        <v>0</v>
      </c>
      <c r="E247" s="24">
        <f t="shared" si="374"/>
        <v>0</v>
      </c>
      <c r="F247" s="24">
        <f t="shared" si="375"/>
        <v>0</v>
      </c>
      <c r="G247" s="24">
        <f t="shared" si="376"/>
        <v>0</v>
      </c>
      <c r="H247" s="24">
        <f t="shared" si="377"/>
        <v>0</v>
      </c>
      <c r="I247" s="24">
        <f t="shared" si="378"/>
        <v>0</v>
      </c>
      <c r="J247" s="24">
        <f t="shared" si="379"/>
        <v>0</v>
      </c>
      <c r="K247" s="24">
        <f t="shared" si="380"/>
        <v>0</v>
      </c>
      <c r="L247" s="24">
        <f t="shared" si="381"/>
        <v>0</v>
      </c>
      <c r="M247" s="24">
        <f t="shared" si="382"/>
        <v>0</v>
      </c>
      <c r="N247" s="33">
        <f t="shared" si="383"/>
        <v>0</v>
      </c>
      <c r="O247" s="21"/>
    </row>
    <row r="248" spans="1:15">
      <c r="A248" s="1968" t="s">
        <v>1145</v>
      </c>
      <c r="B248" s="42">
        <v>415</v>
      </c>
      <c r="C248" s="24">
        <f>+B248</f>
        <v>415</v>
      </c>
      <c r="D248" s="24">
        <f t="shared" ref="D248" si="384">+C248</f>
        <v>415</v>
      </c>
      <c r="E248" s="24">
        <f t="shared" ref="E248" si="385">+D248</f>
        <v>415</v>
      </c>
      <c r="F248" s="24">
        <f t="shared" ref="F248" si="386">+E248</f>
        <v>415</v>
      </c>
      <c r="G248" s="24">
        <f t="shared" ref="G248" si="387">+F248</f>
        <v>415</v>
      </c>
      <c r="H248" s="24">
        <f t="shared" ref="H248" si="388">+G248</f>
        <v>415</v>
      </c>
      <c r="I248" s="24">
        <f t="shared" ref="I248" si="389">+H248</f>
        <v>415</v>
      </c>
      <c r="J248" s="24">
        <f t="shared" ref="J248" si="390">+I248</f>
        <v>415</v>
      </c>
      <c r="K248" s="24">
        <f t="shared" ref="K248" si="391">+J248</f>
        <v>415</v>
      </c>
      <c r="L248" s="24">
        <f t="shared" ref="L248" si="392">+K248</f>
        <v>415</v>
      </c>
      <c r="M248" s="24">
        <f t="shared" ref="M248" si="393">+L248</f>
        <v>415</v>
      </c>
      <c r="N248" s="33">
        <f t="shared" ref="N248" si="394">+M248</f>
        <v>415</v>
      </c>
      <c r="O248" s="21"/>
    </row>
    <row r="249" spans="1:15">
      <c r="A249" s="1967" t="s">
        <v>1146</v>
      </c>
      <c r="B249" s="43"/>
      <c r="C249" s="25" t="e">
        <f t="shared" ref="C249:N249" si="395">1.732*C245*(C242/1000*1+C243/1000*0)*C246/C247</f>
        <v>#DIV/0!</v>
      </c>
      <c r="D249" s="25" t="e">
        <f t="shared" si="395"/>
        <v>#DIV/0!</v>
      </c>
      <c r="E249" s="25" t="e">
        <f t="shared" si="395"/>
        <v>#DIV/0!</v>
      </c>
      <c r="F249" s="25" t="e">
        <f t="shared" si="395"/>
        <v>#DIV/0!</v>
      </c>
      <c r="G249" s="25" t="e">
        <f t="shared" si="395"/>
        <v>#DIV/0!</v>
      </c>
      <c r="H249" s="25" t="e">
        <f t="shared" si="395"/>
        <v>#DIV/0!</v>
      </c>
      <c r="I249" s="25" t="e">
        <f t="shared" si="395"/>
        <v>#DIV/0!</v>
      </c>
      <c r="J249" s="25" t="e">
        <f t="shared" si="395"/>
        <v>#DIV/0!</v>
      </c>
      <c r="K249" s="25" t="e">
        <f t="shared" si="395"/>
        <v>#DIV/0!</v>
      </c>
      <c r="L249" s="25" t="e">
        <f t="shared" si="395"/>
        <v>#DIV/0!</v>
      </c>
      <c r="M249" s="25" t="e">
        <f t="shared" si="395"/>
        <v>#DIV/0!</v>
      </c>
      <c r="N249" s="34" t="e">
        <f t="shared" si="395"/>
        <v>#DIV/0!</v>
      </c>
      <c r="O249" s="21"/>
    </row>
    <row r="250" spans="1:15">
      <c r="A250" s="1967" t="s">
        <v>1147</v>
      </c>
      <c r="B250" s="43"/>
      <c r="C250" s="1965" t="e">
        <f>C249/C248</f>
        <v>#DIV/0!</v>
      </c>
      <c r="D250" s="1965" t="e">
        <f t="shared" ref="D250:N250" si="396">D249/D248</f>
        <v>#DIV/0!</v>
      </c>
      <c r="E250" s="1965" t="e">
        <f t="shared" si="396"/>
        <v>#DIV/0!</v>
      </c>
      <c r="F250" s="1965" t="e">
        <f t="shared" si="396"/>
        <v>#DIV/0!</v>
      </c>
      <c r="G250" s="1965" t="e">
        <f t="shared" si="396"/>
        <v>#DIV/0!</v>
      </c>
      <c r="H250" s="1965" t="e">
        <f t="shared" si="396"/>
        <v>#DIV/0!</v>
      </c>
      <c r="I250" s="1965" t="e">
        <f t="shared" si="396"/>
        <v>#DIV/0!</v>
      </c>
      <c r="J250" s="1965" t="e">
        <f t="shared" si="396"/>
        <v>#DIV/0!</v>
      </c>
      <c r="K250" s="1965" t="e">
        <f t="shared" si="396"/>
        <v>#DIV/0!</v>
      </c>
      <c r="L250" s="1965" t="e">
        <f t="shared" si="396"/>
        <v>#DIV/0!</v>
      </c>
      <c r="M250" s="1965" t="e">
        <f t="shared" si="396"/>
        <v>#DIV/0!</v>
      </c>
      <c r="N250" s="1969" t="e">
        <f t="shared" si="396"/>
        <v>#DIV/0!</v>
      </c>
      <c r="O250" s="21"/>
    </row>
    <row r="251" spans="1:15">
      <c r="A251" s="1968" t="s">
        <v>1148</v>
      </c>
      <c r="B251" s="1966">
        <v>0.02</v>
      </c>
      <c r="C251" s="24" t="e">
        <f>IF(AND((C245*1.25)&lt;(C239*C247),(C250&lt;$B$16)),"PASS","FAIL")</f>
        <v>#DIV/0!</v>
      </c>
      <c r="D251" s="24" t="e">
        <f>IF(AND((D245*1.25)&lt;(D239*D247),(D250&lt;$B$16)),"PASS","FAIL")</f>
        <v>#DIV/0!</v>
      </c>
      <c r="E251" s="24" t="e">
        <f>IF(AND((E245*1.25)&lt;(E239*E247),(E250&lt;$B$16)),"PASS","FAIL")</f>
        <v>#DIV/0!</v>
      </c>
      <c r="F251" s="24" t="e">
        <f>IF(AND((F245*1.25)&lt;(F239*F247),(F250&lt;$B$16)),"PASS","FAIL")</f>
        <v>#DIV/0!</v>
      </c>
      <c r="G251" s="24" t="e">
        <f>IF(AND((G245*1.25)&lt;(G239*G247),(G250&lt;$B$16)),"PASS","FAIL")</f>
        <v>#DIV/0!</v>
      </c>
      <c r="H251" s="24" t="e">
        <f>IF(AND((H245*1.1)&lt;(H239*H247),(H250&lt;$B$16)),"PASS","FAIL")</f>
        <v>#DIV/0!</v>
      </c>
      <c r="I251" s="24" t="e">
        <f t="shared" ref="I251:N251" si="397">IF(AND((I245*1.25)&lt;(I239*I247),(I250&lt;$B$16)),"PASS","FAIL")</f>
        <v>#DIV/0!</v>
      </c>
      <c r="J251" s="24" t="e">
        <f t="shared" si="397"/>
        <v>#DIV/0!</v>
      </c>
      <c r="K251" s="24" t="e">
        <f t="shared" si="397"/>
        <v>#DIV/0!</v>
      </c>
      <c r="L251" s="24" t="e">
        <f t="shared" si="397"/>
        <v>#DIV/0!</v>
      </c>
      <c r="M251" s="24" t="e">
        <f t="shared" si="397"/>
        <v>#DIV/0!</v>
      </c>
      <c r="N251" s="33" t="e">
        <f t="shared" si="397"/>
        <v>#DIV/0!</v>
      </c>
      <c r="O251" s="21"/>
    </row>
    <row r="252" spans="1:15" ht="18.600000000000001" thickBot="1">
      <c r="A252" s="1970" t="s">
        <v>1149</v>
      </c>
      <c r="B252" s="1971"/>
      <c r="C252" s="1972" t="e">
        <f t="shared" ref="C252:N252" si="398">IF(AND((C245*1.25)&lt;(C240*C247),(C250&lt;$B$16)),"PASS","FAIL")</f>
        <v>#DIV/0!</v>
      </c>
      <c r="D252" s="1972" t="e">
        <f t="shared" si="398"/>
        <v>#DIV/0!</v>
      </c>
      <c r="E252" s="1972" t="e">
        <f t="shared" si="398"/>
        <v>#DIV/0!</v>
      </c>
      <c r="F252" s="1972" t="e">
        <f t="shared" si="398"/>
        <v>#DIV/0!</v>
      </c>
      <c r="G252" s="1972" t="e">
        <f t="shared" si="398"/>
        <v>#DIV/0!</v>
      </c>
      <c r="H252" s="1972" t="e">
        <f t="shared" si="398"/>
        <v>#DIV/0!</v>
      </c>
      <c r="I252" s="1972" t="e">
        <f t="shared" si="398"/>
        <v>#DIV/0!</v>
      </c>
      <c r="J252" s="1972" t="e">
        <f t="shared" si="398"/>
        <v>#DIV/0!</v>
      </c>
      <c r="K252" s="1972" t="e">
        <f t="shared" si="398"/>
        <v>#DIV/0!</v>
      </c>
      <c r="L252" s="1972" t="e">
        <f t="shared" si="398"/>
        <v>#DIV/0!</v>
      </c>
      <c r="M252" s="1972" t="e">
        <f t="shared" si="398"/>
        <v>#DIV/0!</v>
      </c>
      <c r="N252" s="1973" t="e">
        <f t="shared" si="398"/>
        <v>#DIV/0!</v>
      </c>
      <c r="O252" s="21"/>
    </row>
    <row r="253" spans="1:15">
      <c r="A253" s="1963">
        <f>('Input''s from Initial Design'!W80*1000/(1.732*440*1))</f>
        <v>0</v>
      </c>
      <c r="B253" s="1964" t="s">
        <v>1150</v>
      </c>
      <c r="C253" s="26"/>
      <c r="D253" s="3213"/>
      <c r="E253" s="3213"/>
      <c r="F253" s="3213"/>
      <c r="G253" s="21"/>
      <c r="H253" s="21"/>
      <c r="I253" s="21"/>
      <c r="J253" s="21"/>
    </row>
    <row r="254" spans="1:15">
      <c r="A254" s="21"/>
      <c r="B254" s="21"/>
      <c r="C254" s="26"/>
      <c r="D254" s="21"/>
      <c r="E254" s="21">
        <v>11</v>
      </c>
      <c r="F254" s="21"/>
      <c r="G254" s="27"/>
      <c r="H254" s="21"/>
      <c r="I254" s="21"/>
      <c r="J254" s="21"/>
    </row>
    <row r="255" spans="1:15">
      <c r="A255" s="28" t="s">
        <v>1148</v>
      </c>
      <c r="B255" s="29" t="e">
        <f>IF(C251="FAIL",IF(D251="FAIL",IF(E251="FAIL",IF(F251="FAIL",IF(G251="FAIL",IF(H251="FAIL",IF(I251="FAIL",IF(J251="FAIL",IF(K251="FAIL",IF(L251="FAIL",IF(M251="FAIL","NO MATCH",$M$1),$L$1),$K$1),$J$1),$I$1),$H$1),$G$1),$F$1),$E$1),$D$1),$C$1)</f>
        <v>#DIV/0!</v>
      </c>
      <c r="C255" s="30" t="s">
        <v>1151</v>
      </c>
      <c r="D255" s="21"/>
      <c r="E255" s="21"/>
      <c r="F255" s="21"/>
      <c r="G255" s="21"/>
      <c r="H255" s="26"/>
      <c r="I255" s="21"/>
      <c r="J255" s="21"/>
      <c r="K255" s="21"/>
      <c r="L255" s="21"/>
      <c r="N255" s="21"/>
      <c r="O255" s="21"/>
    </row>
    <row r="256" spans="1:15">
      <c r="A256" s="28" t="s">
        <v>1149</v>
      </c>
      <c r="B256" s="29" t="e">
        <f>IF(C252="FAIL",IF(D252="FAIL",IF(E252="FAIL",IF(F252="FAIL",IF(G252="FAIL",IF(H252="FAIL",IF(I252="FAIL",IF(J252="FAIL",IF(K252="FAIL",IF(L252="FAIL",IF(M252="FAIL","NO MATCH",$M$1),$L$1),$K$1),$J$1),$I$1),$H$1),$G$1),$F$1),$E$1),$D$1),$C$1)</f>
        <v>#DIV/0!</v>
      </c>
      <c r="C256" s="30" t="s">
        <v>1151</v>
      </c>
      <c r="D256" s="21"/>
      <c r="E256" s="21"/>
      <c r="F256" s="21"/>
      <c r="G256" s="21"/>
      <c r="H256" s="26"/>
      <c r="I256" s="21"/>
      <c r="J256" s="21"/>
      <c r="K256" s="21"/>
      <c r="L256" s="21"/>
      <c r="N256" s="21"/>
      <c r="O256" s="21"/>
    </row>
    <row r="257" spans="1:15" ht="18.600000000000001" thickBot="1"/>
    <row r="258" spans="1:15" s="23" customFormat="1">
      <c r="A258" s="3214" t="s">
        <v>1122</v>
      </c>
      <c r="B258" s="3216"/>
      <c r="C258" s="35">
        <v>16</v>
      </c>
      <c r="D258" s="36">
        <v>25</v>
      </c>
      <c r="E258" s="36">
        <v>35</v>
      </c>
      <c r="F258" s="36">
        <v>50</v>
      </c>
      <c r="G258" s="36">
        <v>70</v>
      </c>
      <c r="H258" s="36">
        <v>95</v>
      </c>
      <c r="I258" s="36">
        <v>120</v>
      </c>
      <c r="J258" s="36">
        <v>150</v>
      </c>
      <c r="K258" s="36">
        <v>185</v>
      </c>
      <c r="L258" s="36">
        <v>240</v>
      </c>
      <c r="M258" s="36">
        <v>300</v>
      </c>
      <c r="N258" s="37">
        <v>400</v>
      </c>
      <c r="O258" s="22"/>
    </row>
    <row r="259" spans="1:15" s="23" customFormat="1" ht="18.600000000000001" thickBot="1">
      <c r="A259" s="3215"/>
      <c r="B259" s="3217"/>
      <c r="C259" s="1978" t="s">
        <v>1123</v>
      </c>
      <c r="D259" s="1979" t="s">
        <v>1124</v>
      </c>
      <c r="E259" s="1979" t="s">
        <v>1125</v>
      </c>
      <c r="F259" s="1979" t="s">
        <v>1126</v>
      </c>
      <c r="G259" s="1979" t="s">
        <v>1127</v>
      </c>
      <c r="H259" s="1979" t="s">
        <v>1128</v>
      </c>
      <c r="I259" s="1979" t="s">
        <v>1129</v>
      </c>
      <c r="J259" s="1979" t="s">
        <v>1130</v>
      </c>
      <c r="K259" s="1979" t="s">
        <v>1131</v>
      </c>
      <c r="L259" s="1979" t="s">
        <v>1132</v>
      </c>
      <c r="M259" s="1979" t="s">
        <v>1133</v>
      </c>
      <c r="N259" s="1980" t="s">
        <v>1134</v>
      </c>
      <c r="O259" s="22"/>
    </row>
    <row r="260" spans="1:15">
      <c r="A260" s="1981" t="s">
        <v>1135</v>
      </c>
      <c r="B260" s="1982"/>
      <c r="C260" s="31">
        <v>74</v>
      </c>
      <c r="D260" s="31">
        <v>94</v>
      </c>
      <c r="E260" s="31">
        <v>113</v>
      </c>
      <c r="F260" s="31">
        <v>133</v>
      </c>
      <c r="G260" s="31">
        <v>164</v>
      </c>
      <c r="H260" s="31">
        <v>196</v>
      </c>
      <c r="I260" s="31">
        <v>223</v>
      </c>
      <c r="J260" s="31">
        <v>249</v>
      </c>
      <c r="K260" s="31">
        <v>282</v>
      </c>
      <c r="L260" s="31">
        <v>326</v>
      </c>
      <c r="M260" s="31">
        <v>367</v>
      </c>
      <c r="N260" s="32">
        <v>418</v>
      </c>
      <c r="O260" s="21"/>
    </row>
    <row r="261" spans="1:15">
      <c r="A261" s="1967" t="s">
        <v>1136</v>
      </c>
      <c r="B261" s="43"/>
      <c r="C261" s="24">
        <v>74</v>
      </c>
      <c r="D261" s="24">
        <v>96</v>
      </c>
      <c r="E261" s="24">
        <v>117</v>
      </c>
      <c r="F261" s="24">
        <v>142</v>
      </c>
      <c r="G261" s="24">
        <v>179</v>
      </c>
      <c r="H261" s="24">
        <v>221</v>
      </c>
      <c r="I261" s="24">
        <v>257</v>
      </c>
      <c r="J261" s="24">
        <v>292</v>
      </c>
      <c r="K261" s="24">
        <v>337</v>
      </c>
      <c r="L261" s="24">
        <v>399</v>
      </c>
      <c r="M261" s="24">
        <v>455</v>
      </c>
      <c r="N261" s="33">
        <v>530</v>
      </c>
      <c r="O261" s="21"/>
    </row>
    <row r="262" spans="1:15" ht="22.5" customHeight="1">
      <c r="A262" s="1967" t="s">
        <v>1137</v>
      </c>
      <c r="B262" s="42">
        <v>0.7</v>
      </c>
      <c r="C262" s="24">
        <f>B262</f>
        <v>0.7</v>
      </c>
      <c r="D262" s="24">
        <f>C262</f>
        <v>0.7</v>
      </c>
      <c r="E262" s="24">
        <f t="shared" ref="E262" si="399">D262</f>
        <v>0.7</v>
      </c>
      <c r="F262" s="24">
        <f t="shared" ref="F262" si="400">E262</f>
        <v>0.7</v>
      </c>
      <c r="G262" s="24">
        <f t="shared" ref="G262" si="401">F262</f>
        <v>0.7</v>
      </c>
      <c r="H262" s="24">
        <f t="shared" ref="H262" si="402">G262</f>
        <v>0.7</v>
      </c>
      <c r="I262" s="24">
        <f t="shared" ref="I262" si="403">H262</f>
        <v>0.7</v>
      </c>
      <c r="J262" s="24">
        <f t="shared" ref="J262" si="404">I262</f>
        <v>0.7</v>
      </c>
      <c r="K262" s="24">
        <f t="shared" ref="K262" si="405">J262</f>
        <v>0.7</v>
      </c>
      <c r="L262" s="24">
        <f t="shared" ref="L262" si="406">K262</f>
        <v>0.7</v>
      </c>
      <c r="M262" s="24">
        <f>L262</f>
        <v>0.7</v>
      </c>
      <c r="N262" s="33">
        <f>M262</f>
        <v>0.7</v>
      </c>
      <c r="O262" s="21"/>
    </row>
    <row r="263" spans="1:15">
      <c r="A263" s="1967" t="s">
        <v>1138</v>
      </c>
      <c r="B263" s="43"/>
      <c r="C263" s="24">
        <f>C260*C262</f>
        <v>51.8</v>
      </c>
      <c r="D263" s="24">
        <f t="shared" ref="D263:G263" si="407">D260*D262</f>
        <v>65.8</v>
      </c>
      <c r="E263" s="24">
        <f t="shared" si="407"/>
        <v>79.099999999999994</v>
      </c>
      <c r="F263" s="24">
        <f t="shared" si="407"/>
        <v>93.1</v>
      </c>
      <c r="G263" s="24">
        <f t="shared" si="407"/>
        <v>114.8</v>
      </c>
      <c r="H263" s="24">
        <f>H260*H262</f>
        <v>137.19999999999999</v>
      </c>
      <c r="I263" s="24">
        <f t="shared" ref="I263:N263" si="408">I260*I262</f>
        <v>156.1</v>
      </c>
      <c r="J263" s="24">
        <f t="shared" si="408"/>
        <v>174.29999999999998</v>
      </c>
      <c r="K263" s="24">
        <f t="shared" si="408"/>
        <v>197.39999999999998</v>
      </c>
      <c r="L263" s="24">
        <f t="shared" si="408"/>
        <v>228.2</v>
      </c>
      <c r="M263" s="24">
        <f t="shared" si="408"/>
        <v>256.89999999999998</v>
      </c>
      <c r="N263" s="33">
        <f t="shared" si="408"/>
        <v>292.59999999999997</v>
      </c>
      <c r="O263" s="21"/>
    </row>
    <row r="264" spans="1:15">
      <c r="A264" s="1967" t="s">
        <v>1139</v>
      </c>
      <c r="B264" s="43"/>
      <c r="C264" s="24">
        <f>C261*C262</f>
        <v>51.8</v>
      </c>
      <c r="D264" s="24">
        <f>D261*D262</f>
        <v>67.199999999999989</v>
      </c>
      <c r="E264" s="24">
        <f t="shared" ref="E264:G264" si="409">E261*E262</f>
        <v>81.899999999999991</v>
      </c>
      <c r="F264" s="24">
        <f t="shared" si="409"/>
        <v>99.399999999999991</v>
      </c>
      <c r="G264" s="24">
        <f t="shared" si="409"/>
        <v>125.3</v>
      </c>
      <c r="H264" s="24">
        <f>H261*H262</f>
        <v>154.69999999999999</v>
      </c>
      <c r="I264" s="24">
        <f t="shared" ref="I264:N264" si="410">I261*I262</f>
        <v>179.89999999999998</v>
      </c>
      <c r="J264" s="24">
        <f t="shared" si="410"/>
        <v>204.39999999999998</v>
      </c>
      <c r="K264" s="24">
        <f t="shared" si="410"/>
        <v>235.89999999999998</v>
      </c>
      <c r="L264" s="24">
        <f t="shared" si="410"/>
        <v>279.29999999999995</v>
      </c>
      <c r="M264" s="24">
        <f t="shared" si="410"/>
        <v>318.5</v>
      </c>
      <c r="N264" s="33">
        <f t="shared" si="410"/>
        <v>371</v>
      </c>
      <c r="O264" s="21"/>
    </row>
    <row r="265" spans="1:15">
      <c r="A265" s="1967"/>
      <c r="B265" s="43"/>
      <c r="C265" s="24"/>
      <c r="D265" s="24"/>
      <c r="E265" s="24"/>
      <c r="F265" s="24"/>
      <c r="G265" s="24"/>
      <c r="H265" s="24"/>
      <c r="I265" s="24"/>
      <c r="J265" s="24"/>
      <c r="K265" s="24"/>
      <c r="L265" s="24"/>
      <c r="M265" s="24"/>
      <c r="N265" s="33"/>
      <c r="O265" s="21"/>
    </row>
    <row r="266" spans="1:15">
      <c r="A266" s="1967" t="s">
        <v>1140</v>
      </c>
      <c r="B266" s="43"/>
      <c r="C266" s="24">
        <v>2.44</v>
      </c>
      <c r="D266" s="24">
        <v>1.54</v>
      </c>
      <c r="E266" s="24">
        <v>1.1100000000000001</v>
      </c>
      <c r="F266" s="24">
        <v>0.82</v>
      </c>
      <c r="G266" s="24">
        <v>0.56699999999999995</v>
      </c>
      <c r="H266" s="24">
        <v>0.41</v>
      </c>
      <c r="I266" s="24">
        <v>0.32400000000000001</v>
      </c>
      <c r="J266" s="24">
        <v>0.26400000000000001</v>
      </c>
      <c r="K266" s="24">
        <v>0.21</v>
      </c>
      <c r="L266" s="24">
        <v>0.16</v>
      </c>
      <c r="M266" s="24">
        <v>0.128</v>
      </c>
      <c r="N266" s="33">
        <v>0.1</v>
      </c>
      <c r="O266" s="21"/>
    </row>
    <row r="267" spans="1:15">
      <c r="A267" s="1967" t="s">
        <v>1141</v>
      </c>
      <c r="B267" s="43"/>
      <c r="C267" s="24">
        <v>8.0799999999999997E-2</v>
      </c>
      <c r="D267" s="24">
        <v>8.0500000000000002E-2</v>
      </c>
      <c r="E267" s="24">
        <v>7.8299999999999995E-2</v>
      </c>
      <c r="F267" s="24">
        <v>7.4999999999999997E-2</v>
      </c>
      <c r="G267" s="24">
        <v>7.3999999999999996E-2</v>
      </c>
      <c r="H267" s="24">
        <v>7.2400000000000006E-2</v>
      </c>
      <c r="I267" s="24">
        <v>7.1199999999999999E-2</v>
      </c>
      <c r="J267" s="24">
        <v>7.1599999999999997E-2</v>
      </c>
      <c r="K267" s="24">
        <v>7.1800000000000003E-2</v>
      </c>
      <c r="L267" s="24">
        <v>7.0999999999999994E-2</v>
      </c>
      <c r="M267" s="24">
        <v>7.0499999999999993E-2</v>
      </c>
      <c r="N267" s="33">
        <v>7.0400000000000004E-2</v>
      </c>
      <c r="O267" s="21"/>
    </row>
    <row r="268" spans="1:15">
      <c r="A268" s="1967"/>
      <c r="B268" s="43"/>
      <c r="C268" s="24"/>
      <c r="D268" s="24"/>
      <c r="E268" s="24"/>
      <c r="F268" s="24"/>
      <c r="G268" s="24"/>
      <c r="H268" s="24"/>
      <c r="I268" s="24"/>
      <c r="J268" s="24"/>
      <c r="K268" s="24"/>
      <c r="L268" s="24"/>
      <c r="M268" s="24"/>
      <c r="N268" s="33"/>
      <c r="O268" s="21"/>
    </row>
    <row r="269" spans="1:15" ht="24.75" customHeight="1">
      <c r="A269" s="1968" t="s">
        <v>1142</v>
      </c>
      <c r="B269" s="41">
        <f>A277</f>
        <v>0</v>
      </c>
      <c r="C269" s="24">
        <f t="shared" ref="C269:C271" si="411">B269</f>
        <v>0</v>
      </c>
      <c r="D269" s="24">
        <f t="shared" ref="D269:D271" si="412">C269</f>
        <v>0</v>
      </c>
      <c r="E269" s="24">
        <f t="shared" ref="E269:E271" si="413">D269</f>
        <v>0</v>
      </c>
      <c r="F269" s="24">
        <f t="shared" ref="F269:F271" si="414">E269</f>
        <v>0</v>
      </c>
      <c r="G269" s="24">
        <f t="shared" ref="G269:G271" si="415">F269</f>
        <v>0</v>
      </c>
      <c r="H269" s="24">
        <f t="shared" ref="H269:H271" si="416">G269</f>
        <v>0</v>
      </c>
      <c r="I269" s="24">
        <f t="shared" ref="I269:I271" si="417">H269</f>
        <v>0</v>
      </c>
      <c r="J269" s="24">
        <f t="shared" ref="J269:J271" si="418">I269</f>
        <v>0</v>
      </c>
      <c r="K269" s="24">
        <f t="shared" ref="K269:K271" si="419">J269</f>
        <v>0</v>
      </c>
      <c r="L269" s="24">
        <f t="shared" ref="L269:L271" si="420">K269</f>
        <v>0</v>
      </c>
      <c r="M269" s="24">
        <f t="shared" ref="M269:M271" si="421">L269</f>
        <v>0</v>
      </c>
      <c r="N269" s="33">
        <f t="shared" ref="N269:N271" si="422">M269</f>
        <v>0</v>
      </c>
      <c r="O269" s="21"/>
    </row>
    <row r="270" spans="1:15">
      <c r="A270" s="1968" t="s">
        <v>1143</v>
      </c>
      <c r="B270" s="42">
        <f>'Input''s from Initial Design'!X82</f>
        <v>0</v>
      </c>
      <c r="C270" s="24">
        <f t="shared" si="411"/>
        <v>0</v>
      </c>
      <c r="D270" s="24">
        <f t="shared" si="412"/>
        <v>0</v>
      </c>
      <c r="E270" s="24">
        <f t="shared" si="413"/>
        <v>0</v>
      </c>
      <c r="F270" s="24">
        <f t="shared" si="414"/>
        <v>0</v>
      </c>
      <c r="G270" s="24">
        <f t="shared" si="415"/>
        <v>0</v>
      </c>
      <c r="H270" s="24">
        <f t="shared" si="416"/>
        <v>0</v>
      </c>
      <c r="I270" s="24">
        <f t="shared" si="417"/>
        <v>0</v>
      </c>
      <c r="J270" s="24">
        <f t="shared" si="418"/>
        <v>0</v>
      </c>
      <c r="K270" s="24">
        <f t="shared" si="419"/>
        <v>0</v>
      </c>
      <c r="L270" s="24">
        <f t="shared" si="420"/>
        <v>0</v>
      </c>
      <c r="M270" s="24">
        <f t="shared" si="421"/>
        <v>0</v>
      </c>
      <c r="N270" s="33">
        <f t="shared" si="422"/>
        <v>0</v>
      </c>
      <c r="O270" s="21"/>
    </row>
    <row r="271" spans="1:15">
      <c r="A271" s="1968" t="s">
        <v>1144</v>
      </c>
      <c r="B271" s="42">
        <f>'Input''s from Initial Design'!Y82</f>
        <v>0</v>
      </c>
      <c r="C271" s="24">
        <f t="shared" si="411"/>
        <v>0</v>
      </c>
      <c r="D271" s="24">
        <f t="shared" si="412"/>
        <v>0</v>
      </c>
      <c r="E271" s="24">
        <f t="shared" si="413"/>
        <v>0</v>
      </c>
      <c r="F271" s="24">
        <f t="shared" si="414"/>
        <v>0</v>
      </c>
      <c r="G271" s="24">
        <f t="shared" si="415"/>
        <v>0</v>
      </c>
      <c r="H271" s="24">
        <f t="shared" si="416"/>
        <v>0</v>
      </c>
      <c r="I271" s="24">
        <f t="shared" si="417"/>
        <v>0</v>
      </c>
      <c r="J271" s="24">
        <f t="shared" si="418"/>
        <v>0</v>
      </c>
      <c r="K271" s="24">
        <f t="shared" si="419"/>
        <v>0</v>
      </c>
      <c r="L271" s="24">
        <f t="shared" si="420"/>
        <v>0</v>
      </c>
      <c r="M271" s="24">
        <f t="shared" si="421"/>
        <v>0</v>
      </c>
      <c r="N271" s="33">
        <f t="shared" si="422"/>
        <v>0</v>
      </c>
      <c r="O271" s="21"/>
    </row>
    <row r="272" spans="1:15">
      <c r="A272" s="1968" t="s">
        <v>1145</v>
      </c>
      <c r="B272" s="42">
        <v>415</v>
      </c>
      <c r="C272" s="24">
        <f>+B272</f>
        <v>415</v>
      </c>
      <c r="D272" s="24">
        <f t="shared" ref="D272" si="423">+C272</f>
        <v>415</v>
      </c>
      <c r="E272" s="24">
        <f t="shared" ref="E272" si="424">+D272</f>
        <v>415</v>
      </c>
      <c r="F272" s="24">
        <f t="shared" ref="F272" si="425">+E272</f>
        <v>415</v>
      </c>
      <c r="G272" s="24">
        <f t="shared" ref="G272" si="426">+F272</f>
        <v>415</v>
      </c>
      <c r="H272" s="24">
        <f t="shared" ref="H272" si="427">+G272</f>
        <v>415</v>
      </c>
      <c r="I272" s="24">
        <f t="shared" ref="I272" si="428">+H272</f>
        <v>415</v>
      </c>
      <c r="J272" s="24">
        <f t="shared" ref="J272" si="429">+I272</f>
        <v>415</v>
      </c>
      <c r="K272" s="24">
        <f t="shared" ref="K272" si="430">+J272</f>
        <v>415</v>
      </c>
      <c r="L272" s="24">
        <f t="shared" ref="L272" si="431">+K272</f>
        <v>415</v>
      </c>
      <c r="M272" s="24">
        <f t="shared" ref="M272" si="432">+L272</f>
        <v>415</v>
      </c>
      <c r="N272" s="33">
        <f t="shared" ref="N272" si="433">+M272</f>
        <v>415</v>
      </c>
      <c r="O272" s="21"/>
    </row>
    <row r="273" spans="1:15">
      <c r="A273" s="1967" t="s">
        <v>1146</v>
      </c>
      <c r="B273" s="43"/>
      <c r="C273" s="25" t="e">
        <f t="shared" ref="C273:N273" si="434">1.732*C269*(C266/1000*1+C267/1000*0)*C270/C271</f>
        <v>#DIV/0!</v>
      </c>
      <c r="D273" s="25" t="e">
        <f t="shared" si="434"/>
        <v>#DIV/0!</v>
      </c>
      <c r="E273" s="25" t="e">
        <f t="shared" si="434"/>
        <v>#DIV/0!</v>
      </c>
      <c r="F273" s="25" t="e">
        <f t="shared" si="434"/>
        <v>#DIV/0!</v>
      </c>
      <c r="G273" s="25" t="e">
        <f t="shared" si="434"/>
        <v>#DIV/0!</v>
      </c>
      <c r="H273" s="25" t="e">
        <f t="shared" si="434"/>
        <v>#DIV/0!</v>
      </c>
      <c r="I273" s="25" t="e">
        <f t="shared" si="434"/>
        <v>#DIV/0!</v>
      </c>
      <c r="J273" s="25" t="e">
        <f t="shared" si="434"/>
        <v>#DIV/0!</v>
      </c>
      <c r="K273" s="25" t="e">
        <f t="shared" si="434"/>
        <v>#DIV/0!</v>
      </c>
      <c r="L273" s="25" t="e">
        <f t="shared" si="434"/>
        <v>#DIV/0!</v>
      </c>
      <c r="M273" s="25" t="e">
        <f t="shared" si="434"/>
        <v>#DIV/0!</v>
      </c>
      <c r="N273" s="34" t="e">
        <f t="shared" si="434"/>
        <v>#DIV/0!</v>
      </c>
      <c r="O273" s="21"/>
    </row>
    <row r="274" spans="1:15">
      <c r="A274" s="1967" t="s">
        <v>1147</v>
      </c>
      <c r="B274" s="43"/>
      <c r="C274" s="1965" t="e">
        <f>C273/C272</f>
        <v>#DIV/0!</v>
      </c>
      <c r="D274" s="1965" t="e">
        <f t="shared" ref="D274:N274" si="435">D273/D272</f>
        <v>#DIV/0!</v>
      </c>
      <c r="E274" s="1965" t="e">
        <f t="shared" si="435"/>
        <v>#DIV/0!</v>
      </c>
      <c r="F274" s="1965" t="e">
        <f t="shared" si="435"/>
        <v>#DIV/0!</v>
      </c>
      <c r="G274" s="1965" t="e">
        <f t="shared" si="435"/>
        <v>#DIV/0!</v>
      </c>
      <c r="H274" s="1965" t="e">
        <f t="shared" si="435"/>
        <v>#DIV/0!</v>
      </c>
      <c r="I274" s="1965" t="e">
        <f t="shared" si="435"/>
        <v>#DIV/0!</v>
      </c>
      <c r="J274" s="1965" t="e">
        <f t="shared" si="435"/>
        <v>#DIV/0!</v>
      </c>
      <c r="K274" s="1965" t="e">
        <f t="shared" si="435"/>
        <v>#DIV/0!</v>
      </c>
      <c r="L274" s="1965" t="e">
        <f t="shared" si="435"/>
        <v>#DIV/0!</v>
      </c>
      <c r="M274" s="1965" t="e">
        <f t="shared" si="435"/>
        <v>#DIV/0!</v>
      </c>
      <c r="N274" s="1969" t="e">
        <f t="shared" si="435"/>
        <v>#DIV/0!</v>
      </c>
      <c r="O274" s="21"/>
    </row>
    <row r="275" spans="1:15">
      <c r="A275" s="1968" t="s">
        <v>1148</v>
      </c>
      <c r="B275" s="1966">
        <v>0.02</v>
      </c>
      <c r="C275" s="24" t="e">
        <f>IF(AND((C269*1.25)&lt;(C263*C271),(C274&lt;$B$16)),"PASS","FAIL")</f>
        <v>#DIV/0!</v>
      </c>
      <c r="D275" s="24" t="e">
        <f>IF(AND((D269*1.25)&lt;(D263*D271),(D274&lt;$B$16)),"PASS","FAIL")</f>
        <v>#DIV/0!</v>
      </c>
      <c r="E275" s="24" t="e">
        <f>IF(AND((E269*1.25)&lt;(E263*E271),(E274&lt;$B$16)),"PASS","FAIL")</f>
        <v>#DIV/0!</v>
      </c>
      <c r="F275" s="24" t="e">
        <f>IF(AND((F269*1.25)&lt;(F263*F271),(F274&lt;$B$16)),"PASS","FAIL")</f>
        <v>#DIV/0!</v>
      </c>
      <c r="G275" s="24" t="e">
        <f>IF(AND((G269*1.25)&lt;(G263*G271),(G274&lt;$B$16)),"PASS","FAIL")</f>
        <v>#DIV/0!</v>
      </c>
      <c r="H275" s="24" t="e">
        <f>IF(AND((H269*1.1)&lt;(H263*H271),(H274&lt;$B$16)),"PASS","FAIL")</f>
        <v>#DIV/0!</v>
      </c>
      <c r="I275" s="24" t="e">
        <f t="shared" ref="I275:N275" si="436">IF(AND((I269*1.25)&lt;(I263*I271),(I274&lt;$B$16)),"PASS","FAIL")</f>
        <v>#DIV/0!</v>
      </c>
      <c r="J275" s="24" t="e">
        <f t="shared" si="436"/>
        <v>#DIV/0!</v>
      </c>
      <c r="K275" s="24" t="e">
        <f t="shared" si="436"/>
        <v>#DIV/0!</v>
      </c>
      <c r="L275" s="24" t="e">
        <f t="shared" si="436"/>
        <v>#DIV/0!</v>
      </c>
      <c r="M275" s="24" t="e">
        <f t="shared" si="436"/>
        <v>#DIV/0!</v>
      </c>
      <c r="N275" s="33" t="e">
        <f t="shared" si="436"/>
        <v>#DIV/0!</v>
      </c>
      <c r="O275" s="21"/>
    </row>
    <row r="276" spans="1:15" ht="18.600000000000001" thickBot="1">
      <c r="A276" s="1970" t="s">
        <v>1149</v>
      </c>
      <c r="B276" s="1971"/>
      <c r="C276" s="1972" t="e">
        <f t="shared" ref="C276:N276" si="437">IF(AND((C269*1.25)&lt;(C264*C271),(C274&lt;$B$16)),"PASS","FAIL")</f>
        <v>#DIV/0!</v>
      </c>
      <c r="D276" s="1972" t="e">
        <f t="shared" si="437"/>
        <v>#DIV/0!</v>
      </c>
      <c r="E276" s="1972" t="e">
        <f t="shared" si="437"/>
        <v>#DIV/0!</v>
      </c>
      <c r="F276" s="1972" t="e">
        <f t="shared" si="437"/>
        <v>#DIV/0!</v>
      </c>
      <c r="G276" s="1972" t="e">
        <f t="shared" si="437"/>
        <v>#DIV/0!</v>
      </c>
      <c r="H276" s="1972" t="e">
        <f t="shared" si="437"/>
        <v>#DIV/0!</v>
      </c>
      <c r="I276" s="1972" t="e">
        <f t="shared" si="437"/>
        <v>#DIV/0!</v>
      </c>
      <c r="J276" s="1972" t="e">
        <f t="shared" si="437"/>
        <v>#DIV/0!</v>
      </c>
      <c r="K276" s="1972" t="e">
        <f t="shared" si="437"/>
        <v>#DIV/0!</v>
      </c>
      <c r="L276" s="1972" t="e">
        <f t="shared" si="437"/>
        <v>#DIV/0!</v>
      </c>
      <c r="M276" s="1972" t="e">
        <f t="shared" si="437"/>
        <v>#DIV/0!</v>
      </c>
      <c r="N276" s="1973" t="e">
        <f t="shared" si="437"/>
        <v>#DIV/0!</v>
      </c>
      <c r="O276" s="21"/>
    </row>
    <row r="277" spans="1:15">
      <c r="A277" s="1963">
        <f>('Input''s from Initial Design'!W82*1000/(1.732*440*1))</f>
        <v>0</v>
      </c>
      <c r="B277" s="1964" t="s">
        <v>1150</v>
      </c>
      <c r="C277" s="26"/>
      <c r="D277" s="3213"/>
      <c r="E277" s="3213"/>
      <c r="F277" s="3213"/>
      <c r="G277" s="21"/>
      <c r="H277" s="21"/>
      <c r="I277" s="21"/>
      <c r="J277" s="21"/>
    </row>
    <row r="278" spans="1:15">
      <c r="A278" s="21"/>
      <c r="B278" s="21"/>
      <c r="C278" s="26"/>
      <c r="D278" s="21"/>
      <c r="E278" s="21">
        <v>12</v>
      </c>
      <c r="F278" s="21"/>
      <c r="G278" s="27"/>
      <c r="H278" s="21"/>
      <c r="I278" s="21"/>
      <c r="J278" s="21"/>
    </row>
    <row r="279" spans="1:15">
      <c r="A279" s="28" t="s">
        <v>1148</v>
      </c>
      <c r="B279" s="29" t="e">
        <f>IF(C275="FAIL",IF(D275="FAIL",IF(E275="FAIL",IF(F275="FAIL",IF(G275="FAIL",IF(H275="FAIL",IF(I275="FAIL",IF(J275="FAIL",IF(K275="FAIL",IF(L275="FAIL",IF(M275="FAIL","NO MATCH",$M$1),$L$1),$K$1),$J$1),$I$1),$H$1),$G$1),$F$1),$E$1),$D$1),$C$1)</f>
        <v>#DIV/0!</v>
      </c>
      <c r="C279" s="30" t="s">
        <v>1151</v>
      </c>
      <c r="D279" s="21"/>
      <c r="E279" s="21"/>
      <c r="F279" s="21"/>
      <c r="G279" s="21"/>
      <c r="H279" s="26"/>
      <c r="I279" s="21"/>
      <c r="J279" s="21"/>
      <c r="K279" s="21"/>
      <c r="L279" s="21"/>
      <c r="N279" s="21"/>
      <c r="O279" s="21"/>
    </row>
    <row r="280" spans="1:15">
      <c r="A280" s="28" t="s">
        <v>1149</v>
      </c>
      <c r="B280" s="29" t="e">
        <f>IF(C276="FAIL",IF(D276="FAIL",IF(E276="FAIL",IF(F276="FAIL",IF(G276="FAIL",IF(H276="FAIL",IF(I276="FAIL",IF(J276="FAIL",IF(K276="FAIL",IF(L276="FAIL",IF(M276="FAIL","NO MATCH",$M$1),$L$1),$K$1),$J$1),$I$1),$H$1),$G$1),$F$1),$E$1),$D$1),$C$1)</f>
        <v>#DIV/0!</v>
      </c>
      <c r="C280" s="30" t="s">
        <v>1151</v>
      </c>
      <c r="D280" s="21"/>
      <c r="E280" s="21"/>
      <c r="F280" s="21"/>
      <c r="G280" s="21"/>
      <c r="H280" s="26"/>
      <c r="I280" s="21"/>
      <c r="J280" s="21"/>
      <c r="K280" s="21"/>
      <c r="L280" s="21"/>
      <c r="N280" s="21"/>
      <c r="O280" s="21"/>
    </row>
    <row r="281" spans="1:15" ht="18.600000000000001" thickBot="1"/>
    <row r="282" spans="1:15" s="23" customFormat="1">
      <c r="A282" s="3214" t="s">
        <v>1122</v>
      </c>
      <c r="B282" s="3216"/>
      <c r="C282" s="35">
        <v>16</v>
      </c>
      <c r="D282" s="36">
        <v>25</v>
      </c>
      <c r="E282" s="36">
        <v>35</v>
      </c>
      <c r="F282" s="36">
        <v>50</v>
      </c>
      <c r="G282" s="36">
        <v>70</v>
      </c>
      <c r="H282" s="36">
        <v>95</v>
      </c>
      <c r="I282" s="36">
        <v>120</v>
      </c>
      <c r="J282" s="36">
        <v>150</v>
      </c>
      <c r="K282" s="36">
        <v>185</v>
      </c>
      <c r="L282" s="36">
        <v>240</v>
      </c>
      <c r="M282" s="36">
        <v>300</v>
      </c>
      <c r="N282" s="37">
        <v>400</v>
      </c>
      <c r="O282" s="22"/>
    </row>
    <row r="283" spans="1:15" s="23" customFormat="1" ht="18.600000000000001" thickBot="1">
      <c r="A283" s="3215"/>
      <c r="B283" s="3217"/>
      <c r="C283" s="1978" t="s">
        <v>1123</v>
      </c>
      <c r="D283" s="1979" t="s">
        <v>1124</v>
      </c>
      <c r="E283" s="1979" t="s">
        <v>1125</v>
      </c>
      <c r="F283" s="1979" t="s">
        <v>1126</v>
      </c>
      <c r="G283" s="1979" t="s">
        <v>1127</v>
      </c>
      <c r="H283" s="1979" t="s">
        <v>1128</v>
      </c>
      <c r="I283" s="1979" t="s">
        <v>1129</v>
      </c>
      <c r="J283" s="1979" t="s">
        <v>1130</v>
      </c>
      <c r="K283" s="1979" t="s">
        <v>1131</v>
      </c>
      <c r="L283" s="1979" t="s">
        <v>1132</v>
      </c>
      <c r="M283" s="1979" t="s">
        <v>1133</v>
      </c>
      <c r="N283" s="1980" t="s">
        <v>1134</v>
      </c>
      <c r="O283" s="22"/>
    </row>
    <row r="284" spans="1:15">
      <c r="A284" s="1981" t="s">
        <v>1135</v>
      </c>
      <c r="B284" s="1982"/>
      <c r="C284" s="31">
        <v>74</v>
      </c>
      <c r="D284" s="31">
        <v>94</v>
      </c>
      <c r="E284" s="31">
        <v>113</v>
      </c>
      <c r="F284" s="31">
        <v>133</v>
      </c>
      <c r="G284" s="31">
        <v>164</v>
      </c>
      <c r="H284" s="31">
        <v>196</v>
      </c>
      <c r="I284" s="31">
        <v>223</v>
      </c>
      <c r="J284" s="31">
        <v>249</v>
      </c>
      <c r="K284" s="31">
        <v>282</v>
      </c>
      <c r="L284" s="31">
        <v>326</v>
      </c>
      <c r="M284" s="31">
        <v>367</v>
      </c>
      <c r="N284" s="32">
        <v>418</v>
      </c>
      <c r="O284" s="21"/>
    </row>
    <row r="285" spans="1:15">
      <c r="A285" s="1967" t="s">
        <v>1136</v>
      </c>
      <c r="B285" s="43"/>
      <c r="C285" s="24">
        <v>74</v>
      </c>
      <c r="D285" s="24">
        <v>96</v>
      </c>
      <c r="E285" s="24">
        <v>117</v>
      </c>
      <c r="F285" s="24">
        <v>142</v>
      </c>
      <c r="G285" s="24">
        <v>179</v>
      </c>
      <c r="H285" s="24">
        <v>221</v>
      </c>
      <c r="I285" s="24">
        <v>257</v>
      </c>
      <c r="J285" s="24">
        <v>292</v>
      </c>
      <c r="K285" s="24">
        <v>337</v>
      </c>
      <c r="L285" s="24">
        <v>399</v>
      </c>
      <c r="M285" s="24">
        <v>455</v>
      </c>
      <c r="N285" s="33">
        <v>530</v>
      </c>
      <c r="O285" s="21"/>
    </row>
    <row r="286" spans="1:15" ht="22.5" customHeight="1">
      <c r="A286" s="1967" t="s">
        <v>1137</v>
      </c>
      <c r="B286" s="42">
        <v>0.7</v>
      </c>
      <c r="C286" s="24">
        <f>B286</f>
        <v>0.7</v>
      </c>
      <c r="D286" s="24">
        <f>C286</f>
        <v>0.7</v>
      </c>
      <c r="E286" s="24">
        <f t="shared" ref="E286" si="438">D286</f>
        <v>0.7</v>
      </c>
      <c r="F286" s="24">
        <f t="shared" ref="F286" si="439">E286</f>
        <v>0.7</v>
      </c>
      <c r="G286" s="24">
        <f t="shared" ref="G286" si="440">F286</f>
        <v>0.7</v>
      </c>
      <c r="H286" s="24">
        <f t="shared" ref="H286" si="441">G286</f>
        <v>0.7</v>
      </c>
      <c r="I286" s="24">
        <f t="shared" ref="I286" si="442">H286</f>
        <v>0.7</v>
      </c>
      <c r="J286" s="24">
        <f t="shared" ref="J286" si="443">I286</f>
        <v>0.7</v>
      </c>
      <c r="K286" s="24">
        <f t="shared" ref="K286" si="444">J286</f>
        <v>0.7</v>
      </c>
      <c r="L286" s="24">
        <f t="shared" ref="L286" si="445">K286</f>
        <v>0.7</v>
      </c>
      <c r="M286" s="24">
        <f>L286</f>
        <v>0.7</v>
      </c>
      <c r="N286" s="33">
        <f>M286</f>
        <v>0.7</v>
      </c>
      <c r="O286" s="21"/>
    </row>
    <row r="287" spans="1:15">
      <c r="A287" s="1967" t="s">
        <v>1138</v>
      </c>
      <c r="B287" s="43"/>
      <c r="C287" s="24">
        <f>C284*C286</f>
        <v>51.8</v>
      </c>
      <c r="D287" s="24">
        <f t="shared" ref="D287:G287" si="446">D284*D286</f>
        <v>65.8</v>
      </c>
      <c r="E287" s="24">
        <f t="shared" si="446"/>
        <v>79.099999999999994</v>
      </c>
      <c r="F287" s="24">
        <f t="shared" si="446"/>
        <v>93.1</v>
      </c>
      <c r="G287" s="24">
        <f t="shared" si="446"/>
        <v>114.8</v>
      </c>
      <c r="H287" s="24">
        <f>H284*H286</f>
        <v>137.19999999999999</v>
      </c>
      <c r="I287" s="24">
        <f t="shared" ref="I287:N287" si="447">I284*I286</f>
        <v>156.1</v>
      </c>
      <c r="J287" s="24">
        <f t="shared" si="447"/>
        <v>174.29999999999998</v>
      </c>
      <c r="K287" s="24">
        <f t="shared" si="447"/>
        <v>197.39999999999998</v>
      </c>
      <c r="L287" s="24">
        <f t="shared" si="447"/>
        <v>228.2</v>
      </c>
      <c r="M287" s="24">
        <f t="shared" si="447"/>
        <v>256.89999999999998</v>
      </c>
      <c r="N287" s="33">
        <f t="shared" si="447"/>
        <v>292.59999999999997</v>
      </c>
      <c r="O287" s="21"/>
    </row>
    <row r="288" spans="1:15">
      <c r="A288" s="1967" t="s">
        <v>1139</v>
      </c>
      <c r="B288" s="43"/>
      <c r="C288" s="24">
        <f>C285*C286</f>
        <v>51.8</v>
      </c>
      <c r="D288" s="24">
        <f>D285*D286</f>
        <v>67.199999999999989</v>
      </c>
      <c r="E288" s="24">
        <f t="shared" ref="E288:G288" si="448">E285*E286</f>
        <v>81.899999999999991</v>
      </c>
      <c r="F288" s="24">
        <f t="shared" si="448"/>
        <v>99.399999999999991</v>
      </c>
      <c r="G288" s="24">
        <f t="shared" si="448"/>
        <v>125.3</v>
      </c>
      <c r="H288" s="24">
        <f>H285*H286</f>
        <v>154.69999999999999</v>
      </c>
      <c r="I288" s="24">
        <f t="shared" ref="I288:N288" si="449">I285*I286</f>
        <v>179.89999999999998</v>
      </c>
      <c r="J288" s="24">
        <f t="shared" si="449"/>
        <v>204.39999999999998</v>
      </c>
      <c r="K288" s="24">
        <f t="shared" si="449"/>
        <v>235.89999999999998</v>
      </c>
      <c r="L288" s="24">
        <f t="shared" si="449"/>
        <v>279.29999999999995</v>
      </c>
      <c r="M288" s="24">
        <f t="shared" si="449"/>
        <v>318.5</v>
      </c>
      <c r="N288" s="33">
        <f t="shared" si="449"/>
        <v>371</v>
      </c>
      <c r="O288" s="21"/>
    </row>
    <row r="289" spans="1:15">
      <c r="A289" s="1967"/>
      <c r="B289" s="43"/>
      <c r="C289" s="24"/>
      <c r="D289" s="24"/>
      <c r="E289" s="24"/>
      <c r="F289" s="24"/>
      <c r="G289" s="24"/>
      <c r="H289" s="24"/>
      <c r="I289" s="24"/>
      <c r="J289" s="24"/>
      <c r="K289" s="24"/>
      <c r="L289" s="24"/>
      <c r="M289" s="24"/>
      <c r="N289" s="33"/>
      <c r="O289" s="21"/>
    </row>
    <row r="290" spans="1:15">
      <c r="A290" s="1967" t="s">
        <v>1140</v>
      </c>
      <c r="B290" s="43"/>
      <c r="C290" s="24">
        <v>2.44</v>
      </c>
      <c r="D290" s="24">
        <v>1.54</v>
      </c>
      <c r="E290" s="24">
        <v>1.1100000000000001</v>
      </c>
      <c r="F290" s="24">
        <v>0.82</v>
      </c>
      <c r="G290" s="24">
        <v>0.56699999999999995</v>
      </c>
      <c r="H290" s="24">
        <v>0.41</v>
      </c>
      <c r="I290" s="24">
        <v>0.32400000000000001</v>
      </c>
      <c r="J290" s="24">
        <v>0.26400000000000001</v>
      </c>
      <c r="K290" s="24">
        <v>0.21</v>
      </c>
      <c r="L290" s="24">
        <v>0.16</v>
      </c>
      <c r="M290" s="24">
        <v>0.128</v>
      </c>
      <c r="N290" s="33">
        <v>0.1</v>
      </c>
      <c r="O290" s="21"/>
    </row>
    <row r="291" spans="1:15">
      <c r="A291" s="1967" t="s">
        <v>1141</v>
      </c>
      <c r="B291" s="43"/>
      <c r="C291" s="24">
        <v>8.0799999999999997E-2</v>
      </c>
      <c r="D291" s="24">
        <v>8.0500000000000002E-2</v>
      </c>
      <c r="E291" s="24">
        <v>7.8299999999999995E-2</v>
      </c>
      <c r="F291" s="24">
        <v>7.4999999999999997E-2</v>
      </c>
      <c r="G291" s="24">
        <v>7.3999999999999996E-2</v>
      </c>
      <c r="H291" s="24">
        <v>7.2400000000000006E-2</v>
      </c>
      <c r="I291" s="24">
        <v>7.1199999999999999E-2</v>
      </c>
      <c r="J291" s="24">
        <v>7.1599999999999997E-2</v>
      </c>
      <c r="K291" s="24">
        <v>7.1800000000000003E-2</v>
      </c>
      <c r="L291" s="24">
        <v>7.0999999999999994E-2</v>
      </c>
      <c r="M291" s="24">
        <v>7.0499999999999993E-2</v>
      </c>
      <c r="N291" s="33">
        <v>7.0400000000000004E-2</v>
      </c>
      <c r="O291" s="21"/>
    </row>
    <row r="292" spans="1:15">
      <c r="A292" s="1967"/>
      <c r="B292" s="43"/>
      <c r="C292" s="24"/>
      <c r="D292" s="24"/>
      <c r="E292" s="24"/>
      <c r="F292" s="24"/>
      <c r="G292" s="24"/>
      <c r="H292" s="24"/>
      <c r="I292" s="24"/>
      <c r="J292" s="24"/>
      <c r="K292" s="24"/>
      <c r="L292" s="24"/>
      <c r="M292" s="24"/>
      <c r="N292" s="33"/>
      <c r="O292" s="21"/>
    </row>
    <row r="293" spans="1:15" ht="24.75" customHeight="1">
      <c r="A293" s="1968" t="s">
        <v>1142</v>
      </c>
      <c r="B293" s="41">
        <f>A301</f>
        <v>0</v>
      </c>
      <c r="C293" s="24">
        <f t="shared" ref="C293:C295" si="450">B293</f>
        <v>0</v>
      </c>
      <c r="D293" s="24">
        <f t="shared" ref="D293:D295" si="451">C293</f>
        <v>0</v>
      </c>
      <c r="E293" s="24">
        <f t="shared" ref="E293:E295" si="452">D293</f>
        <v>0</v>
      </c>
      <c r="F293" s="24">
        <f t="shared" ref="F293:F295" si="453">E293</f>
        <v>0</v>
      </c>
      <c r="G293" s="24">
        <f t="shared" ref="G293:G295" si="454">F293</f>
        <v>0</v>
      </c>
      <c r="H293" s="24">
        <f t="shared" ref="H293:H295" si="455">G293</f>
        <v>0</v>
      </c>
      <c r="I293" s="24">
        <f t="shared" ref="I293:I295" si="456">H293</f>
        <v>0</v>
      </c>
      <c r="J293" s="24">
        <f t="shared" ref="J293:J295" si="457">I293</f>
        <v>0</v>
      </c>
      <c r="K293" s="24">
        <f t="shared" ref="K293:K295" si="458">J293</f>
        <v>0</v>
      </c>
      <c r="L293" s="24">
        <f t="shared" ref="L293:L295" si="459">K293</f>
        <v>0</v>
      </c>
      <c r="M293" s="24">
        <f t="shared" ref="M293:M295" si="460">L293</f>
        <v>0</v>
      </c>
      <c r="N293" s="33">
        <f t="shared" ref="N293:N295" si="461">M293</f>
        <v>0</v>
      </c>
      <c r="O293" s="21"/>
    </row>
    <row r="294" spans="1:15">
      <c r="A294" s="1968" t="s">
        <v>1143</v>
      </c>
      <c r="B294" s="42">
        <f>'Input''s from Initial Design'!X84</f>
        <v>0</v>
      </c>
      <c r="C294" s="24">
        <f t="shared" si="450"/>
        <v>0</v>
      </c>
      <c r="D294" s="24">
        <f t="shared" si="451"/>
        <v>0</v>
      </c>
      <c r="E294" s="24">
        <f t="shared" si="452"/>
        <v>0</v>
      </c>
      <c r="F294" s="24">
        <f t="shared" si="453"/>
        <v>0</v>
      </c>
      <c r="G294" s="24">
        <f t="shared" si="454"/>
        <v>0</v>
      </c>
      <c r="H294" s="24">
        <f t="shared" si="455"/>
        <v>0</v>
      </c>
      <c r="I294" s="24">
        <f t="shared" si="456"/>
        <v>0</v>
      </c>
      <c r="J294" s="24">
        <f t="shared" si="457"/>
        <v>0</v>
      </c>
      <c r="K294" s="24">
        <f t="shared" si="458"/>
        <v>0</v>
      </c>
      <c r="L294" s="24">
        <f t="shared" si="459"/>
        <v>0</v>
      </c>
      <c r="M294" s="24">
        <f t="shared" si="460"/>
        <v>0</v>
      </c>
      <c r="N294" s="33">
        <f t="shared" si="461"/>
        <v>0</v>
      </c>
      <c r="O294" s="21"/>
    </row>
    <row r="295" spans="1:15">
      <c r="A295" s="1968" t="s">
        <v>1144</v>
      </c>
      <c r="B295" s="42">
        <f>'Input''s from Initial Design'!Y84</f>
        <v>0</v>
      </c>
      <c r="C295" s="24">
        <f t="shared" si="450"/>
        <v>0</v>
      </c>
      <c r="D295" s="24">
        <f t="shared" si="451"/>
        <v>0</v>
      </c>
      <c r="E295" s="24">
        <f t="shared" si="452"/>
        <v>0</v>
      </c>
      <c r="F295" s="24">
        <f t="shared" si="453"/>
        <v>0</v>
      </c>
      <c r="G295" s="24">
        <f t="shared" si="454"/>
        <v>0</v>
      </c>
      <c r="H295" s="24">
        <f t="shared" si="455"/>
        <v>0</v>
      </c>
      <c r="I295" s="24">
        <f t="shared" si="456"/>
        <v>0</v>
      </c>
      <c r="J295" s="24">
        <f t="shared" si="457"/>
        <v>0</v>
      </c>
      <c r="K295" s="24">
        <f t="shared" si="458"/>
        <v>0</v>
      </c>
      <c r="L295" s="24">
        <f t="shared" si="459"/>
        <v>0</v>
      </c>
      <c r="M295" s="24">
        <f t="shared" si="460"/>
        <v>0</v>
      </c>
      <c r="N295" s="33">
        <f t="shared" si="461"/>
        <v>0</v>
      </c>
      <c r="O295" s="21"/>
    </row>
    <row r="296" spans="1:15">
      <c r="A296" s="1968" t="s">
        <v>1145</v>
      </c>
      <c r="B296" s="42">
        <v>415</v>
      </c>
      <c r="C296" s="24">
        <f>+B296</f>
        <v>415</v>
      </c>
      <c r="D296" s="24">
        <f t="shared" ref="D296" si="462">+C296</f>
        <v>415</v>
      </c>
      <c r="E296" s="24">
        <f t="shared" ref="E296" si="463">+D296</f>
        <v>415</v>
      </c>
      <c r="F296" s="24">
        <f t="shared" ref="F296" si="464">+E296</f>
        <v>415</v>
      </c>
      <c r="G296" s="24">
        <f t="shared" ref="G296" si="465">+F296</f>
        <v>415</v>
      </c>
      <c r="H296" s="24">
        <f t="shared" ref="H296" si="466">+G296</f>
        <v>415</v>
      </c>
      <c r="I296" s="24">
        <f t="shared" ref="I296" si="467">+H296</f>
        <v>415</v>
      </c>
      <c r="J296" s="24">
        <f t="shared" ref="J296" si="468">+I296</f>
        <v>415</v>
      </c>
      <c r="K296" s="24">
        <f t="shared" ref="K296" si="469">+J296</f>
        <v>415</v>
      </c>
      <c r="L296" s="24">
        <f t="shared" ref="L296" si="470">+K296</f>
        <v>415</v>
      </c>
      <c r="M296" s="24">
        <f t="shared" ref="M296" si="471">+L296</f>
        <v>415</v>
      </c>
      <c r="N296" s="33">
        <f t="shared" ref="N296" si="472">+M296</f>
        <v>415</v>
      </c>
      <c r="O296" s="21"/>
    </row>
    <row r="297" spans="1:15">
      <c r="A297" s="1967" t="s">
        <v>1146</v>
      </c>
      <c r="B297" s="43"/>
      <c r="C297" s="25" t="e">
        <f t="shared" ref="C297:N297" si="473">1.732*C293*(C290/1000*1+C291/1000*0)*C294/C295</f>
        <v>#DIV/0!</v>
      </c>
      <c r="D297" s="25" t="e">
        <f t="shared" si="473"/>
        <v>#DIV/0!</v>
      </c>
      <c r="E297" s="25" t="e">
        <f t="shared" si="473"/>
        <v>#DIV/0!</v>
      </c>
      <c r="F297" s="25" t="e">
        <f t="shared" si="473"/>
        <v>#DIV/0!</v>
      </c>
      <c r="G297" s="25" t="e">
        <f t="shared" si="473"/>
        <v>#DIV/0!</v>
      </c>
      <c r="H297" s="25" t="e">
        <f t="shared" si="473"/>
        <v>#DIV/0!</v>
      </c>
      <c r="I297" s="25" t="e">
        <f t="shared" si="473"/>
        <v>#DIV/0!</v>
      </c>
      <c r="J297" s="25" t="e">
        <f t="shared" si="473"/>
        <v>#DIV/0!</v>
      </c>
      <c r="K297" s="25" t="e">
        <f t="shared" si="473"/>
        <v>#DIV/0!</v>
      </c>
      <c r="L297" s="25" t="e">
        <f t="shared" si="473"/>
        <v>#DIV/0!</v>
      </c>
      <c r="M297" s="25" t="e">
        <f t="shared" si="473"/>
        <v>#DIV/0!</v>
      </c>
      <c r="N297" s="34" t="e">
        <f t="shared" si="473"/>
        <v>#DIV/0!</v>
      </c>
      <c r="O297" s="21"/>
    </row>
    <row r="298" spans="1:15">
      <c r="A298" s="1967" t="s">
        <v>1147</v>
      </c>
      <c r="B298" s="43"/>
      <c r="C298" s="1965" t="e">
        <f>C297/C296</f>
        <v>#DIV/0!</v>
      </c>
      <c r="D298" s="1965" t="e">
        <f t="shared" ref="D298:N298" si="474">D297/D296</f>
        <v>#DIV/0!</v>
      </c>
      <c r="E298" s="1965" t="e">
        <f t="shared" si="474"/>
        <v>#DIV/0!</v>
      </c>
      <c r="F298" s="1965" t="e">
        <f t="shared" si="474"/>
        <v>#DIV/0!</v>
      </c>
      <c r="G298" s="1965" t="e">
        <f t="shared" si="474"/>
        <v>#DIV/0!</v>
      </c>
      <c r="H298" s="1965" t="e">
        <f t="shared" si="474"/>
        <v>#DIV/0!</v>
      </c>
      <c r="I298" s="1965" t="e">
        <f t="shared" si="474"/>
        <v>#DIV/0!</v>
      </c>
      <c r="J298" s="1965" t="e">
        <f t="shared" si="474"/>
        <v>#DIV/0!</v>
      </c>
      <c r="K298" s="1965" t="e">
        <f t="shared" si="474"/>
        <v>#DIV/0!</v>
      </c>
      <c r="L298" s="1965" t="e">
        <f t="shared" si="474"/>
        <v>#DIV/0!</v>
      </c>
      <c r="M298" s="1965" t="e">
        <f t="shared" si="474"/>
        <v>#DIV/0!</v>
      </c>
      <c r="N298" s="1969" t="e">
        <f t="shared" si="474"/>
        <v>#DIV/0!</v>
      </c>
      <c r="O298" s="21"/>
    </row>
    <row r="299" spans="1:15">
      <c r="A299" s="1968" t="s">
        <v>1148</v>
      </c>
      <c r="B299" s="1966">
        <v>0.02</v>
      </c>
      <c r="C299" s="24" t="e">
        <f>IF(AND((C293*1.25)&lt;(C287*C295),(C298&lt;$B$16)),"PASS","FAIL")</f>
        <v>#DIV/0!</v>
      </c>
      <c r="D299" s="24" t="e">
        <f>IF(AND((D293*1.25)&lt;(D287*D295),(D298&lt;$B$16)),"PASS","FAIL")</f>
        <v>#DIV/0!</v>
      </c>
      <c r="E299" s="24" t="e">
        <f>IF(AND((E293*1.25)&lt;(E287*E295),(E298&lt;$B$16)),"PASS","FAIL")</f>
        <v>#DIV/0!</v>
      </c>
      <c r="F299" s="24" t="e">
        <f>IF(AND((F293*1.25)&lt;(F287*F295),(F298&lt;$B$16)),"PASS","FAIL")</f>
        <v>#DIV/0!</v>
      </c>
      <c r="G299" s="24" t="e">
        <f>IF(AND((G293*1.25)&lt;(G287*G295),(G298&lt;$B$16)),"PASS","FAIL")</f>
        <v>#DIV/0!</v>
      </c>
      <c r="H299" s="24" t="e">
        <f>IF(AND((H293*1.1)&lt;(H287*H295),(H298&lt;$B$16)),"PASS","FAIL")</f>
        <v>#DIV/0!</v>
      </c>
      <c r="I299" s="24" t="e">
        <f t="shared" ref="I299:N299" si="475">IF(AND((I293*1.25)&lt;(I287*I295),(I298&lt;$B$16)),"PASS","FAIL")</f>
        <v>#DIV/0!</v>
      </c>
      <c r="J299" s="24" t="e">
        <f t="shared" si="475"/>
        <v>#DIV/0!</v>
      </c>
      <c r="K299" s="24" t="e">
        <f t="shared" si="475"/>
        <v>#DIV/0!</v>
      </c>
      <c r="L299" s="24" t="e">
        <f t="shared" si="475"/>
        <v>#DIV/0!</v>
      </c>
      <c r="M299" s="24" t="e">
        <f t="shared" si="475"/>
        <v>#DIV/0!</v>
      </c>
      <c r="N299" s="33" t="e">
        <f t="shared" si="475"/>
        <v>#DIV/0!</v>
      </c>
      <c r="O299" s="21"/>
    </row>
    <row r="300" spans="1:15" ht="18.600000000000001" thickBot="1">
      <c r="A300" s="1970" t="s">
        <v>1149</v>
      </c>
      <c r="B300" s="1971"/>
      <c r="C300" s="1972" t="e">
        <f t="shared" ref="C300:N300" si="476">IF(AND((C293*1.25)&lt;(C288*C295),(C298&lt;$B$16)),"PASS","FAIL")</f>
        <v>#DIV/0!</v>
      </c>
      <c r="D300" s="1972" t="e">
        <f t="shared" si="476"/>
        <v>#DIV/0!</v>
      </c>
      <c r="E300" s="1972" t="e">
        <f t="shared" si="476"/>
        <v>#DIV/0!</v>
      </c>
      <c r="F300" s="1972" t="e">
        <f t="shared" si="476"/>
        <v>#DIV/0!</v>
      </c>
      <c r="G300" s="1972" t="e">
        <f t="shared" si="476"/>
        <v>#DIV/0!</v>
      </c>
      <c r="H300" s="1972" t="e">
        <f t="shared" si="476"/>
        <v>#DIV/0!</v>
      </c>
      <c r="I300" s="1972" t="e">
        <f t="shared" si="476"/>
        <v>#DIV/0!</v>
      </c>
      <c r="J300" s="1972" t="e">
        <f t="shared" si="476"/>
        <v>#DIV/0!</v>
      </c>
      <c r="K300" s="1972" t="e">
        <f t="shared" si="476"/>
        <v>#DIV/0!</v>
      </c>
      <c r="L300" s="1972" t="e">
        <f t="shared" si="476"/>
        <v>#DIV/0!</v>
      </c>
      <c r="M300" s="1972" t="e">
        <f t="shared" si="476"/>
        <v>#DIV/0!</v>
      </c>
      <c r="N300" s="1973" t="e">
        <f t="shared" si="476"/>
        <v>#DIV/0!</v>
      </c>
      <c r="O300" s="21"/>
    </row>
    <row r="301" spans="1:15">
      <c r="A301" s="1963">
        <f>('Input''s from Initial Design'!W84*1000/(1.732*440*1))</f>
        <v>0</v>
      </c>
      <c r="B301" s="1964" t="s">
        <v>1150</v>
      </c>
      <c r="C301" s="26"/>
      <c r="D301" s="3213"/>
      <c r="E301" s="3213"/>
      <c r="F301" s="3213"/>
      <c r="G301" s="21"/>
      <c r="H301" s="21"/>
      <c r="I301" s="21"/>
      <c r="J301" s="21"/>
    </row>
    <row r="302" spans="1:15">
      <c r="A302" s="21"/>
      <c r="B302" s="21"/>
      <c r="C302" s="26"/>
      <c r="D302" s="21"/>
      <c r="E302" s="21">
        <v>13</v>
      </c>
      <c r="F302" s="21"/>
      <c r="G302" s="27"/>
      <c r="H302" s="21"/>
      <c r="I302" s="21"/>
      <c r="J302" s="21"/>
    </row>
    <row r="303" spans="1:15">
      <c r="A303" s="28" t="s">
        <v>1148</v>
      </c>
      <c r="B303" s="29" t="e">
        <f>IF(C299="FAIL",IF(D299="FAIL",IF(E299="FAIL",IF(F299="FAIL",IF(G299="FAIL",IF(H299="FAIL",IF(I299="FAIL",IF(J299="FAIL",IF(K299="FAIL",IF(L299="FAIL",IF(M299="FAIL","NO MATCH",$M$1),$L$1),$K$1),$J$1),$I$1),$H$1),$G$1),$F$1),$E$1),$D$1),$C$1)</f>
        <v>#DIV/0!</v>
      </c>
      <c r="C303" s="30" t="s">
        <v>1151</v>
      </c>
      <c r="D303" s="21"/>
      <c r="E303" s="21"/>
      <c r="F303" s="21"/>
      <c r="G303" s="21"/>
      <c r="H303" s="26"/>
      <c r="I303" s="21"/>
      <c r="J303" s="21"/>
      <c r="K303" s="21"/>
      <c r="L303" s="21"/>
      <c r="N303" s="21"/>
      <c r="O303" s="21"/>
    </row>
    <row r="304" spans="1:15">
      <c r="A304" s="28" t="s">
        <v>1149</v>
      </c>
      <c r="B304" s="29" t="e">
        <f>IF(C300="FAIL",IF(D300="FAIL",IF(E300="FAIL",IF(F300="FAIL",IF(G300="FAIL",IF(H300="FAIL",IF(I300="FAIL",IF(J300="FAIL",IF(K300="FAIL",IF(L300="FAIL",IF(M300="FAIL","NO MATCH",$M$1),$L$1),$K$1),$J$1),$I$1),$H$1),$G$1),$F$1),$E$1),$D$1),$C$1)</f>
        <v>#DIV/0!</v>
      </c>
      <c r="C304" s="30" t="s">
        <v>1151</v>
      </c>
      <c r="D304" s="21"/>
      <c r="E304" s="21"/>
      <c r="F304" s="21"/>
      <c r="G304" s="21"/>
      <c r="H304" s="26"/>
      <c r="I304" s="21"/>
      <c r="J304" s="21"/>
      <c r="K304" s="21"/>
      <c r="L304" s="21"/>
      <c r="N304" s="21"/>
      <c r="O304" s="21"/>
    </row>
    <row r="305" spans="1:15" ht="18.600000000000001" thickBot="1">
      <c r="A305" s="21"/>
      <c r="B305" s="21"/>
      <c r="C305" s="21"/>
      <c r="D305" s="21"/>
      <c r="E305" s="21"/>
      <c r="F305" s="21"/>
      <c r="G305" s="21"/>
      <c r="H305" s="26"/>
      <c r="I305" s="21"/>
      <c r="J305" s="21"/>
      <c r="K305" s="21"/>
      <c r="L305" s="21"/>
      <c r="N305" s="21"/>
      <c r="O305" s="21"/>
    </row>
    <row r="306" spans="1:15" s="23" customFormat="1">
      <c r="A306" s="3214" t="s">
        <v>1122</v>
      </c>
      <c r="B306" s="3216"/>
      <c r="C306" s="35">
        <v>16</v>
      </c>
      <c r="D306" s="36">
        <v>25</v>
      </c>
      <c r="E306" s="36">
        <v>35</v>
      </c>
      <c r="F306" s="36">
        <v>50</v>
      </c>
      <c r="G306" s="36">
        <v>70</v>
      </c>
      <c r="H306" s="36">
        <v>95</v>
      </c>
      <c r="I306" s="36">
        <v>120</v>
      </c>
      <c r="J306" s="36">
        <v>150</v>
      </c>
      <c r="K306" s="36">
        <v>185</v>
      </c>
      <c r="L306" s="36">
        <v>240</v>
      </c>
      <c r="M306" s="36">
        <v>300</v>
      </c>
      <c r="N306" s="37">
        <v>400</v>
      </c>
      <c r="O306" s="22"/>
    </row>
    <row r="307" spans="1:15" s="23" customFormat="1" ht="18.600000000000001" thickBot="1">
      <c r="A307" s="3215"/>
      <c r="B307" s="3217"/>
      <c r="C307" s="1978" t="s">
        <v>1123</v>
      </c>
      <c r="D307" s="1979" t="s">
        <v>1124</v>
      </c>
      <c r="E307" s="1979" t="s">
        <v>1125</v>
      </c>
      <c r="F307" s="1979" t="s">
        <v>1126</v>
      </c>
      <c r="G307" s="1979" t="s">
        <v>1127</v>
      </c>
      <c r="H307" s="1979" t="s">
        <v>1128</v>
      </c>
      <c r="I307" s="1979" t="s">
        <v>1129</v>
      </c>
      <c r="J307" s="1979" t="s">
        <v>1130</v>
      </c>
      <c r="K307" s="1979" t="s">
        <v>1131</v>
      </c>
      <c r="L307" s="1979" t="s">
        <v>1132</v>
      </c>
      <c r="M307" s="1979" t="s">
        <v>1133</v>
      </c>
      <c r="N307" s="1980" t="s">
        <v>1134</v>
      </c>
      <c r="O307" s="22"/>
    </row>
    <row r="308" spans="1:15">
      <c r="A308" s="1981" t="s">
        <v>1135</v>
      </c>
      <c r="B308" s="1982"/>
      <c r="C308" s="31">
        <v>74</v>
      </c>
      <c r="D308" s="31">
        <v>94</v>
      </c>
      <c r="E308" s="31">
        <v>113</v>
      </c>
      <c r="F308" s="31">
        <v>133</v>
      </c>
      <c r="G308" s="31">
        <v>164</v>
      </c>
      <c r="H308" s="31">
        <v>196</v>
      </c>
      <c r="I308" s="31">
        <v>223</v>
      </c>
      <c r="J308" s="31">
        <v>249</v>
      </c>
      <c r="K308" s="31">
        <v>282</v>
      </c>
      <c r="L308" s="31">
        <v>326</v>
      </c>
      <c r="M308" s="31">
        <v>367</v>
      </c>
      <c r="N308" s="32">
        <v>418</v>
      </c>
      <c r="O308" s="21"/>
    </row>
    <row r="309" spans="1:15">
      <c r="A309" s="1967" t="s">
        <v>1136</v>
      </c>
      <c r="B309" s="43"/>
      <c r="C309" s="24">
        <v>74</v>
      </c>
      <c r="D309" s="24">
        <v>96</v>
      </c>
      <c r="E309" s="24">
        <v>117</v>
      </c>
      <c r="F309" s="24">
        <v>142</v>
      </c>
      <c r="G309" s="24">
        <v>179</v>
      </c>
      <c r="H309" s="24">
        <v>221</v>
      </c>
      <c r="I309" s="24">
        <v>257</v>
      </c>
      <c r="J309" s="24">
        <v>292</v>
      </c>
      <c r="K309" s="24">
        <v>337</v>
      </c>
      <c r="L309" s="24">
        <v>399</v>
      </c>
      <c r="M309" s="24">
        <v>455</v>
      </c>
      <c r="N309" s="33">
        <v>530</v>
      </c>
      <c r="O309" s="21"/>
    </row>
    <row r="310" spans="1:15" ht="22.5" customHeight="1">
      <c r="A310" s="1967" t="s">
        <v>1137</v>
      </c>
      <c r="B310" s="42">
        <v>0.7</v>
      </c>
      <c r="C310" s="24">
        <f>B310</f>
        <v>0.7</v>
      </c>
      <c r="D310" s="24">
        <f>C310</f>
        <v>0.7</v>
      </c>
      <c r="E310" s="24">
        <f t="shared" ref="E310" si="477">D310</f>
        <v>0.7</v>
      </c>
      <c r="F310" s="24">
        <f t="shared" ref="F310" si="478">E310</f>
        <v>0.7</v>
      </c>
      <c r="G310" s="24">
        <f t="shared" ref="G310" si="479">F310</f>
        <v>0.7</v>
      </c>
      <c r="H310" s="24">
        <f t="shared" ref="H310" si="480">G310</f>
        <v>0.7</v>
      </c>
      <c r="I310" s="24">
        <f t="shared" ref="I310" si="481">H310</f>
        <v>0.7</v>
      </c>
      <c r="J310" s="24">
        <f t="shared" ref="J310" si="482">I310</f>
        <v>0.7</v>
      </c>
      <c r="K310" s="24">
        <f t="shared" ref="K310" si="483">J310</f>
        <v>0.7</v>
      </c>
      <c r="L310" s="24">
        <f t="shared" ref="L310" si="484">K310</f>
        <v>0.7</v>
      </c>
      <c r="M310" s="24">
        <f>L310</f>
        <v>0.7</v>
      </c>
      <c r="N310" s="33">
        <f>M310</f>
        <v>0.7</v>
      </c>
      <c r="O310" s="21"/>
    </row>
    <row r="311" spans="1:15">
      <c r="A311" s="1967" t="s">
        <v>1138</v>
      </c>
      <c r="B311" s="43"/>
      <c r="C311" s="24">
        <f>C308*C310</f>
        <v>51.8</v>
      </c>
      <c r="D311" s="24">
        <f t="shared" ref="D311:G311" si="485">D308*D310</f>
        <v>65.8</v>
      </c>
      <c r="E311" s="24">
        <f t="shared" si="485"/>
        <v>79.099999999999994</v>
      </c>
      <c r="F311" s="24">
        <f t="shared" si="485"/>
        <v>93.1</v>
      </c>
      <c r="G311" s="24">
        <f t="shared" si="485"/>
        <v>114.8</v>
      </c>
      <c r="H311" s="24">
        <f>H308*H310</f>
        <v>137.19999999999999</v>
      </c>
      <c r="I311" s="24">
        <f t="shared" ref="I311:N311" si="486">I308*I310</f>
        <v>156.1</v>
      </c>
      <c r="J311" s="24">
        <f t="shared" si="486"/>
        <v>174.29999999999998</v>
      </c>
      <c r="K311" s="24">
        <f t="shared" si="486"/>
        <v>197.39999999999998</v>
      </c>
      <c r="L311" s="24">
        <f t="shared" si="486"/>
        <v>228.2</v>
      </c>
      <c r="M311" s="24">
        <f t="shared" si="486"/>
        <v>256.89999999999998</v>
      </c>
      <c r="N311" s="33">
        <f t="shared" si="486"/>
        <v>292.59999999999997</v>
      </c>
      <c r="O311" s="21"/>
    </row>
    <row r="312" spans="1:15">
      <c r="A312" s="1967" t="s">
        <v>1139</v>
      </c>
      <c r="B312" s="43"/>
      <c r="C312" s="24">
        <f>C309*C310</f>
        <v>51.8</v>
      </c>
      <c r="D312" s="24">
        <f>D309*D310</f>
        <v>67.199999999999989</v>
      </c>
      <c r="E312" s="24">
        <f t="shared" ref="E312:G312" si="487">E309*E310</f>
        <v>81.899999999999991</v>
      </c>
      <c r="F312" s="24">
        <f t="shared" si="487"/>
        <v>99.399999999999991</v>
      </c>
      <c r="G312" s="24">
        <f t="shared" si="487"/>
        <v>125.3</v>
      </c>
      <c r="H312" s="24">
        <f>H309*H310</f>
        <v>154.69999999999999</v>
      </c>
      <c r="I312" s="24">
        <f t="shared" ref="I312:N312" si="488">I309*I310</f>
        <v>179.89999999999998</v>
      </c>
      <c r="J312" s="24">
        <f t="shared" si="488"/>
        <v>204.39999999999998</v>
      </c>
      <c r="K312" s="24">
        <f t="shared" si="488"/>
        <v>235.89999999999998</v>
      </c>
      <c r="L312" s="24">
        <f t="shared" si="488"/>
        <v>279.29999999999995</v>
      </c>
      <c r="M312" s="24">
        <f t="shared" si="488"/>
        <v>318.5</v>
      </c>
      <c r="N312" s="33">
        <f t="shared" si="488"/>
        <v>371</v>
      </c>
      <c r="O312" s="21"/>
    </row>
    <row r="313" spans="1:15">
      <c r="A313" s="1967"/>
      <c r="B313" s="43"/>
      <c r="C313" s="24"/>
      <c r="D313" s="24"/>
      <c r="E313" s="24"/>
      <c r="F313" s="24"/>
      <c r="G313" s="24"/>
      <c r="H313" s="24"/>
      <c r="I313" s="24"/>
      <c r="J313" s="24"/>
      <c r="K313" s="24"/>
      <c r="L313" s="24"/>
      <c r="M313" s="24"/>
      <c r="N313" s="33"/>
      <c r="O313" s="21"/>
    </row>
    <row r="314" spans="1:15">
      <c r="A314" s="1967" t="s">
        <v>1140</v>
      </c>
      <c r="B314" s="43"/>
      <c r="C314" s="24">
        <v>2.44</v>
      </c>
      <c r="D314" s="24">
        <v>1.54</v>
      </c>
      <c r="E314" s="24">
        <v>1.1100000000000001</v>
      </c>
      <c r="F314" s="24">
        <v>0.82</v>
      </c>
      <c r="G314" s="24">
        <v>0.56699999999999995</v>
      </c>
      <c r="H314" s="24">
        <v>0.41</v>
      </c>
      <c r="I314" s="24">
        <v>0.32400000000000001</v>
      </c>
      <c r="J314" s="24">
        <v>0.26400000000000001</v>
      </c>
      <c r="K314" s="24">
        <v>0.21</v>
      </c>
      <c r="L314" s="24">
        <v>0.16</v>
      </c>
      <c r="M314" s="24">
        <v>0.128</v>
      </c>
      <c r="N314" s="33">
        <v>0.1</v>
      </c>
      <c r="O314" s="21"/>
    </row>
    <row r="315" spans="1:15">
      <c r="A315" s="1967" t="s">
        <v>1141</v>
      </c>
      <c r="B315" s="43"/>
      <c r="C315" s="24">
        <v>8.0799999999999997E-2</v>
      </c>
      <c r="D315" s="24">
        <v>8.0500000000000002E-2</v>
      </c>
      <c r="E315" s="24">
        <v>7.8299999999999995E-2</v>
      </c>
      <c r="F315" s="24">
        <v>7.4999999999999997E-2</v>
      </c>
      <c r="G315" s="24">
        <v>7.3999999999999996E-2</v>
      </c>
      <c r="H315" s="24">
        <v>7.2400000000000006E-2</v>
      </c>
      <c r="I315" s="24">
        <v>7.1199999999999999E-2</v>
      </c>
      <c r="J315" s="24">
        <v>7.1599999999999997E-2</v>
      </c>
      <c r="K315" s="24">
        <v>7.1800000000000003E-2</v>
      </c>
      <c r="L315" s="24">
        <v>7.0999999999999994E-2</v>
      </c>
      <c r="M315" s="24">
        <v>7.0499999999999993E-2</v>
      </c>
      <c r="N315" s="33">
        <v>7.0400000000000004E-2</v>
      </c>
      <c r="O315" s="21"/>
    </row>
    <row r="316" spans="1:15">
      <c r="A316" s="1967"/>
      <c r="B316" s="43"/>
      <c r="C316" s="24"/>
      <c r="D316" s="24"/>
      <c r="E316" s="24"/>
      <c r="F316" s="24"/>
      <c r="G316" s="24"/>
      <c r="H316" s="24"/>
      <c r="I316" s="24"/>
      <c r="J316" s="24"/>
      <c r="K316" s="24"/>
      <c r="L316" s="24"/>
      <c r="M316" s="24"/>
      <c r="N316" s="33"/>
      <c r="O316" s="21"/>
    </row>
    <row r="317" spans="1:15" ht="24.75" customHeight="1">
      <c r="A317" s="1968" t="s">
        <v>1142</v>
      </c>
      <c r="B317" s="41">
        <f>A325</f>
        <v>0</v>
      </c>
      <c r="C317" s="24">
        <f t="shared" ref="C317:C319" si="489">B317</f>
        <v>0</v>
      </c>
      <c r="D317" s="24">
        <f t="shared" ref="D317:D319" si="490">C317</f>
        <v>0</v>
      </c>
      <c r="E317" s="24">
        <f t="shared" ref="E317:E319" si="491">D317</f>
        <v>0</v>
      </c>
      <c r="F317" s="24">
        <f t="shared" ref="F317:F319" si="492">E317</f>
        <v>0</v>
      </c>
      <c r="G317" s="24">
        <f t="shared" ref="G317:G319" si="493">F317</f>
        <v>0</v>
      </c>
      <c r="H317" s="24">
        <f t="shared" ref="H317:H319" si="494">G317</f>
        <v>0</v>
      </c>
      <c r="I317" s="24">
        <f t="shared" ref="I317:I319" si="495">H317</f>
        <v>0</v>
      </c>
      <c r="J317" s="24">
        <f t="shared" ref="J317:J319" si="496">I317</f>
        <v>0</v>
      </c>
      <c r="K317" s="24">
        <f t="shared" ref="K317:K319" si="497">J317</f>
        <v>0</v>
      </c>
      <c r="L317" s="24">
        <f t="shared" ref="L317:L319" si="498">K317</f>
        <v>0</v>
      </c>
      <c r="M317" s="24">
        <f t="shared" ref="M317:M319" si="499">L317</f>
        <v>0</v>
      </c>
      <c r="N317" s="33">
        <f t="shared" ref="N317:N319" si="500">M317</f>
        <v>0</v>
      </c>
      <c r="O317" s="21"/>
    </row>
    <row r="318" spans="1:15">
      <c r="A318" s="1968" t="s">
        <v>1143</v>
      </c>
      <c r="B318" s="42">
        <f>'Input''s from Initial Design'!X86</f>
        <v>0</v>
      </c>
      <c r="C318" s="24">
        <f t="shared" si="489"/>
        <v>0</v>
      </c>
      <c r="D318" s="24">
        <f t="shared" si="490"/>
        <v>0</v>
      </c>
      <c r="E318" s="24">
        <f t="shared" si="491"/>
        <v>0</v>
      </c>
      <c r="F318" s="24">
        <f t="shared" si="492"/>
        <v>0</v>
      </c>
      <c r="G318" s="24">
        <f t="shared" si="493"/>
        <v>0</v>
      </c>
      <c r="H318" s="24">
        <f t="shared" si="494"/>
        <v>0</v>
      </c>
      <c r="I318" s="24">
        <f t="shared" si="495"/>
        <v>0</v>
      </c>
      <c r="J318" s="24">
        <f t="shared" si="496"/>
        <v>0</v>
      </c>
      <c r="K318" s="24">
        <f t="shared" si="497"/>
        <v>0</v>
      </c>
      <c r="L318" s="24">
        <f t="shared" si="498"/>
        <v>0</v>
      </c>
      <c r="M318" s="24">
        <f t="shared" si="499"/>
        <v>0</v>
      </c>
      <c r="N318" s="33">
        <f t="shared" si="500"/>
        <v>0</v>
      </c>
      <c r="O318" s="21"/>
    </row>
    <row r="319" spans="1:15">
      <c r="A319" s="1968" t="s">
        <v>1144</v>
      </c>
      <c r="B319" s="42">
        <f>'Input''s from Initial Design'!Y86</f>
        <v>0</v>
      </c>
      <c r="C319" s="24">
        <f t="shared" si="489"/>
        <v>0</v>
      </c>
      <c r="D319" s="24">
        <f t="shared" si="490"/>
        <v>0</v>
      </c>
      <c r="E319" s="24">
        <f t="shared" si="491"/>
        <v>0</v>
      </c>
      <c r="F319" s="24">
        <f t="shared" si="492"/>
        <v>0</v>
      </c>
      <c r="G319" s="24">
        <f t="shared" si="493"/>
        <v>0</v>
      </c>
      <c r="H319" s="24">
        <f t="shared" si="494"/>
        <v>0</v>
      </c>
      <c r="I319" s="24">
        <f t="shared" si="495"/>
        <v>0</v>
      </c>
      <c r="J319" s="24">
        <f t="shared" si="496"/>
        <v>0</v>
      </c>
      <c r="K319" s="24">
        <f t="shared" si="497"/>
        <v>0</v>
      </c>
      <c r="L319" s="24">
        <f t="shared" si="498"/>
        <v>0</v>
      </c>
      <c r="M319" s="24">
        <f t="shared" si="499"/>
        <v>0</v>
      </c>
      <c r="N319" s="33">
        <f t="shared" si="500"/>
        <v>0</v>
      </c>
      <c r="O319" s="21"/>
    </row>
    <row r="320" spans="1:15">
      <c r="A320" s="1968" t="s">
        <v>1145</v>
      </c>
      <c r="B320" s="42">
        <v>415</v>
      </c>
      <c r="C320" s="24">
        <f>+B320</f>
        <v>415</v>
      </c>
      <c r="D320" s="24">
        <f t="shared" ref="D320" si="501">+C320</f>
        <v>415</v>
      </c>
      <c r="E320" s="24">
        <f t="shared" ref="E320" si="502">+D320</f>
        <v>415</v>
      </c>
      <c r="F320" s="24">
        <f t="shared" ref="F320" si="503">+E320</f>
        <v>415</v>
      </c>
      <c r="G320" s="24">
        <f t="shared" ref="G320" si="504">+F320</f>
        <v>415</v>
      </c>
      <c r="H320" s="24">
        <f t="shared" ref="H320" si="505">+G320</f>
        <v>415</v>
      </c>
      <c r="I320" s="24">
        <f t="shared" ref="I320" si="506">+H320</f>
        <v>415</v>
      </c>
      <c r="J320" s="24">
        <f t="shared" ref="J320" si="507">+I320</f>
        <v>415</v>
      </c>
      <c r="K320" s="24">
        <f t="shared" ref="K320" si="508">+J320</f>
        <v>415</v>
      </c>
      <c r="L320" s="24">
        <f t="shared" ref="L320" si="509">+K320</f>
        <v>415</v>
      </c>
      <c r="M320" s="24">
        <f t="shared" ref="M320" si="510">+L320</f>
        <v>415</v>
      </c>
      <c r="N320" s="33">
        <f t="shared" ref="N320" si="511">+M320</f>
        <v>415</v>
      </c>
      <c r="O320" s="21"/>
    </row>
    <row r="321" spans="1:15">
      <c r="A321" s="1967" t="s">
        <v>1146</v>
      </c>
      <c r="B321" s="43"/>
      <c r="C321" s="25" t="e">
        <f t="shared" ref="C321:N321" si="512">1.732*C317*(C314/1000*1+C315/1000*0)*C318/C319</f>
        <v>#DIV/0!</v>
      </c>
      <c r="D321" s="25" t="e">
        <f t="shared" si="512"/>
        <v>#DIV/0!</v>
      </c>
      <c r="E321" s="25" t="e">
        <f t="shared" si="512"/>
        <v>#DIV/0!</v>
      </c>
      <c r="F321" s="25" t="e">
        <f t="shared" si="512"/>
        <v>#DIV/0!</v>
      </c>
      <c r="G321" s="25" t="e">
        <f t="shared" si="512"/>
        <v>#DIV/0!</v>
      </c>
      <c r="H321" s="25" t="e">
        <f t="shared" si="512"/>
        <v>#DIV/0!</v>
      </c>
      <c r="I321" s="25" t="e">
        <f t="shared" si="512"/>
        <v>#DIV/0!</v>
      </c>
      <c r="J321" s="25" t="e">
        <f t="shared" si="512"/>
        <v>#DIV/0!</v>
      </c>
      <c r="K321" s="25" t="e">
        <f t="shared" si="512"/>
        <v>#DIV/0!</v>
      </c>
      <c r="L321" s="25" t="e">
        <f t="shared" si="512"/>
        <v>#DIV/0!</v>
      </c>
      <c r="M321" s="25" t="e">
        <f t="shared" si="512"/>
        <v>#DIV/0!</v>
      </c>
      <c r="N321" s="34" t="e">
        <f t="shared" si="512"/>
        <v>#DIV/0!</v>
      </c>
      <c r="O321" s="21"/>
    </row>
    <row r="322" spans="1:15">
      <c r="A322" s="1967" t="s">
        <v>1147</v>
      </c>
      <c r="B322" s="43"/>
      <c r="C322" s="1965" t="e">
        <f>C321/C320</f>
        <v>#DIV/0!</v>
      </c>
      <c r="D322" s="1965" t="e">
        <f t="shared" ref="D322:N322" si="513">D321/D320</f>
        <v>#DIV/0!</v>
      </c>
      <c r="E322" s="1965" t="e">
        <f t="shared" si="513"/>
        <v>#DIV/0!</v>
      </c>
      <c r="F322" s="1965" t="e">
        <f t="shared" si="513"/>
        <v>#DIV/0!</v>
      </c>
      <c r="G322" s="1965" t="e">
        <f t="shared" si="513"/>
        <v>#DIV/0!</v>
      </c>
      <c r="H322" s="1965" t="e">
        <f t="shared" si="513"/>
        <v>#DIV/0!</v>
      </c>
      <c r="I322" s="1965" t="e">
        <f t="shared" si="513"/>
        <v>#DIV/0!</v>
      </c>
      <c r="J322" s="1965" t="e">
        <f t="shared" si="513"/>
        <v>#DIV/0!</v>
      </c>
      <c r="K322" s="1965" t="e">
        <f t="shared" si="513"/>
        <v>#DIV/0!</v>
      </c>
      <c r="L322" s="1965" t="e">
        <f t="shared" si="513"/>
        <v>#DIV/0!</v>
      </c>
      <c r="M322" s="1965" t="e">
        <f t="shared" si="513"/>
        <v>#DIV/0!</v>
      </c>
      <c r="N322" s="1969" t="e">
        <f t="shared" si="513"/>
        <v>#DIV/0!</v>
      </c>
      <c r="O322" s="21"/>
    </row>
    <row r="323" spans="1:15">
      <c r="A323" s="1968" t="s">
        <v>1148</v>
      </c>
      <c r="B323" s="1966">
        <v>0.02</v>
      </c>
      <c r="C323" s="24" t="e">
        <f>IF(AND((C317*1.25)&lt;(C311*C319),(C322&lt;$B$16)),"PASS","FAIL")</f>
        <v>#DIV/0!</v>
      </c>
      <c r="D323" s="24" t="e">
        <f>IF(AND((D317*1.25)&lt;(D311*D319),(D322&lt;$B$16)),"PASS","FAIL")</f>
        <v>#DIV/0!</v>
      </c>
      <c r="E323" s="24" t="e">
        <f>IF(AND((E317*1.25)&lt;(E311*E319),(E322&lt;$B$16)),"PASS","FAIL")</f>
        <v>#DIV/0!</v>
      </c>
      <c r="F323" s="24" t="e">
        <f>IF(AND((F317*1.25)&lt;(F311*F319),(F322&lt;$B$16)),"PASS","FAIL")</f>
        <v>#DIV/0!</v>
      </c>
      <c r="G323" s="24" t="e">
        <f>IF(AND((G317*1.25)&lt;(G311*G319),(G322&lt;$B$16)),"PASS","FAIL")</f>
        <v>#DIV/0!</v>
      </c>
      <c r="H323" s="24" t="e">
        <f>IF(AND((H317*1.1)&lt;(H311*H319),(H322&lt;$B$16)),"PASS","FAIL")</f>
        <v>#DIV/0!</v>
      </c>
      <c r="I323" s="24" t="e">
        <f t="shared" ref="I323:N323" si="514">IF(AND((I317*1.25)&lt;(I311*I319),(I322&lt;$B$16)),"PASS","FAIL")</f>
        <v>#DIV/0!</v>
      </c>
      <c r="J323" s="24" t="e">
        <f t="shared" si="514"/>
        <v>#DIV/0!</v>
      </c>
      <c r="K323" s="24" t="e">
        <f t="shared" si="514"/>
        <v>#DIV/0!</v>
      </c>
      <c r="L323" s="24" t="e">
        <f t="shared" si="514"/>
        <v>#DIV/0!</v>
      </c>
      <c r="M323" s="24" t="e">
        <f t="shared" si="514"/>
        <v>#DIV/0!</v>
      </c>
      <c r="N323" s="33" t="e">
        <f t="shared" si="514"/>
        <v>#DIV/0!</v>
      </c>
      <c r="O323" s="21"/>
    </row>
    <row r="324" spans="1:15" ht="18.600000000000001" thickBot="1">
      <c r="A324" s="1970" t="s">
        <v>1149</v>
      </c>
      <c r="B324" s="1971"/>
      <c r="C324" s="1972" t="e">
        <f t="shared" ref="C324:N324" si="515">IF(AND((C317*1.25)&lt;(C312*C319),(C322&lt;$B$16)),"PASS","FAIL")</f>
        <v>#DIV/0!</v>
      </c>
      <c r="D324" s="1972" t="e">
        <f t="shared" si="515"/>
        <v>#DIV/0!</v>
      </c>
      <c r="E324" s="1972" t="e">
        <f t="shared" si="515"/>
        <v>#DIV/0!</v>
      </c>
      <c r="F324" s="1972" t="e">
        <f t="shared" si="515"/>
        <v>#DIV/0!</v>
      </c>
      <c r="G324" s="1972" t="e">
        <f t="shared" si="515"/>
        <v>#DIV/0!</v>
      </c>
      <c r="H324" s="1972" t="e">
        <f t="shared" si="515"/>
        <v>#DIV/0!</v>
      </c>
      <c r="I324" s="1972" t="e">
        <f t="shared" si="515"/>
        <v>#DIV/0!</v>
      </c>
      <c r="J324" s="1972" t="e">
        <f t="shared" si="515"/>
        <v>#DIV/0!</v>
      </c>
      <c r="K324" s="1972" t="e">
        <f t="shared" si="515"/>
        <v>#DIV/0!</v>
      </c>
      <c r="L324" s="1972" t="e">
        <f t="shared" si="515"/>
        <v>#DIV/0!</v>
      </c>
      <c r="M324" s="1972" t="e">
        <f t="shared" si="515"/>
        <v>#DIV/0!</v>
      </c>
      <c r="N324" s="1973" t="e">
        <f t="shared" si="515"/>
        <v>#DIV/0!</v>
      </c>
      <c r="O324" s="21"/>
    </row>
    <row r="325" spans="1:15">
      <c r="A325" s="1963">
        <f>('Input''s from Initial Design'!W86*1000/(1.732*440*1))</f>
        <v>0</v>
      </c>
      <c r="B325" s="1964" t="s">
        <v>1150</v>
      </c>
      <c r="C325" s="26"/>
      <c r="D325" s="3213"/>
      <c r="E325" s="3213"/>
      <c r="F325" s="3213"/>
      <c r="G325" s="21"/>
      <c r="H325" s="21"/>
      <c r="I325" s="21"/>
      <c r="J325" s="21"/>
    </row>
    <row r="326" spans="1:15">
      <c r="A326" s="21"/>
      <c r="B326" s="21"/>
      <c r="C326" s="26"/>
      <c r="D326" s="21"/>
      <c r="E326" s="21">
        <v>14</v>
      </c>
      <c r="F326" s="21"/>
      <c r="G326" s="27"/>
      <c r="H326" s="21"/>
      <c r="I326" s="21"/>
      <c r="J326" s="21"/>
    </row>
    <row r="327" spans="1:15">
      <c r="A327" s="28" t="s">
        <v>1148</v>
      </c>
      <c r="B327" s="29" t="e">
        <f>IF(C323="FAIL",IF(D323="FAIL",IF(E323="FAIL",IF(F323="FAIL",IF(G323="FAIL",IF(H323="FAIL",IF(I323="FAIL",IF(J323="FAIL",IF(K323="FAIL",IF(L323="FAIL",IF(M323="FAIL","NO MATCH",$M$1),$L$1),$K$1),$J$1),$I$1),$H$1),$G$1),$F$1),$E$1),$D$1),$C$1)</f>
        <v>#DIV/0!</v>
      </c>
      <c r="C327" s="30" t="s">
        <v>1151</v>
      </c>
      <c r="D327" s="21"/>
      <c r="E327" s="21"/>
      <c r="F327" s="21"/>
      <c r="G327" s="21"/>
      <c r="H327" s="26"/>
      <c r="I327" s="21"/>
      <c r="J327" s="21"/>
      <c r="K327" s="21"/>
      <c r="L327" s="21"/>
      <c r="N327" s="21"/>
      <c r="O327" s="21"/>
    </row>
    <row r="328" spans="1:15">
      <c r="A328" s="28" t="s">
        <v>1149</v>
      </c>
      <c r="B328" s="29" t="e">
        <f>IF(C324="FAIL",IF(D324="FAIL",IF(E324="FAIL",IF(F324="FAIL",IF(G324="FAIL",IF(H324="FAIL",IF(I324="FAIL",IF(J324="FAIL",IF(K324="FAIL",IF(L324="FAIL",IF(M324="FAIL","NO MATCH",$M$1),$L$1),$K$1),$J$1),$I$1),$H$1),$G$1),$F$1),$E$1),$D$1),$C$1)</f>
        <v>#DIV/0!</v>
      </c>
      <c r="C328" s="30" t="s">
        <v>1151</v>
      </c>
      <c r="D328" s="21"/>
      <c r="E328" s="21"/>
      <c r="F328" s="21"/>
      <c r="G328" s="21"/>
      <c r="H328" s="26"/>
      <c r="I328" s="21"/>
      <c r="J328" s="21"/>
      <c r="K328" s="21"/>
      <c r="L328" s="21"/>
      <c r="N328" s="21"/>
      <c r="O328" s="21"/>
    </row>
    <row r="329" spans="1:15" ht="18.600000000000001" thickBot="1"/>
    <row r="330" spans="1:15" s="23" customFormat="1">
      <c r="A330" s="3214" t="s">
        <v>1122</v>
      </c>
      <c r="B330" s="3216"/>
      <c r="C330" s="35">
        <v>16</v>
      </c>
      <c r="D330" s="36">
        <v>25</v>
      </c>
      <c r="E330" s="36">
        <v>35</v>
      </c>
      <c r="F330" s="36">
        <v>50</v>
      </c>
      <c r="G330" s="36">
        <v>70</v>
      </c>
      <c r="H330" s="36">
        <v>95</v>
      </c>
      <c r="I330" s="36">
        <v>120</v>
      </c>
      <c r="J330" s="36">
        <v>150</v>
      </c>
      <c r="K330" s="36">
        <v>185</v>
      </c>
      <c r="L330" s="36">
        <v>240</v>
      </c>
      <c r="M330" s="36">
        <v>300</v>
      </c>
      <c r="N330" s="37">
        <v>400</v>
      </c>
      <c r="O330" s="22"/>
    </row>
    <row r="331" spans="1:15" s="23" customFormat="1" ht="18.600000000000001" thickBot="1">
      <c r="A331" s="3215"/>
      <c r="B331" s="3217"/>
      <c r="C331" s="1978" t="s">
        <v>1123</v>
      </c>
      <c r="D331" s="1979" t="s">
        <v>1124</v>
      </c>
      <c r="E331" s="1979" t="s">
        <v>1125</v>
      </c>
      <c r="F331" s="1979" t="s">
        <v>1126</v>
      </c>
      <c r="G331" s="1979" t="s">
        <v>1127</v>
      </c>
      <c r="H331" s="1979" t="s">
        <v>1128</v>
      </c>
      <c r="I331" s="1979" t="s">
        <v>1129</v>
      </c>
      <c r="J331" s="1979" t="s">
        <v>1130</v>
      </c>
      <c r="K331" s="1979" t="s">
        <v>1131</v>
      </c>
      <c r="L331" s="1979" t="s">
        <v>1132</v>
      </c>
      <c r="M331" s="1979" t="s">
        <v>1133</v>
      </c>
      <c r="N331" s="1980" t="s">
        <v>1134</v>
      </c>
      <c r="O331" s="22"/>
    </row>
    <row r="332" spans="1:15">
      <c r="A332" s="1981" t="s">
        <v>1135</v>
      </c>
      <c r="B332" s="1982"/>
      <c r="C332" s="31">
        <v>74</v>
      </c>
      <c r="D332" s="31">
        <v>94</v>
      </c>
      <c r="E332" s="31">
        <v>113</v>
      </c>
      <c r="F332" s="31">
        <v>133</v>
      </c>
      <c r="G332" s="31">
        <v>164</v>
      </c>
      <c r="H332" s="31">
        <v>196</v>
      </c>
      <c r="I332" s="31">
        <v>223</v>
      </c>
      <c r="J332" s="31">
        <v>249</v>
      </c>
      <c r="K332" s="31">
        <v>282</v>
      </c>
      <c r="L332" s="31">
        <v>326</v>
      </c>
      <c r="M332" s="31">
        <v>367</v>
      </c>
      <c r="N332" s="32">
        <v>418</v>
      </c>
      <c r="O332" s="21"/>
    </row>
    <row r="333" spans="1:15">
      <c r="A333" s="1967" t="s">
        <v>1136</v>
      </c>
      <c r="B333" s="43"/>
      <c r="C333" s="24">
        <v>74</v>
      </c>
      <c r="D333" s="24">
        <v>96</v>
      </c>
      <c r="E333" s="24">
        <v>117</v>
      </c>
      <c r="F333" s="24">
        <v>142</v>
      </c>
      <c r="G333" s="24">
        <v>179</v>
      </c>
      <c r="H333" s="24">
        <v>221</v>
      </c>
      <c r="I333" s="24">
        <v>257</v>
      </c>
      <c r="J333" s="24">
        <v>292</v>
      </c>
      <c r="K333" s="24">
        <v>337</v>
      </c>
      <c r="L333" s="24">
        <v>399</v>
      </c>
      <c r="M333" s="24">
        <v>455</v>
      </c>
      <c r="N333" s="33">
        <v>530</v>
      </c>
      <c r="O333" s="21"/>
    </row>
    <row r="334" spans="1:15" ht="22.5" customHeight="1">
      <c r="A334" s="1967" t="s">
        <v>1137</v>
      </c>
      <c r="B334" s="42">
        <v>0.7</v>
      </c>
      <c r="C334" s="24">
        <f>B334</f>
        <v>0.7</v>
      </c>
      <c r="D334" s="24">
        <f>C334</f>
        <v>0.7</v>
      </c>
      <c r="E334" s="24">
        <f t="shared" ref="E334" si="516">D334</f>
        <v>0.7</v>
      </c>
      <c r="F334" s="24">
        <f t="shared" ref="F334" si="517">E334</f>
        <v>0.7</v>
      </c>
      <c r="G334" s="24">
        <f t="shared" ref="G334" si="518">F334</f>
        <v>0.7</v>
      </c>
      <c r="H334" s="24">
        <f t="shared" ref="H334" si="519">G334</f>
        <v>0.7</v>
      </c>
      <c r="I334" s="24">
        <f t="shared" ref="I334" si="520">H334</f>
        <v>0.7</v>
      </c>
      <c r="J334" s="24">
        <f t="shared" ref="J334" si="521">I334</f>
        <v>0.7</v>
      </c>
      <c r="K334" s="24">
        <f t="shared" ref="K334" si="522">J334</f>
        <v>0.7</v>
      </c>
      <c r="L334" s="24">
        <f t="shared" ref="L334" si="523">K334</f>
        <v>0.7</v>
      </c>
      <c r="M334" s="24">
        <f>L334</f>
        <v>0.7</v>
      </c>
      <c r="N334" s="33">
        <f>M334</f>
        <v>0.7</v>
      </c>
      <c r="O334" s="21"/>
    </row>
    <row r="335" spans="1:15">
      <c r="A335" s="1967" t="s">
        <v>1138</v>
      </c>
      <c r="B335" s="43"/>
      <c r="C335" s="24">
        <f>C332*C334</f>
        <v>51.8</v>
      </c>
      <c r="D335" s="24">
        <f t="shared" ref="D335:G335" si="524">D332*D334</f>
        <v>65.8</v>
      </c>
      <c r="E335" s="24">
        <f t="shared" si="524"/>
        <v>79.099999999999994</v>
      </c>
      <c r="F335" s="24">
        <f t="shared" si="524"/>
        <v>93.1</v>
      </c>
      <c r="G335" s="24">
        <f t="shared" si="524"/>
        <v>114.8</v>
      </c>
      <c r="H335" s="24">
        <f>H332*H334</f>
        <v>137.19999999999999</v>
      </c>
      <c r="I335" s="24">
        <f t="shared" ref="I335:N335" si="525">I332*I334</f>
        <v>156.1</v>
      </c>
      <c r="J335" s="24">
        <f t="shared" si="525"/>
        <v>174.29999999999998</v>
      </c>
      <c r="K335" s="24">
        <f t="shared" si="525"/>
        <v>197.39999999999998</v>
      </c>
      <c r="L335" s="24">
        <f t="shared" si="525"/>
        <v>228.2</v>
      </c>
      <c r="M335" s="24">
        <f t="shared" si="525"/>
        <v>256.89999999999998</v>
      </c>
      <c r="N335" s="33">
        <f t="shared" si="525"/>
        <v>292.59999999999997</v>
      </c>
      <c r="O335" s="21"/>
    </row>
    <row r="336" spans="1:15">
      <c r="A336" s="1967" t="s">
        <v>1139</v>
      </c>
      <c r="B336" s="43"/>
      <c r="C336" s="24">
        <f>C333*C334</f>
        <v>51.8</v>
      </c>
      <c r="D336" s="24">
        <f>D333*D334</f>
        <v>67.199999999999989</v>
      </c>
      <c r="E336" s="24">
        <f t="shared" ref="E336:G336" si="526">E333*E334</f>
        <v>81.899999999999991</v>
      </c>
      <c r="F336" s="24">
        <f t="shared" si="526"/>
        <v>99.399999999999991</v>
      </c>
      <c r="G336" s="24">
        <f t="shared" si="526"/>
        <v>125.3</v>
      </c>
      <c r="H336" s="24">
        <f>H333*H334</f>
        <v>154.69999999999999</v>
      </c>
      <c r="I336" s="24">
        <f t="shared" ref="I336:N336" si="527">I333*I334</f>
        <v>179.89999999999998</v>
      </c>
      <c r="J336" s="24">
        <f t="shared" si="527"/>
        <v>204.39999999999998</v>
      </c>
      <c r="K336" s="24">
        <f t="shared" si="527"/>
        <v>235.89999999999998</v>
      </c>
      <c r="L336" s="24">
        <f t="shared" si="527"/>
        <v>279.29999999999995</v>
      </c>
      <c r="M336" s="24">
        <f t="shared" si="527"/>
        <v>318.5</v>
      </c>
      <c r="N336" s="33">
        <f t="shared" si="527"/>
        <v>371</v>
      </c>
      <c r="O336" s="21"/>
    </row>
    <row r="337" spans="1:15">
      <c r="A337" s="1967"/>
      <c r="B337" s="43"/>
      <c r="C337" s="24"/>
      <c r="D337" s="24"/>
      <c r="E337" s="24"/>
      <c r="F337" s="24"/>
      <c r="G337" s="24"/>
      <c r="H337" s="24"/>
      <c r="I337" s="24"/>
      <c r="J337" s="24"/>
      <c r="K337" s="24"/>
      <c r="L337" s="24"/>
      <c r="M337" s="24"/>
      <c r="N337" s="33"/>
      <c r="O337" s="21"/>
    </row>
    <row r="338" spans="1:15">
      <c r="A338" s="1967" t="s">
        <v>1140</v>
      </c>
      <c r="B338" s="43"/>
      <c r="C338" s="24">
        <v>2.44</v>
      </c>
      <c r="D338" s="24">
        <v>1.54</v>
      </c>
      <c r="E338" s="24">
        <v>1.1100000000000001</v>
      </c>
      <c r="F338" s="24">
        <v>0.82</v>
      </c>
      <c r="G338" s="24">
        <v>0.56699999999999995</v>
      </c>
      <c r="H338" s="24">
        <v>0.41</v>
      </c>
      <c r="I338" s="24">
        <v>0.32400000000000001</v>
      </c>
      <c r="J338" s="24">
        <v>0.26400000000000001</v>
      </c>
      <c r="K338" s="24">
        <v>0.21</v>
      </c>
      <c r="L338" s="24">
        <v>0.16</v>
      </c>
      <c r="M338" s="24">
        <v>0.128</v>
      </c>
      <c r="N338" s="33">
        <v>0.1</v>
      </c>
      <c r="O338" s="21"/>
    </row>
    <row r="339" spans="1:15">
      <c r="A339" s="1967" t="s">
        <v>1141</v>
      </c>
      <c r="B339" s="43"/>
      <c r="C339" s="24">
        <v>8.0799999999999997E-2</v>
      </c>
      <c r="D339" s="24">
        <v>8.0500000000000002E-2</v>
      </c>
      <c r="E339" s="24">
        <v>7.8299999999999995E-2</v>
      </c>
      <c r="F339" s="24">
        <v>7.4999999999999997E-2</v>
      </c>
      <c r="G339" s="24">
        <v>7.3999999999999996E-2</v>
      </c>
      <c r="H339" s="24">
        <v>7.2400000000000006E-2</v>
      </c>
      <c r="I339" s="24">
        <v>7.1199999999999999E-2</v>
      </c>
      <c r="J339" s="24">
        <v>7.1599999999999997E-2</v>
      </c>
      <c r="K339" s="24">
        <v>7.1800000000000003E-2</v>
      </c>
      <c r="L339" s="24">
        <v>7.0999999999999994E-2</v>
      </c>
      <c r="M339" s="24">
        <v>7.0499999999999993E-2</v>
      </c>
      <c r="N339" s="33">
        <v>7.0400000000000004E-2</v>
      </c>
      <c r="O339" s="21"/>
    </row>
    <row r="340" spans="1:15">
      <c r="A340" s="1967"/>
      <c r="B340" s="43"/>
      <c r="C340" s="24"/>
      <c r="D340" s="24"/>
      <c r="E340" s="24"/>
      <c r="F340" s="24"/>
      <c r="G340" s="24"/>
      <c r="H340" s="24"/>
      <c r="I340" s="24"/>
      <c r="J340" s="24"/>
      <c r="K340" s="24"/>
      <c r="L340" s="24"/>
      <c r="M340" s="24"/>
      <c r="N340" s="33"/>
      <c r="O340" s="21"/>
    </row>
    <row r="341" spans="1:15" ht="24.75" customHeight="1">
      <c r="A341" s="1968" t="s">
        <v>1142</v>
      </c>
      <c r="B341" s="41">
        <f>A349</f>
        <v>0</v>
      </c>
      <c r="C341" s="24">
        <f t="shared" ref="C341:C343" si="528">B341</f>
        <v>0</v>
      </c>
      <c r="D341" s="24">
        <f t="shared" ref="D341:D343" si="529">C341</f>
        <v>0</v>
      </c>
      <c r="E341" s="24">
        <f t="shared" ref="E341:E343" si="530">D341</f>
        <v>0</v>
      </c>
      <c r="F341" s="24">
        <f t="shared" ref="F341:F343" si="531">E341</f>
        <v>0</v>
      </c>
      <c r="G341" s="24">
        <f t="shared" ref="G341:G343" si="532">F341</f>
        <v>0</v>
      </c>
      <c r="H341" s="24">
        <f t="shared" ref="H341:H343" si="533">G341</f>
        <v>0</v>
      </c>
      <c r="I341" s="24">
        <f t="shared" ref="I341:I343" si="534">H341</f>
        <v>0</v>
      </c>
      <c r="J341" s="24">
        <f t="shared" ref="J341:J343" si="535">I341</f>
        <v>0</v>
      </c>
      <c r="K341" s="24">
        <f t="shared" ref="K341:K343" si="536">J341</f>
        <v>0</v>
      </c>
      <c r="L341" s="24">
        <f t="shared" ref="L341:L343" si="537">K341</f>
        <v>0</v>
      </c>
      <c r="M341" s="24">
        <f t="shared" ref="M341:M343" si="538">L341</f>
        <v>0</v>
      </c>
      <c r="N341" s="33">
        <f t="shared" ref="N341:N343" si="539">M341</f>
        <v>0</v>
      </c>
      <c r="O341" s="21"/>
    </row>
    <row r="342" spans="1:15">
      <c r="A342" s="1968" t="s">
        <v>1143</v>
      </c>
      <c r="B342" s="42">
        <f>'Input''s from Initial Design'!X88</f>
        <v>0</v>
      </c>
      <c r="C342" s="24">
        <f t="shared" si="528"/>
        <v>0</v>
      </c>
      <c r="D342" s="24">
        <f t="shared" si="529"/>
        <v>0</v>
      </c>
      <c r="E342" s="24">
        <f t="shared" si="530"/>
        <v>0</v>
      </c>
      <c r="F342" s="24">
        <f t="shared" si="531"/>
        <v>0</v>
      </c>
      <c r="G342" s="24">
        <f t="shared" si="532"/>
        <v>0</v>
      </c>
      <c r="H342" s="24">
        <f t="shared" si="533"/>
        <v>0</v>
      </c>
      <c r="I342" s="24">
        <f t="shared" si="534"/>
        <v>0</v>
      </c>
      <c r="J342" s="24">
        <f t="shared" si="535"/>
        <v>0</v>
      </c>
      <c r="K342" s="24">
        <f t="shared" si="536"/>
        <v>0</v>
      </c>
      <c r="L342" s="24">
        <f t="shared" si="537"/>
        <v>0</v>
      </c>
      <c r="M342" s="24">
        <f t="shared" si="538"/>
        <v>0</v>
      </c>
      <c r="N342" s="33">
        <f t="shared" si="539"/>
        <v>0</v>
      </c>
      <c r="O342" s="21"/>
    </row>
    <row r="343" spans="1:15">
      <c r="A343" s="1968" t="s">
        <v>1144</v>
      </c>
      <c r="B343" s="42">
        <f>'Input''s from Initial Design'!Y88</f>
        <v>0</v>
      </c>
      <c r="C343" s="24">
        <f t="shared" si="528"/>
        <v>0</v>
      </c>
      <c r="D343" s="24">
        <f t="shared" si="529"/>
        <v>0</v>
      </c>
      <c r="E343" s="24">
        <f t="shared" si="530"/>
        <v>0</v>
      </c>
      <c r="F343" s="24">
        <f t="shared" si="531"/>
        <v>0</v>
      </c>
      <c r="G343" s="24">
        <f t="shared" si="532"/>
        <v>0</v>
      </c>
      <c r="H343" s="24">
        <f t="shared" si="533"/>
        <v>0</v>
      </c>
      <c r="I343" s="24">
        <f t="shared" si="534"/>
        <v>0</v>
      </c>
      <c r="J343" s="24">
        <f t="shared" si="535"/>
        <v>0</v>
      </c>
      <c r="K343" s="24">
        <f t="shared" si="536"/>
        <v>0</v>
      </c>
      <c r="L343" s="24">
        <f t="shared" si="537"/>
        <v>0</v>
      </c>
      <c r="M343" s="24">
        <f t="shared" si="538"/>
        <v>0</v>
      </c>
      <c r="N343" s="33">
        <f t="shared" si="539"/>
        <v>0</v>
      </c>
      <c r="O343" s="21"/>
    </row>
    <row r="344" spans="1:15">
      <c r="A344" s="1968" t="s">
        <v>1145</v>
      </c>
      <c r="B344" s="42">
        <v>415</v>
      </c>
      <c r="C344" s="24">
        <f>+B344</f>
        <v>415</v>
      </c>
      <c r="D344" s="24">
        <f t="shared" ref="D344" si="540">+C344</f>
        <v>415</v>
      </c>
      <c r="E344" s="24">
        <f t="shared" ref="E344" si="541">+D344</f>
        <v>415</v>
      </c>
      <c r="F344" s="24">
        <f t="shared" ref="F344" si="542">+E344</f>
        <v>415</v>
      </c>
      <c r="G344" s="24">
        <f t="shared" ref="G344" si="543">+F344</f>
        <v>415</v>
      </c>
      <c r="H344" s="24">
        <f t="shared" ref="H344" si="544">+G344</f>
        <v>415</v>
      </c>
      <c r="I344" s="24">
        <f t="shared" ref="I344" si="545">+H344</f>
        <v>415</v>
      </c>
      <c r="J344" s="24">
        <f t="shared" ref="J344" si="546">+I344</f>
        <v>415</v>
      </c>
      <c r="K344" s="24">
        <f t="shared" ref="K344" si="547">+J344</f>
        <v>415</v>
      </c>
      <c r="L344" s="24">
        <f t="shared" ref="L344" si="548">+K344</f>
        <v>415</v>
      </c>
      <c r="M344" s="24">
        <f t="shared" ref="M344" si="549">+L344</f>
        <v>415</v>
      </c>
      <c r="N344" s="33">
        <f t="shared" ref="N344" si="550">+M344</f>
        <v>415</v>
      </c>
      <c r="O344" s="21"/>
    </row>
    <row r="345" spans="1:15">
      <c r="A345" s="1967" t="s">
        <v>1146</v>
      </c>
      <c r="B345" s="43"/>
      <c r="C345" s="25" t="e">
        <f t="shared" ref="C345:N345" si="551">1.732*C341*(C338/1000*1+C339/1000*0)*C342/C343</f>
        <v>#DIV/0!</v>
      </c>
      <c r="D345" s="25" t="e">
        <f t="shared" si="551"/>
        <v>#DIV/0!</v>
      </c>
      <c r="E345" s="25" t="e">
        <f t="shared" si="551"/>
        <v>#DIV/0!</v>
      </c>
      <c r="F345" s="25" t="e">
        <f t="shared" si="551"/>
        <v>#DIV/0!</v>
      </c>
      <c r="G345" s="25" t="e">
        <f t="shared" si="551"/>
        <v>#DIV/0!</v>
      </c>
      <c r="H345" s="25" t="e">
        <f t="shared" si="551"/>
        <v>#DIV/0!</v>
      </c>
      <c r="I345" s="25" t="e">
        <f t="shared" si="551"/>
        <v>#DIV/0!</v>
      </c>
      <c r="J345" s="25" t="e">
        <f t="shared" si="551"/>
        <v>#DIV/0!</v>
      </c>
      <c r="K345" s="25" t="e">
        <f t="shared" si="551"/>
        <v>#DIV/0!</v>
      </c>
      <c r="L345" s="25" t="e">
        <f t="shared" si="551"/>
        <v>#DIV/0!</v>
      </c>
      <c r="M345" s="25" t="e">
        <f t="shared" si="551"/>
        <v>#DIV/0!</v>
      </c>
      <c r="N345" s="34" t="e">
        <f t="shared" si="551"/>
        <v>#DIV/0!</v>
      </c>
      <c r="O345" s="21"/>
    </row>
    <row r="346" spans="1:15">
      <c r="A346" s="1967" t="s">
        <v>1147</v>
      </c>
      <c r="B346" s="43"/>
      <c r="C346" s="1965" t="e">
        <f>C345/C344</f>
        <v>#DIV/0!</v>
      </c>
      <c r="D346" s="1965" t="e">
        <f t="shared" ref="D346:N346" si="552">D345/D344</f>
        <v>#DIV/0!</v>
      </c>
      <c r="E346" s="1965" t="e">
        <f t="shared" si="552"/>
        <v>#DIV/0!</v>
      </c>
      <c r="F346" s="1965" t="e">
        <f t="shared" si="552"/>
        <v>#DIV/0!</v>
      </c>
      <c r="G346" s="1965" t="e">
        <f t="shared" si="552"/>
        <v>#DIV/0!</v>
      </c>
      <c r="H346" s="1965" t="e">
        <f t="shared" si="552"/>
        <v>#DIV/0!</v>
      </c>
      <c r="I346" s="1965" t="e">
        <f t="shared" si="552"/>
        <v>#DIV/0!</v>
      </c>
      <c r="J346" s="1965" t="e">
        <f t="shared" si="552"/>
        <v>#DIV/0!</v>
      </c>
      <c r="K346" s="1965" t="e">
        <f t="shared" si="552"/>
        <v>#DIV/0!</v>
      </c>
      <c r="L346" s="1965" t="e">
        <f t="shared" si="552"/>
        <v>#DIV/0!</v>
      </c>
      <c r="M346" s="1965" t="e">
        <f t="shared" si="552"/>
        <v>#DIV/0!</v>
      </c>
      <c r="N346" s="1969" t="e">
        <f t="shared" si="552"/>
        <v>#DIV/0!</v>
      </c>
      <c r="O346" s="21"/>
    </row>
    <row r="347" spans="1:15">
      <c r="A347" s="1968" t="s">
        <v>1148</v>
      </c>
      <c r="B347" s="1966">
        <v>0.02</v>
      </c>
      <c r="C347" s="24" t="e">
        <f>IF(AND((C341*1.25)&lt;(C335*C343),(C346&lt;$B$16)),"PASS","FAIL")</f>
        <v>#DIV/0!</v>
      </c>
      <c r="D347" s="24" t="e">
        <f>IF(AND((D341*1.25)&lt;(D335*D343),(D346&lt;$B$16)),"PASS","FAIL")</f>
        <v>#DIV/0!</v>
      </c>
      <c r="E347" s="24" t="e">
        <f>IF(AND((E341*1.25)&lt;(E335*E343),(E346&lt;$B$16)),"PASS","FAIL")</f>
        <v>#DIV/0!</v>
      </c>
      <c r="F347" s="24" t="e">
        <f>IF(AND((F341*1.25)&lt;(F335*F343),(F346&lt;$B$16)),"PASS","FAIL")</f>
        <v>#DIV/0!</v>
      </c>
      <c r="G347" s="24" t="e">
        <f>IF(AND((G341*1.25)&lt;(G335*G343),(G346&lt;$B$16)),"PASS","FAIL")</f>
        <v>#DIV/0!</v>
      </c>
      <c r="H347" s="24" t="e">
        <f>IF(AND((H341*1.1)&lt;(H335*H343),(H346&lt;$B$16)),"PASS","FAIL")</f>
        <v>#DIV/0!</v>
      </c>
      <c r="I347" s="24" t="e">
        <f t="shared" ref="I347:N347" si="553">IF(AND((I341*1.25)&lt;(I335*I343),(I346&lt;$B$16)),"PASS","FAIL")</f>
        <v>#DIV/0!</v>
      </c>
      <c r="J347" s="24" t="e">
        <f t="shared" si="553"/>
        <v>#DIV/0!</v>
      </c>
      <c r="K347" s="24" t="e">
        <f t="shared" si="553"/>
        <v>#DIV/0!</v>
      </c>
      <c r="L347" s="24" t="e">
        <f t="shared" si="553"/>
        <v>#DIV/0!</v>
      </c>
      <c r="M347" s="24" t="e">
        <f t="shared" si="553"/>
        <v>#DIV/0!</v>
      </c>
      <c r="N347" s="33" t="e">
        <f t="shared" si="553"/>
        <v>#DIV/0!</v>
      </c>
      <c r="O347" s="21"/>
    </row>
    <row r="348" spans="1:15" ht="18.600000000000001" thickBot="1">
      <c r="A348" s="1970" t="s">
        <v>1149</v>
      </c>
      <c r="B348" s="1971"/>
      <c r="C348" s="1972" t="e">
        <f t="shared" ref="C348:N348" si="554">IF(AND((C341*1.25)&lt;(C336*C343),(C346&lt;$B$16)),"PASS","FAIL")</f>
        <v>#DIV/0!</v>
      </c>
      <c r="D348" s="1972" t="e">
        <f t="shared" si="554"/>
        <v>#DIV/0!</v>
      </c>
      <c r="E348" s="1972" t="e">
        <f t="shared" si="554"/>
        <v>#DIV/0!</v>
      </c>
      <c r="F348" s="1972" t="e">
        <f t="shared" si="554"/>
        <v>#DIV/0!</v>
      </c>
      <c r="G348" s="1972" t="e">
        <f t="shared" si="554"/>
        <v>#DIV/0!</v>
      </c>
      <c r="H348" s="1972" t="e">
        <f t="shared" si="554"/>
        <v>#DIV/0!</v>
      </c>
      <c r="I348" s="1972" t="e">
        <f t="shared" si="554"/>
        <v>#DIV/0!</v>
      </c>
      <c r="J348" s="1972" t="e">
        <f t="shared" si="554"/>
        <v>#DIV/0!</v>
      </c>
      <c r="K348" s="1972" t="e">
        <f t="shared" si="554"/>
        <v>#DIV/0!</v>
      </c>
      <c r="L348" s="1972" t="e">
        <f t="shared" si="554"/>
        <v>#DIV/0!</v>
      </c>
      <c r="M348" s="1972" t="e">
        <f t="shared" si="554"/>
        <v>#DIV/0!</v>
      </c>
      <c r="N348" s="1973" t="e">
        <f t="shared" si="554"/>
        <v>#DIV/0!</v>
      </c>
      <c r="O348" s="21"/>
    </row>
    <row r="349" spans="1:15">
      <c r="A349" s="1963">
        <f>('Input''s from Initial Design'!W88*1000/(1.732*440*1))</f>
        <v>0</v>
      </c>
      <c r="B349" s="1964" t="s">
        <v>1150</v>
      </c>
      <c r="C349" s="26"/>
      <c r="D349" s="3213"/>
      <c r="E349" s="3213"/>
      <c r="F349" s="3213"/>
      <c r="G349" s="21"/>
      <c r="H349" s="21"/>
      <c r="I349" s="21"/>
      <c r="J349" s="21"/>
    </row>
    <row r="350" spans="1:15">
      <c r="A350" s="21"/>
      <c r="B350" s="21"/>
      <c r="C350" s="26"/>
      <c r="D350" s="21"/>
      <c r="E350" s="21">
        <v>15</v>
      </c>
      <c r="F350" s="21"/>
      <c r="G350" s="27"/>
      <c r="H350" s="21"/>
      <c r="I350" s="21"/>
      <c r="J350" s="21"/>
    </row>
    <row r="351" spans="1:15">
      <c r="A351" s="28" t="s">
        <v>1148</v>
      </c>
      <c r="B351" s="29" t="e">
        <f>IF(C347="FAIL",IF(D347="FAIL",IF(E347="FAIL",IF(F347="FAIL",IF(G347="FAIL",IF(H347="FAIL",IF(I347="FAIL",IF(J347="FAIL",IF(K347="FAIL",IF(L347="FAIL",IF(M347="FAIL","NO MATCH",$M$1),$L$1),$K$1),$J$1),$I$1),$H$1),$G$1),$F$1),$E$1),$D$1),$C$1)</f>
        <v>#DIV/0!</v>
      </c>
      <c r="C351" s="30" t="s">
        <v>1151</v>
      </c>
      <c r="D351" s="21"/>
      <c r="E351" s="21"/>
      <c r="F351" s="21"/>
      <c r="G351" s="21"/>
      <c r="H351" s="26"/>
      <c r="I351" s="21"/>
      <c r="J351" s="21"/>
      <c r="K351" s="21"/>
      <c r="L351" s="21"/>
      <c r="N351" s="21"/>
      <c r="O351" s="21"/>
    </row>
    <row r="352" spans="1:15">
      <c r="A352" s="28" t="s">
        <v>1149</v>
      </c>
      <c r="B352" s="29" t="e">
        <f>IF(C348="FAIL",IF(D348="FAIL",IF(E348="FAIL",IF(F348="FAIL",IF(G348="FAIL",IF(H348="FAIL",IF(I348="FAIL",IF(J348="FAIL",IF(K348="FAIL",IF(L348="FAIL",IF(M348="FAIL","NO MATCH",$M$1),$L$1),$K$1),$J$1),$I$1),$H$1),$G$1),$F$1),$E$1),$D$1),$C$1)</f>
        <v>#DIV/0!</v>
      </c>
      <c r="C352" s="30" t="s">
        <v>1151</v>
      </c>
      <c r="D352" s="21"/>
      <c r="E352" s="21"/>
      <c r="F352" s="21"/>
      <c r="G352" s="21"/>
      <c r="H352" s="26"/>
      <c r="I352" s="21"/>
      <c r="J352" s="21"/>
      <c r="K352" s="21"/>
      <c r="L352" s="21"/>
      <c r="N352" s="21"/>
      <c r="O352" s="21"/>
    </row>
    <row r="353" spans="1:15" ht="18.600000000000001" thickBot="1"/>
    <row r="354" spans="1:15" s="23" customFormat="1">
      <c r="A354" s="3214" t="s">
        <v>1122</v>
      </c>
      <c r="B354" s="3216"/>
      <c r="C354" s="35">
        <v>16</v>
      </c>
      <c r="D354" s="36">
        <v>25</v>
      </c>
      <c r="E354" s="36">
        <v>35</v>
      </c>
      <c r="F354" s="36">
        <v>50</v>
      </c>
      <c r="G354" s="36">
        <v>70</v>
      </c>
      <c r="H354" s="36">
        <v>95</v>
      </c>
      <c r="I354" s="36">
        <v>120</v>
      </c>
      <c r="J354" s="36">
        <v>150</v>
      </c>
      <c r="K354" s="36">
        <v>185</v>
      </c>
      <c r="L354" s="36">
        <v>240</v>
      </c>
      <c r="M354" s="36">
        <v>300</v>
      </c>
      <c r="N354" s="37">
        <v>400</v>
      </c>
      <c r="O354" s="22"/>
    </row>
    <row r="355" spans="1:15" s="23" customFormat="1" ht="18.600000000000001" thickBot="1">
      <c r="A355" s="3215"/>
      <c r="B355" s="3217"/>
      <c r="C355" s="1978" t="s">
        <v>1123</v>
      </c>
      <c r="D355" s="1979" t="s">
        <v>1124</v>
      </c>
      <c r="E355" s="1979" t="s">
        <v>1125</v>
      </c>
      <c r="F355" s="1979" t="s">
        <v>1126</v>
      </c>
      <c r="G355" s="1979" t="s">
        <v>1127</v>
      </c>
      <c r="H355" s="1979" t="s">
        <v>1128</v>
      </c>
      <c r="I355" s="1979" t="s">
        <v>1129</v>
      </c>
      <c r="J355" s="1979" t="s">
        <v>1130</v>
      </c>
      <c r="K355" s="1979" t="s">
        <v>1131</v>
      </c>
      <c r="L355" s="1979" t="s">
        <v>1132</v>
      </c>
      <c r="M355" s="1979" t="s">
        <v>1133</v>
      </c>
      <c r="N355" s="1980" t="s">
        <v>1134</v>
      </c>
      <c r="O355" s="22"/>
    </row>
    <row r="356" spans="1:15">
      <c r="A356" s="1981" t="s">
        <v>1135</v>
      </c>
      <c r="B356" s="1982"/>
      <c r="C356" s="31">
        <v>74</v>
      </c>
      <c r="D356" s="31">
        <v>94</v>
      </c>
      <c r="E356" s="31">
        <v>113</v>
      </c>
      <c r="F356" s="31">
        <v>133</v>
      </c>
      <c r="G356" s="31">
        <v>164</v>
      </c>
      <c r="H356" s="31">
        <v>196</v>
      </c>
      <c r="I356" s="31">
        <v>223</v>
      </c>
      <c r="J356" s="31">
        <v>249</v>
      </c>
      <c r="K356" s="31">
        <v>282</v>
      </c>
      <c r="L356" s="31">
        <v>326</v>
      </c>
      <c r="M356" s="31">
        <v>367</v>
      </c>
      <c r="N356" s="32">
        <v>418</v>
      </c>
      <c r="O356" s="21"/>
    </row>
    <row r="357" spans="1:15">
      <c r="A357" s="1967" t="s">
        <v>1136</v>
      </c>
      <c r="B357" s="43"/>
      <c r="C357" s="24">
        <v>74</v>
      </c>
      <c r="D357" s="24">
        <v>96</v>
      </c>
      <c r="E357" s="24">
        <v>117</v>
      </c>
      <c r="F357" s="24">
        <v>142</v>
      </c>
      <c r="G357" s="24">
        <v>179</v>
      </c>
      <c r="H357" s="24">
        <v>221</v>
      </c>
      <c r="I357" s="24">
        <v>257</v>
      </c>
      <c r="J357" s="24">
        <v>292</v>
      </c>
      <c r="K357" s="24">
        <v>337</v>
      </c>
      <c r="L357" s="24">
        <v>399</v>
      </c>
      <c r="M357" s="24">
        <v>455</v>
      </c>
      <c r="N357" s="33">
        <v>530</v>
      </c>
      <c r="O357" s="21"/>
    </row>
    <row r="358" spans="1:15" ht="22.5" customHeight="1">
      <c r="A358" s="1967" t="s">
        <v>1137</v>
      </c>
      <c r="B358" s="42">
        <v>0.7</v>
      </c>
      <c r="C358" s="24">
        <f>B358</f>
        <v>0.7</v>
      </c>
      <c r="D358" s="24">
        <f>C358</f>
        <v>0.7</v>
      </c>
      <c r="E358" s="24">
        <f t="shared" ref="E358" si="555">D358</f>
        <v>0.7</v>
      </c>
      <c r="F358" s="24">
        <f t="shared" ref="F358" si="556">E358</f>
        <v>0.7</v>
      </c>
      <c r="G358" s="24">
        <f t="shared" ref="G358" si="557">F358</f>
        <v>0.7</v>
      </c>
      <c r="H358" s="24">
        <f t="shared" ref="H358" si="558">G358</f>
        <v>0.7</v>
      </c>
      <c r="I358" s="24">
        <f t="shared" ref="I358" si="559">H358</f>
        <v>0.7</v>
      </c>
      <c r="J358" s="24">
        <f t="shared" ref="J358" si="560">I358</f>
        <v>0.7</v>
      </c>
      <c r="K358" s="24">
        <f t="shared" ref="K358" si="561">J358</f>
        <v>0.7</v>
      </c>
      <c r="L358" s="24">
        <f t="shared" ref="L358" si="562">K358</f>
        <v>0.7</v>
      </c>
      <c r="M358" s="24">
        <f>L358</f>
        <v>0.7</v>
      </c>
      <c r="N358" s="33">
        <f>M358</f>
        <v>0.7</v>
      </c>
      <c r="O358" s="21"/>
    </row>
    <row r="359" spans="1:15">
      <c r="A359" s="1967" t="s">
        <v>1138</v>
      </c>
      <c r="B359" s="43"/>
      <c r="C359" s="24">
        <f>C356*C358</f>
        <v>51.8</v>
      </c>
      <c r="D359" s="24">
        <f t="shared" ref="D359:G359" si="563">D356*D358</f>
        <v>65.8</v>
      </c>
      <c r="E359" s="24">
        <f t="shared" si="563"/>
        <v>79.099999999999994</v>
      </c>
      <c r="F359" s="24">
        <f t="shared" si="563"/>
        <v>93.1</v>
      </c>
      <c r="G359" s="24">
        <f t="shared" si="563"/>
        <v>114.8</v>
      </c>
      <c r="H359" s="24">
        <f>H356*H358</f>
        <v>137.19999999999999</v>
      </c>
      <c r="I359" s="24">
        <f t="shared" ref="I359:N359" si="564">I356*I358</f>
        <v>156.1</v>
      </c>
      <c r="J359" s="24">
        <f t="shared" si="564"/>
        <v>174.29999999999998</v>
      </c>
      <c r="K359" s="24">
        <f t="shared" si="564"/>
        <v>197.39999999999998</v>
      </c>
      <c r="L359" s="24">
        <f t="shared" si="564"/>
        <v>228.2</v>
      </c>
      <c r="M359" s="24">
        <f t="shared" si="564"/>
        <v>256.89999999999998</v>
      </c>
      <c r="N359" s="33">
        <f t="shared" si="564"/>
        <v>292.59999999999997</v>
      </c>
      <c r="O359" s="21"/>
    </row>
    <row r="360" spans="1:15">
      <c r="A360" s="1967" t="s">
        <v>1139</v>
      </c>
      <c r="B360" s="43"/>
      <c r="C360" s="24">
        <f>C357*C358</f>
        <v>51.8</v>
      </c>
      <c r="D360" s="24">
        <f>D357*D358</f>
        <v>67.199999999999989</v>
      </c>
      <c r="E360" s="24">
        <f t="shared" ref="E360:G360" si="565">E357*E358</f>
        <v>81.899999999999991</v>
      </c>
      <c r="F360" s="24">
        <f t="shared" si="565"/>
        <v>99.399999999999991</v>
      </c>
      <c r="G360" s="24">
        <f t="shared" si="565"/>
        <v>125.3</v>
      </c>
      <c r="H360" s="24">
        <f>H357*H358</f>
        <v>154.69999999999999</v>
      </c>
      <c r="I360" s="24">
        <f t="shared" ref="I360:N360" si="566">I357*I358</f>
        <v>179.89999999999998</v>
      </c>
      <c r="J360" s="24">
        <f t="shared" si="566"/>
        <v>204.39999999999998</v>
      </c>
      <c r="K360" s="24">
        <f t="shared" si="566"/>
        <v>235.89999999999998</v>
      </c>
      <c r="L360" s="24">
        <f t="shared" si="566"/>
        <v>279.29999999999995</v>
      </c>
      <c r="M360" s="24">
        <f t="shared" si="566"/>
        <v>318.5</v>
      </c>
      <c r="N360" s="33">
        <f t="shared" si="566"/>
        <v>371</v>
      </c>
      <c r="O360" s="21"/>
    </row>
    <row r="361" spans="1:15">
      <c r="A361" s="1967"/>
      <c r="B361" s="43"/>
      <c r="C361" s="24"/>
      <c r="D361" s="24"/>
      <c r="E361" s="24"/>
      <c r="F361" s="24"/>
      <c r="G361" s="24"/>
      <c r="H361" s="24"/>
      <c r="I361" s="24"/>
      <c r="J361" s="24"/>
      <c r="K361" s="24"/>
      <c r="L361" s="24"/>
      <c r="M361" s="24"/>
      <c r="N361" s="33"/>
      <c r="O361" s="21"/>
    </row>
    <row r="362" spans="1:15">
      <c r="A362" s="1967" t="s">
        <v>1140</v>
      </c>
      <c r="B362" s="43"/>
      <c r="C362" s="24">
        <v>2.44</v>
      </c>
      <c r="D362" s="24">
        <v>1.54</v>
      </c>
      <c r="E362" s="24">
        <v>1.1100000000000001</v>
      </c>
      <c r="F362" s="24">
        <v>0.82</v>
      </c>
      <c r="G362" s="24">
        <v>0.56699999999999995</v>
      </c>
      <c r="H362" s="24">
        <v>0.41</v>
      </c>
      <c r="I362" s="24">
        <v>0.32400000000000001</v>
      </c>
      <c r="J362" s="24">
        <v>0.26400000000000001</v>
      </c>
      <c r="K362" s="24">
        <v>0.21</v>
      </c>
      <c r="L362" s="24">
        <v>0.16</v>
      </c>
      <c r="M362" s="24">
        <v>0.128</v>
      </c>
      <c r="N362" s="33">
        <v>0.1</v>
      </c>
      <c r="O362" s="21"/>
    </row>
    <row r="363" spans="1:15">
      <c r="A363" s="1967" t="s">
        <v>1141</v>
      </c>
      <c r="B363" s="43"/>
      <c r="C363" s="24">
        <v>8.0799999999999997E-2</v>
      </c>
      <c r="D363" s="24">
        <v>8.0500000000000002E-2</v>
      </c>
      <c r="E363" s="24">
        <v>7.8299999999999995E-2</v>
      </c>
      <c r="F363" s="24">
        <v>7.4999999999999997E-2</v>
      </c>
      <c r="G363" s="24">
        <v>7.3999999999999996E-2</v>
      </c>
      <c r="H363" s="24">
        <v>7.2400000000000006E-2</v>
      </c>
      <c r="I363" s="24">
        <v>7.1199999999999999E-2</v>
      </c>
      <c r="J363" s="24">
        <v>7.1599999999999997E-2</v>
      </c>
      <c r="K363" s="24">
        <v>7.1800000000000003E-2</v>
      </c>
      <c r="L363" s="24">
        <v>7.0999999999999994E-2</v>
      </c>
      <c r="M363" s="24">
        <v>7.0499999999999993E-2</v>
      </c>
      <c r="N363" s="33">
        <v>7.0400000000000004E-2</v>
      </c>
      <c r="O363" s="21"/>
    </row>
    <row r="364" spans="1:15">
      <c r="A364" s="1967"/>
      <c r="B364" s="43"/>
      <c r="C364" s="24"/>
      <c r="D364" s="24"/>
      <c r="E364" s="24"/>
      <c r="F364" s="24"/>
      <c r="G364" s="24"/>
      <c r="H364" s="24"/>
      <c r="I364" s="24"/>
      <c r="J364" s="24"/>
      <c r="K364" s="24"/>
      <c r="L364" s="24"/>
      <c r="M364" s="24"/>
      <c r="N364" s="33"/>
      <c r="O364" s="21"/>
    </row>
    <row r="365" spans="1:15" ht="24.75" customHeight="1">
      <c r="A365" s="1968" t="s">
        <v>1142</v>
      </c>
      <c r="B365" s="41">
        <f>A373</f>
        <v>0</v>
      </c>
      <c r="C365" s="24">
        <f t="shared" ref="C365:C367" si="567">B365</f>
        <v>0</v>
      </c>
      <c r="D365" s="24">
        <f t="shared" ref="D365:D367" si="568">C365</f>
        <v>0</v>
      </c>
      <c r="E365" s="24">
        <f t="shared" ref="E365:E367" si="569">D365</f>
        <v>0</v>
      </c>
      <c r="F365" s="24">
        <f t="shared" ref="F365:F367" si="570">E365</f>
        <v>0</v>
      </c>
      <c r="G365" s="24">
        <f t="shared" ref="G365:G367" si="571">F365</f>
        <v>0</v>
      </c>
      <c r="H365" s="24">
        <f t="shared" ref="H365:H367" si="572">G365</f>
        <v>0</v>
      </c>
      <c r="I365" s="24">
        <f t="shared" ref="I365:I367" si="573">H365</f>
        <v>0</v>
      </c>
      <c r="J365" s="24">
        <f t="shared" ref="J365:J367" si="574">I365</f>
        <v>0</v>
      </c>
      <c r="K365" s="24">
        <f t="shared" ref="K365:K367" si="575">J365</f>
        <v>0</v>
      </c>
      <c r="L365" s="24">
        <f t="shared" ref="L365:L367" si="576">K365</f>
        <v>0</v>
      </c>
      <c r="M365" s="24">
        <f t="shared" ref="M365:M367" si="577">L365</f>
        <v>0</v>
      </c>
      <c r="N365" s="33">
        <f t="shared" ref="N365:N367" si="578">M365</f>
        <v>0</v>
      </c>
      <c r="O365" s="21"/>
    </row>
    <row r="366" spans="1:15">
      <c r="A366" s="1968" t="s">
        <v>1143</v>
      </c>
      <c r="B366" s="42">
        <f>'Input''s from Initial Design'!X90</f>
        <v>0</v>
      </c>
      <c r="C366" s="24">
        <f t="shared" si="567"/>
        <v>0</v>
      </c>
      <c r="D366" s="24">
        <f t="shared" si="568"/>
        <v>0</v>
      </c>
      <c r="E366" s="24">
        <f t="shared" si="569"/>
        <v>0</v>
      </c>
      <c r="F366" s="24">
        <f t="shared" si="570"/>
        <v>0</v>
      </c>
      <c r="G366" s="24">
        <f t="shared" si="571"/>
        <v>0</v>
      </c>
      <c r="H366" s="24">
        <f t="shared" si="572"/>
        <v>0</v>
      </c>
      <c r="I366" s="24">
        <f t="shared" si="573"/>
        <v>0</v>
      </c>
      <c r="J366" s="24">
        <f t="shared" si="574"/>
        <v>0</v>
      </c>
      <c r="K366" s="24">
        <f t="shared" si="575"/>
        <v>0</v>
      </c>
      <c r="L366" s="24">
        <f t="shared" si="576"/>
        <v>0</v>
      </c>
      <c r="M366" s="24">
        <f t="shared" si="577"/>
        <v>0</v>
      </c>
      <c r="N366" s="33">
        <f t="shared" si="578"/>
        <v>0</v>
      </c>
      <c r="O366" s="21"/>
    </row>
    <row r="367" spans="1:15">
      <c r="A367" s="1968" t="s">
        <v>1144</v>
      </c>
      <c r="B367" s="42">
        <f>'Input''s from Initial Design'!Y90</f>
        <v>0</v>
      </c>
      <c r="C367" s="24">
        <f t="shared" si="567"/>
        <v>0</v>
      </c>
      <c r="D367" s="24">
        <f t="shared" si="568"/>
        <v>0</v>
      </c>
      <c r="E367" s="24">
        <f t="shared" si="569"/>
        <v>0</v>
      </c>
      <c r="F367" s="24">
        <f t="shared" si="570"/>
        <v>0</v>
      </c>
      <c r="G367" s="24">
        <f t="shared" si="571"/>
        <v>0</v>
      </c>
      <c r="H367" s="24">
        <f t="shared" si="572"/>
        <v>0</v>
      </c>
      <c r="I367" s="24">
        <f t="shared" si="573"/>
        <v>0</v>
      </c>
      <c r="J367" s="24">
        <f t="shared" si="574"/>
        <v>0</v>
      </c>
      <c r="K367" s="24">
        <f t="shared" si="575"/>
        <v>0</v>
      </c>
      <c r="L367" s="24">
        <f t="shared" si="576"/>
        <v>0</v>
      </c>
      <c r="M367" s="24">
        <f t="shared" si="577"/>
        <v>0</v>
      </c>
      <c r="N367" s="33">
        <f t="shared" si="578"/>
        <v>0</v>
      </c>
      <c r="O367" s="21"/>
    </row>
    <row r="368" spans="1:15">
      <c r="A368" s="1968" t="s">
        <v>1145</v>
      </c>
      <c r="B368" s="42">
        <v>415</v>
      </c>
      <c r="C368" s="24">
        <f>+B368</f>
        <v>415</v>
      </c>
      <c r="D368" s="24">
        <f t="shared" ref="D368" si="579">+C368</f>
        <v>415</v>
      </c>
      <c r="E368" s="24">
        <f t="shared" ref="E368" si="580">+D368</f>
        <v>415</v>
      </c>
      <c r="F368" s="24">
        <f t="shared" ref="F368" si="581">+E368</f>
        <v>415</v>
      </c>
      <c r="G368" s="24">
        <f t="shared" ref="G368" si="582">+F368</f>
        <v>415</v>
      </c>
      <c r="H368" s="24">
        <f t="shared" ref="H368" si="583">+G368</f>
        <v>415</v>
      </c>
      <c r="I368" s="24">
        <f t="shared" ref="I368" si="584">+H368</f>
        <v>415</v>
      </c>
      <c r="J368" s="24">
        <f t="shared" ref="J368" si="585">+I368</f>
        <v>415</v>
      </c>
      <c r="K368" s="24">
        <f t="shared" ref="K368" si="586">+J368</f>
        <v>415</v>
      </c>
      <c r="L368" s="24">
        <f t="shared" ref="L368" si="587">+K368</f>
        <v>415</v>
      </c>
      <c r="M368" s="24">
        <f t="shared" ref="M368" si="588">+L368</f>
        <v>415</v>
      </c>
      <c r="N368" s="33">
        <f t="shared" ref="N368" si="589">+M368</f>
        <v>415</v>
      </c>
      <c r="O368" s="21"/>
    </row>
    <row r="369" spans="1:15">
      <c r="A369" s="1967" t="s">
        <v>1146</v>
      </c>
      <c r="B369" s="43"/>
      <c r="C369" s="25" t="e">
        <f t="shared" ref="C369:N369" si="590">1.732*C365*(C362/1000*1+C363/1000*0)*C366/C367</f>
        <v>#DIV/0!</v>
      </c>
      <c r="D369" s="25" t="e">
        <f t="shared" si="590"/>
        <v>#DIV/0!</v>
      </c>
      <c r="E369" s="25" t="e">
        <f t="shared" si="590"/>
        <v>#DIV/0!</v>
      </c>
      <c r="F369" s="25" t="e">
        <f t="shared" si="590"/>
        <v>#DIV/0!</v>
      </c>
      <c r="G369" s="25" t="e">
        <f t="shared" si="590"/>
        <v>#DIV/0!</v>
      </c>
      <c r="H369" s="25" t="e">
        <f t="shared" si="590"/>
        <v>#DIV/0!</v>
      </c>
      <c r="I369" s="25" t="e">
        <f t="shared" si="590"/>
        <v>#DIV/0!</v>
      </c>
      <c r="J369" s="25" t="e">
        <f t="shared" si="590"/>
        <v>#DIV/0!</v>
      </c>
      <c r="K369" s="25" t="e">
        <f t="shared" si="590"/>
        <v>#DIV/0!</v>
      </c>
      <c r="L369" s="25" t="e">
        <f t="shared" si="590"/>
        <v>#DIV/0!</v>
      </c>
      <c r="M369" s="25" t="e">
        <f t="shared" si="590"/>
        <v>#DIV/0!</v>
      </c>
      <c r="N369" s="34" t="e">
        <f t="shared" si="590"/>
        <v>#DIV/0!</v>
      </c>
      <c r="O369" s="21"/>
    </row>
    <row r="370" spans="1:15">
      <c r="A370" s="1967" t="s">
        <v>1147</v>
      </c>
      <c r="B370" s="43"/>
      <c r="C370" s="1965" t="e">
        <f>C369/C368</f>
        <v>#DIV/0!</v>
      </c>
      <c r="D370" s="1965" t="e">
        <f t="shared" ref="D370:N370" si="591">D369/D368</f>
        <v>#DIV/0!</v>
      </c>
      <c r="E370" s="1965" t="e">
        <f t="shared" si="591"/>
        <v>#DIV/0!</v>
      </c>
      <c r="F370" s="1965" t="e">
        <f t="shared" si="591"/>
        <v>#DIV/0!</v>
      </c>
      <c r="G370" s="1965" t="e">
        <f t="shared" si="591"/>
        <v>#DIV/0!</v>
      </c>
      <c r="H370" s="1965" t="e">
        <f t="shared" si="591"/>
        <v>#DIV/0!</v>
      </c>
      <c r="I370" s="1965" t="e">
        <f t="shared" si="591"/>
        <v>#DIV/0!</v>
      </c>
      <c r="J370" s="1965" t="e">
        <f t="shared" si="591"/>
        <v>#DIV/0!</v>
      </c>
      <c r="K370" s="1965" t="e">
        <f t="shared" si="591"/>
        <v>#DIV/0!</v>
      </c>
      <c r="L370" s="1965" t="e">
        <f t="shared" si="591"/>
        <v>#DIV/0!</v>
      </c>
      <c r="M370" s="1965" t="e">
        <f t="shared" si="591"/>
        <v>#DIV/0!</v>
      </c>
      <c r="N370" s="1969" t="e">
        <f t="shared" si="591"/>
        <v>#DIV/0!</v>
      </c>
      <c r="O370" s="21"/>
    </row>
    <row r="371" spans="1:15">
      <c r="A371" s="1968" t="s">
        <v>1148</v>
      </c>
      <c r="B371" s="1966">
        <v>0.02</v>
      </c>
      <c r="C371" s="24" t="e">
        <f>IF(AND((C365*1.25)&lt;(C359*C367),(C370&lt;$B$16)),"PASS","FAIL")</f>
        <v>#DIV/0!</v>
      </c>
      <c r="D371" s="24" t="e">
        <f>IF(AND((D365*1.25)&lt;(D359*D367),(D370&lt;$B$16)),"PASS","FAIL")</f>
        <v>#DIV/0!</v>
      </c>
      <c r="E371" s="24" t="e">
        <f>IF(AND((E365*1.25)&lt;(E359*E367),(E370&lt;$B$16)),"PASS","FAIL")</f>
        <v>#DIV/0!</v>
      </c>
      <c r="F371" s="24" t="e">
        <f>IF(AND((F365*1.25)&lt;(F359*F367),(F370&lt;$B$16)),"PASS","FAIL")</f>
        <v>#DIV/0!</v>
      </c>
      <c r="G371" s="24" t="e">
        <f>IF(AND((G365*1.25)&lt;(G359*G367),(G370&lt;$B$16)),"PASS","FAIL")</f>
        <v>#DIV/0!</v>
      </c>
      <c r="H371" s="24" t="e">
        <f>IF(AND((H365*1.1)&lt;(H359*H367),(H370&lt;$B$16)),"PASS","FAIL")</f>
        <v>#DIV/0!</v>
      </c>
      <c r="I371" s="24" t="e">
        <f t="shared" ref="I371:N371" si="592">IF(AND((I365*1.25)&lt;(I359*I367),(I370&lt;$B$16)),"PASS","FAIL")</f>
        <v>#DIV/0!</v>
      </c>
      <c r="J371" s="24" t="e">
        <f t="shared" si="592"/>
        <v>#DIV/0!</v>
      </c>
      <c r="K371" s="24" t="e">
        <f t="shared" si="592"/>
        <v>#DIV/0!</v>
      </c>
      <c r="L371" s="24" t="e">
        <f t="shared" si="592"/>
        <v>#DIV/0!</v>
      </c>
      <c r="M371" s="24" t="e">
        <f t="shared" si="592"/>
        <v>#DIV/0!</v>
      </c>
      <c r="N371" s="33" t="e">
        <f t="shared" si="592"/>
        <v>#DIV/0!</v>
      </c>
      <c r="O371" s="21"/>
    </row>
    <row r="372" spans="1:15" ht="18.600000000000001" thickBot="1">
      <c r="A372" s="1970" t="s">
        <v>1149</v>
      </c>
      <c r="B372" s="1971"/>
      <c r="C372" s="1972" t="e">
        <f t="shared" ref="C372:N372" si="593">IF(AND((C365*1.25)&lt;(C360*C367),(C370&lt;$B$16)),"PASS","FAIL")</f>
        <v>#DIV/0!</v>
      </c>
      <c r="D372" s="1972" t="e">
        <f t="shared" si="593"/>
        <v>#DIV/0!</v>
      </c>
      <c r="E372" s="1972" t="e">
        <f t="shared" si="593"/>
        <v>#DIV/0!</v>
      </c>
      <c r="F372" s="1972" t="e">
        <f t="shared" si="593"/>
        <v>#DIV/0!</v>
      </c>
      <c r="G372" s="1972" t="e">
        <f t="shared" si="593"/>
        <v>#DIV/0!</v>
      </c>
      <c r="H372" s="1972" t="e">
        <f t="shared" si="593"/>
        <v>#DIV/0!</v>
      </c>
      <c r="I372" s="1972" t="e">
        <f t="shared" si="593"/>
        <v>#DIV/0!</v>
      </c>
      <c r="J372" s="1972" t="e">
        <f t="shared" si="593"/>
        <v>#DIV/0!</v>
      </c>
      <c r="K372" s="1972" t="e">
        <f t="shared" si="593"/>
        <v>#DIV/0!</v>
      </c>
      <c r="L372" s="1972" t="e">
        <f t="shared" si="593"/>
        <v>#DIV/0!</v>
      </c>
      <c r="M372" s="1972" t="e">
        <f t="shared" si="593"/>
        <v>#DIV/0!</v>
      </c>
      <c r="N372" s="1973" t="e">
        <f t="shared" si="593"/>
        <v>#DIV/0!</v>
      </c>
      <c r="O372" s="21"/>
    </row>
    <row r="373" spans="1:15">
      <c r="A373" s="1963">
        <f>('Input''s from Initial Design'!W90*1000/(1.732*440*1))</f>
        <v>0</v>
      </c>
      <c r="B373" s="1964" t="s">
        <v>1150</v>
      </c>
      <c r="C373" s="26"/>
      <c r="D373" s="3213"/>
      <c r="E373" s="3213"/>
      <c r="F373" s="3213"/>
      <c r="G373" s="21"/>
      <c r="H373" s="21"/>
      <c r="I373" s="21"/>
      <c r="J373" s="21"/>
    </row>
    <row r="374" spans="1:15">
      <c r="A374" s="21"/>
      <c r="B374" s="21"/>
      <c r="C374" s="26"/>
      <c r="D374" s="21"/>
      <c r="E374" s="21">
        <v>16</v>
      </c>
      <c r="F374" s="21"/>
      <c r="G374" s="27"/>
      <c r="H374" s="21"/>
      <c r="I374" s="21"/>
      <c r="J374" s="21"/>
    </row>
    <row r="375" spans="1:15">
      <c r="A375" s="28" t="s">
        <v>1148</v>
      </c>
      <c r="B375" s="29" t="e">
        <f>IF(C371="FAIL",IF(D371="FAIL",IF(E371="FAIL",IF(F371="FAIL",IF(G371="FAIL",IF(H371="FAIL",IF(I371="FAIL",IF(J371="FAIL",IF(K371="FAIL",IF(L371="FAIL",IF(M371="FAIL","NO MATCH",$M$1),$L$1),$K$1),$J$1),$I$1),$H$1),$G$1),$F$1),$E$1),$D$1),$C$1)</f>
        <v>#DIV/0!</v>
      </c>
      <c r="C375" s="30" t="s">
        <v>1151</v>
      </c>
      <c r="D375" s="21"/>
      <c r="E375" s="21"/>
      <c r="F375" s="21"/>
      <c r="G375" s="21"/>
      <c r="H375" s="26"/>
      <c r="I375" s="21"/>
      <c r="J375" s="21"/>
      <c r="K375" s="21"/>
      <c r="L375" s="21"/>
      <c r="N375" s="21"/>
      <c r="O375" s="21"/>
    </row>
    <row r="376" spans="1:15">
      <c r="A376" s="28" t="s">
        <v>1149</v>
      </c>
      <c r="B376" s="29" t="e">
        <f>IF(C372="FAIL",IF(D372="FAIL",IF(E372="FAIL",IF(F372="FAIL",IF(G372="FAIL",IF(H372="FAIL",IF(I372="FAIL",IF(J372="FAIL",IF(K372="FAIL",IF(L372="FAIL",IF(M372="FAIL","NO MATCH",$M$1),$L$1),$K$1),$J$1),$I$1),$H$1),$G$1),$F$1),$E$1),$D$1),$C$1)</f>
        <v>#DIV/0!</v>
      </c>
      <c r="C376" s="30" t="s">
        <v>1151</v>
      </c>
      <c r="D376" s="21"/>
      <c r="E376" s="21"/>
      <c r="F376" s="21"/>
      <c r="G376" s="21"/>
      <c r="H376" s="26"/>
      <c r="I376" s="21"/>
      <c r="J376" s="21"/>
      <c r="K376" s="21"/>
      <c r="L376" s="21"/>
      <c r="N376" s="21"/>
      <c r="O376" s="21"/>
    </row>
    <row r="377" spans="1:15" ht="18.600000000000001" thickBot="1"/>
    <row r="378" spans="1:15" s="23" customFormat="1">
      <c r="A378" s="3214" t="s">
        <v>1122</v>
      </c>
      <c r="B378" s="3216"/>
      <c r="C378" s="35">
        <v>16</v>
      </c>
      <c r="D378" s="36">
        <v>25</v>
      </c>
      <c r="E378" s="36">
        <v>35</v>
      </c>
      <c r="F378" s="36">
        <v>50</v>
      </c>
      <c r="G378" s="36">
        <v>70</v>
      </c>
      <c r="H378" s="36">
        <v>95</v>
      </c>
      <c r="I378" s="36">
        <v>120</v>
      </c>
      <c r="J378" s="36">
        <v>150</v>
      </c>
      <c r="K378" s="36">
        <v>185</v>
      </c>
      <c r="L378" s="36">
        <v>240</v>
      </c>
      <c r="M378" s="36">
        <v>300</v>
      </c>
      <c r="N378" s="37">
        <v>400</v>
      </c>
      <c r="O378" s="22"/>
    </row>
    <row r="379" spans="1:15" s="23" customFormat="1" ht="18.600000000000001" thickBot="1">
      <c r="A379" s="3215"/>
      <c r="B379" s="3217"/>
      <c r="C379" s="1978" t="s">
        <v>1123</v>
      </c>
      <c r="D379" s="1979" t="s">
        <v>1124</v>
      </c>
      <c r="E379" s="1979" t="s">
        <v>1125</v>
      </c>
      <c r="F379" s="1979" t="s">
        <v>1126</v>
      </c>
      <c r="G379" s="1979" t="s">
        <v>1127</v>
      </c>
      <c r="H379" s="1979" t="s">
        <v>1128</v>
      </c>
      <c r="I379" s="1979" t="s">
        <v>1129</v>
      </c>
      <c r="J379" s="1979" t="s">
        <v>1130</v>
      </c>
      <c r="K379" s="1979" t="s">
        <v>1131</v>
      </c>
      <c r="L379" s="1979" t="s">
        <v>1132</v>
      </c>
      <c r="M379" s="1979" t="s">
        <v>1133</v>
      </c>
      <c r="N379" s="1980" t="s">
        <v>1134</v>
      </c>
      <c r="O379" s="22"/>
    </row>
    <row r="380" spans="1:15">
      <c r="A380" s="1981" t="s">
        <v>1135</v>
      </c>
      <c r="B380" s="1982"/>
      <c r="C380" s="31">
        <v>74</v>
      </c>
      <c r="D380" s="31">
        <v>94</v>
      </c>
      <c r="E380" s="31">
        <v>113</v>
      </c>
      <c r="F380" s="31">
        <v>133</v>
      </c>
      <c r="G380" s="31">
        <v>164</v>
      </c>
      <c r="H380" s="31">
        <v>196</v>
      </c>
      <c r="I380" s="31">
        <v>223</v>
      </c>
      <c r="J380" s="31">
        <v>249</v>
      </c>
      <c r="K380" s="31">
        <v>282</v>
      </c>
      <c r="L380" s="31">
        <v>326</v>
      </c>
      <c r="M380" s="31">
        <v>367</v>
      </c>
      <c r="N380" s="32">
        <v>418</v>
      </c>
      <c r="O380" s="21"/>
    </row>
    <row r="381" spans="1:15">
      <c r="A381" s="1967" t="s">
        <v>1136</v>
      </c>
      <c r="B381" s="43"/>
      <c r="C381" s="24">
        <v>74</v>
      </c>
      <c r="D381" s="24">
        <v>96</v>
      </c>
      <c r="E381" s="24">
        <v>117</v>
      </c>
      <c r="F381" s="24">
        <v>142</v>
      </c>
      <c r="G381" s="24">
        <v>179</v>
      </c>
      <c r="H381" s="24">
        <v>221</v>
      </c>
      <c r="I381" s="24">
        <v>257</v>
      </c>
      <c r="J381" s="24">
        <v>292</v>
      </c>
      <c r="K381" s="24">
        <v>337</v>
      </c>
      <c r="L381" s="24">
        <v>399</v>
      </c>
      <c r="M381" s="24">
        <v>455</v>
      </c>
      <c r="N381" s="33">
        <v>530</v>
      </c>
      <c r="O381" s="21"/>
    </row>
    <row r="382" spans="1:15" ht="22.5" customHeight="1">
      <c r="A382" s="1967" t="s">
        <v>1137</v>
      </c>
      <c r="B382" s="42">
        <v>0.7</v>
      </c>
      <c r="C382" s="24">
        <f>B382</f>
        <v>0.7</v>
      </c>
      <c r="D382" s="24">
        <f>C382</f>
        <v>0.7</v>
      </c>
      <c r="E382" s="24">
        <f t="shared" ref="E382" si="594">D382</f>
        <v>0.7</v>
      </c>
      <c r="F382" s="24">
        <f t="shared" ref="F382" si="595">E382</f>
        <v>0.7</v>
      </c>
      <c r="G382" s="24">
        <f t="shared" ref="G382" si="596">F382</f>
        <v>0.7</v>
      </c>
      <c r="H382" s="24">
        <f t="shared" ref="H382" si="597">G382</f>
        <v>0.7</v>
      </c>
      <c r="I382" s="24">
        <f t="shared" ref="I382" si="598">H382</f>
        <v>0.7</v>
      </c>
      <c r="J382" s="24">
        <f t="shared" ref="J382" si="599">I382</f>
        <v>0.7</v>
      </c>
      <c r="K382" s="24">
        <f t="shared" ref="K382" si="600">J382</f>
        <v>0.7</v>
      </c>
      <c r="L382" s="24">
        <f t="shared" ref="L382" si="601">K382</f>
        <v>0.7</v>
      </c>
      <c r="M382" s="24">
        <f>L382</f>
        <v>0.7</v>
      </c>
      <c r="N382" s="33">
        <f>M382</f>
        <v>0.7</v>
      </c>
      <c r="O382" s="21"/>
    </row>
    <row r="383" spans="1:15">
      <c r="A383" s="1967" t="s">
        <v>1138</v>
      </c>
      <c r="B383" s="43"/>
      <c r="C383" s="24">
        <f>C380*C382</f>
        <v>51.8</v>
      </c>
      <c r="D383" s="24">
        <f t="shared" ref="D383:G383" si="602">D380*D382</f>
        <v>65.8</v>
      </c>
      <c r="E383" s="24">
        <f t="shared" si="602"/>
        <v>79.099999999999994</v>
      </c>
      <c r="F383" s="24">
        <f t="shared" si="602"/>
        <v>93.1</v>
      </c>
      <c r="G383" s="24">
        <f t="shared" si="602"/>
        <v>114.8</v>
      </c>
      <c r="H383" s="24">
        <f>H380*H382</f>
        <v>137.19999999999999</v>
      </c>
      <c r="I383" s="24">
        <f t="shared" ref="I383:N383" si="603">I380*I382</f>
        <v>156.1</v>
      </c>
      <c r="J383" s="24">
        <f t="shared" si="603"/>
        <v>174.29999999999998</v>
      </c>
      <c r="K383" s="24">
        <f t="shared" si="603"/>
        <v>197.39999999999998</v>
      </c>
      <c r="L383" s="24">
        <f t="shared" si="603"/>
        <v>228.2</v>
      </c>
      <c r="M383" s="24">
        <f t="shared" si="603"/>
        <v>256.89999999999998</v>
      </c>
      <c r="N383" s="33">
        <f t="shared" si="603"/>
        <v>292.59999999999997</v>
      </c>
      <c r="O383" s="21"/>
    </row>
    <row r="384" spans="1:15">
      <c r="A384" s="1967" t="s">
        <v>1139</v>
      </c>
      <c r="B384" s="43"/>
      <c r="C384" s="24">
        <f>C381*C382</f>
        <v>51.8</v>
      </c>
      <c r="D384" s="24">
        <f>D381*D382</f>
        <v>67.199999999999989</v>
      </c>
      <c r="E384" s="24">
        <f t="shared" ref="E384:G384" si="604">E381*E382</f>
        <v>81.899999999999991</v>
      </c>
      <c r="F384" s="24">
        <f t="shared" si="604"/>
        <v>99.399999999999991</v>
      </c>
      <c r="G384" s="24">
        <f t="shared" si="604"/>
        <v>125.3</v>
      </c>
      <c r="H384" s="24">
        <f>H381*H382</f>
        <v>154.69999999999999</v>
      </c>
      <c r="I384" s="24">
        <f t="shared" ref="I384:N384" si="605">I381*I382</f>
        <v>179.89999999999998</v>
      </c>
      <c r="J384" s="24">
        <f t="shared" si="605"/>
        <v>204.39999999999998</v>
      </c>
      <c r="K384" s="24">
        <f t="shared" si="605"/>
        <v>235.89999999999998</v>
      </c>
      <c r="L384" s="24">
        <f t="shared" si="605"/>
        <v>279.29999999999995</v>
      </c>
      <c r="M384" s="24">
        <f t="shared" si="605"/>
        <v>318.5</v>
      </c>
      <c r="N384" s="33">
        <f t="shared" si="605"/>
        <v>371</v>
      </c>
      <c r="O384" s="21"/>
    </row>
    <row r="385" spans="1:15">
      <c r="A385" s="1967"/>
      <c r="B385" s="43"/>
      <c r="C385" s="24"/>
      <c r="D385" s="24"/>
      <c r="E385" s="24"/>
      <c r="F385" s="24"/>
      <c r="G385" s="24"/>
      <c r="H385" s="24"/>
      <c r="I385" s="24"/>
      <c r="J385" s="24"/>
      <c r="K385" s="24"/>
      <c r="L385" s="24"/>
      <c r="M385" s="24"/>
      <c r="N385" s="33"/>
      <c r="O385" s="21"/>
    </row>
    <row r="386" spans="1:15">
      <c r="A386" s="1967" t="s">
        <v>1140</v>
      </c>
      <c r="B386" s="43"/>
      <c r="C386" s="24">
        <v>2.44</v>
      </c>
      <c r="D386" s="24">
        <v>1.54</v>
      </c>
      <c r="E386" s="24">
        <v>1.1100000000000001</v>
      </c>
      <c r="F386" s="24">
        <v>0.82</v>
      </c>
      <c r="G386" s="24">
        <v>0.56699999999999995</v>
      </c>
      <c r="H386" s="24">
        <v>0.41</v>
      </c>
      <c r="I386" s="24">
        <v>0.32400000000000001</v>
      </c>
      <c r="J386" s="24">
        <v>0.26400000000000001</v>
      </c>
      <c r="K386" s="24">
        <v>0.21</v>
      </c>
      <c r="L386" s="24">
        <v>0.16</v>
      </c>
      <c r="M386" s="24">
        <v>0.128</v>
      </c>
      <c r="N386" s="33">
        <v>0.1</v>
      </c>
      <c r="O386" s="21"/>
    </row>
    <row r="387" spans="1:15">
      <c r="A387" s="1967" t="s">
        <v>1141</v>
      </c>
      <c r="B387" s="43"/>
      <c r="C387" s="24">
        <v>8.0799999999999997E-2</v>
      </c>
      <c r="D387" s="24">
        <v>8.0500000000000002E-2</v>
      </c>
      <c r="E387" s="24">
        <v>7.8299999999999995E-2</v>
      </c>
      <c r="F387" s="24">
        <v>7.4999999999999997E-2</v>
      </c>
      <c r="G387" s="24">
        <v>7.3999999999999996E-2</v>
      </c>
      <c r="H387" s="24">
        <v>7.2400000000000006E-2</v>
      </c>
      <c r="I387" s="24">
        <v>7.1199999999999999E-2</v>
      </c>
      <c r="J387" s="24">
        <v>7.1599999999999997E-2</v>
      </c>
      <c r="K387" s="24">
        <v>7.1800000000000003E-2</v>
      </c>
      <c r="L387" s="24">
        <v>7.0999999999999994E-2</v>
      </c>
      <c r="M387" s="24">
        <v>7.0499999999999993E-2</v>
      </c>
      <c r="N387" s="33">
        <v>7.0400000000000004E-2</v>
      </c>
      <c r="O387" s="21"/>
    </row>
    <row r="388" spans="1:15">
      <c r="A388" s="1967"/>
      <c r="B388" s="43"/>
      <c r="C388" s="24"/>
      <c r="D388" s="24"/>
      <c r="E388" s="24"/>
      <c r="F388" s="24"/>
      <c r="G388" s="24"/>
      <c r="H388" s="24"/>
      <c r="I388" s="24"/>
      <c r="J388" s="24"/>
      <c r="K388" s="24"/>
      <c r="L388" s="24"/>
      <c r="M388" s="24"/>
      <c r="N388" s="33"/>
      <c r="O388" s="21"/>
    </row>
    <row r="389" spans="1:15" ht="24.75" customHeight="1">
      <c r="A389" s="1968" t="s">
        <v>1142</v>
      </c>
      <c r="B389" s="41">
        <f>A397</f>
        <v>0</v>
      </c>
      <c r="C389" s="24">
        <f t="shared" ref="C389:C391" si="606">B389</f>
        <v>0</v>
      </c>
      <c r="D389" s="24">
        <f t="shared" ref="D389:D391" si="607">C389</f>
        <v>0</v>
      </c>
      <c r="E389" s="24">
        <f t="shared" ref="E389:E391" si="608">D389</f>
        <v>0</v>
      </c>
      <c r="F389" s="24">
        <f t="shared" ref="F389:F391" si="609">E389</f>
        <v>0</v>
      </c>
      <c r="G389" s="24">
        <f t="shared" ref="G389:G391" si="610">F389</f>
        <v>0</v>
      </c>
      <c r="H389" s="24">
        <f t="shared" ref="H389:H391" si="611">G389</f>
        <v>0</v>
      </c>
      <c r="I389" s="24">
        <f t="shared" ref="I389:I391" si="612">H389</f>
        <v>0</v>
      </c>
      <c r="J389" s="24">
        <f t="shared" ref="J389:J391" si="613">I389</f>
        <v>0</v>
      </c>
      <c r="K389" s="24">
        <f t="shared" ref="K389:K391" si="614">J389</f>
        <v>0</v>
      </c>
      <c r="L389" s="24">
        <f t="shared" ref="L389:L391" si="615">K389</f>
        <v>0</v>
      </c>
      <c r="M389" s="24">
        <f t="shared" ref="M389:M391" si="616">L389</f>
        <v>0</v>
      </c>
      <c r="N389" s="33">
        <f t="shared" ref="N389:N391" si="617">M389</f>
        <v>0</v>
      </c>
      <c r="O389" s="21"/>
    </row>
    <row r="390" spans="1:15">
      <c r="A390" s="1968" t="s">
        <v>1143</v>
      </c>
      <c r="B390" s="42">
        <f>'Input''s from Initial Design'!X92</f>
        <v>0</v>
      </c>
      <c r="C390" s="24">
        <f t="shared" si="606"/>
        <v>0</v>
      </c>
      <c r="D390" s="24">
        <f t="shared" si="607"/>
        <v>0</v>
      </c>
      <c r="E390" s="24">
        <f t="shared" si="608"/>
        <v>0</v>
      </c>
      <c r="F390" s="24">
        <f t="shared" si="609"/>
        <v>0</v>
      </c>
      <c r="G390" s="24">
        <f t="shared" si="610"/>
        <v>0</v>
      </c>
      <c r="H390" s="24">
        <f t="shared" si="611"/>
        <v>0</v>
      </c>
      <c r="I390" s="24">
        <f t="shared" si="612"/>
        <v>0</v>
      </c>
      <c r="J390" s="24">
        <f t="shared" si="613"/>
        <v>0</v>
      </c>
      <c r="K390" s="24">
        <f t="shared" si="614"/>
        <v>0</v>
      </c>
      <c r="L390" s="24">
        <f t="shared" si="615"/>
        <v>0</v>
      </c>
      <c r="M390" s="24">
        <f t="shared" si="616"/>
        <v>0</v>
      </c>
      <c r="N390" s="33">
        <f t="shared" si="617"/>
        <v>0</v>
      </c>
      <c r="O390" s="21"/>
    </row>
    <row r="391" spans="1:15">
      <c r="A391" s="1968" t="s">
        <v>1144</v>
      </c>
      <c r="B391" s="42">
        <f>'Input''s from Initial Design'!Y92</f>
        <v>0</v>
      </c>
      <c r="C391" s="24">
        <f t="shared" si="606"/>
        <v>0</v>
      </c>
      <c r="D391" s="24">
        <f t="shared" si="607"/>
        <v>0</v>
      </c>
      <c r="E391" s="24">
        <f t="shared" si="608"/>
        <v>0</v>
      </c>
      <c r="F391" s="24">
        <f t="shared" si="609"/>
        <v>0</v>
      </c>
      <c r="G391" s="24">
        <f t="shared" si="610"/>
        <v>0</v>
      </c>
      <c r="H391" s="24">
        <f t="shared" si="611"/>
        <v>0</v>
      </c>
      <c r="I391" s="24">
        <f t="shared" si="612"/>
        <v>0</v>
      </c>
      <c r="J391" s="24">
        <f t="shared" si="613"/>
        <v>0</v>
      </c>
      <c r="K391" s="24">
        <f t="shared" si="614"/>
        <v>0</v>
      </c>
      <c r="L391" s="24">
        <f t="shared" si="615"/>
        <v>0</v>
      </c>
      <c r="M391" s="24">
        <f t="shared" si="616"/>
        <v>0</v>
      </c>
      <c r="N391" s="33">
        <f t="shared" si="617"/>
        <v>0</v>
      </c>
      <c r="O391" s="21"/>
    </row>
    <row r="392" spans="1:15">
      <c r="A392" s="1968" t="s">
        <v>1145</v>
      </c>
      <c r="B392" s="42">
        <v>415</v>
      </c>
      <c r="C392" s="24">
        <f>+B392</f>
        <v>415</v>
      </c>
      <c r="D392" s="24">
        <f t="shared" ref="D392" si="618">+C392</f>
        <v>415</v>
      </c>
      <c r="E392" s="24">
        <f t="shared" ref="E392" si="619">+D392</f>
        <v>415</v>
      </c>
      <c r="F392" s="24">
        <f t="shared" ref="F392" si="620">+E392</f>
        <v>415</v>
      </c>
      <c r="G392" s="24">
        <f t="shared" ref="G392" si="621">+F392</f>
        <v>415</v>
      </c>
      <c r="H392" s="24">
        <f t="shared" ref="H392" si="622">+G392</f>
        <v>415</v>
      </c>
      <c r="I392" s="24">
        <f t="shared" ref="I392" si="623">+H392</f>
        <v>415</v>
      </c>
      <c r="J392" s="24">
        <f t="shared" ref="J392" si="624">+I392</f>
        <v>415</v>
      </c>
      <c r="K392" s="24">
        <f t="shared" ref="K392" si="625">+J392</f>
        <v>415</v>
      </c>
      <c r="L392" s="24">
        <f t="shared" ref="L392" si="626">+K392</f>
        <v>415</v>
      </c>
      <c r="M392" s="24">
        <f t="shared" ref="M392" si="627">+L392</f>
        <v>415</v>
      </c>
      <c r="N392" s="33">
        <f t="shared" ref="N392" si="628">+M392</f>
        <v>415</v>
      </c>
      <c r="O392" s="21"/>
    </row>
    <row r="393" spans="1:15">
      <c r="A393" s="1967" t="s">
        <v>1146</v>
      </c>
      <c r="B393" s="43"/>
      <c r="C393" s="25" t="e">
        <f t="shared" ref="C393:N393" si="629">1.732*C389*(C386/1000*1+C387/1000*0)*C390/C391</f>
        <v>#DIV/0!</v>
      </c>
      <c r="D393" s="25" t="e">
        <f t="shared" si="629"/>
        <v>#DIV/0!</v>
      </c>
      <c r="E393" s="25" t="e">
        <f t="shared" si="629"/>
        <v>#DIV/0!</v>
      </c>
      <c r="F393" s="25" t="e">
        <f t="shared" si="629"/>
        <v>#DIV/0!</v>
      </c>
      <c r="G393" s="25" t="e">
        <f t="shared" si="629"/>
        <v>#DIV/0!</v>
      </c>
      <c r="H393" s="25" t="e">
        <f t="shared" si="629"/>
        <v>#DIV/0!</v>
      </c>
      <c r="I393" s="25" t="e">
        <f t="shared" si="629"/>
        <v>#DIV/0!</v>
      </c>
      <c r="J393" s="25" t="e">
        <f t="shared" si="629"/>
        <v>#DIV/0!</v>
      </c>
      <c r="K393" s="25" t="e">
        <f t="shared" si="629"/>
        <v>#DIV/0!</v>
      </c>
      <c r="L393" s="25" t="e">
        <f t="shared" si="629"/>
        <v>#DIV/0!</v>
      </c>
      <c r="M393" s="25" t="e">
        <f t="shared" si="629"/>
        <v>#DIV/0!</v>
      </c>
      <c r="N393" s="34" t="e">
        <f t="shared" si="629"/>
        <v>#DIV/0!</v>
      </c>
      <c r="O393" s="21"/>
    </row>
    <row r="394" spans="1:15">
      <c r="A394" s="1967" t="s">
        <v>1147</v>
      </c>
      <c r="B394" s="43"/>
      <c r="C394" s="1965" t="e">
        <f>C393/C392</f>
        <v>#DIV/0!</v>
      </c>
      <c r="D394" s="1965" t="e">
        <f t="shared" ref="D394:N394" si="630">D393/D392</f>
        <v>#DIV/0!</v>
      </c>
      <c r="E394" s="1965" t="e">
        <f t="shared" si="630"/>
        <v>#DIV/0!</v>
      </c>
      <c r="F394" s="1965" t="e">
        <f t="shared" si="630"/>
        <v>#DIV/0!</v>
      </c>
      <c r="G394" s="1965" t="e">
        <f t="shared" si="630"/>
        <v>#DIV/0!</v>
      </c>
      <c r="H394" s="1965" t="e">
        <f t="shared" si="630"/>
        <v>#DIV/0!</v>
      </c>
      <c r="I394" s="1965" t="e">
        <f t="shared" si="630"/>
        <v>#DIV/0!</v>
      </c>
      <c r="J394" s="1965" t="e">
        <f t="shared" si="630"/>
        <v>#DIV/0!</v>
      </c>
      <c r="K394" s="1965" t="e">
        <f t="shared" si="630"/>
        <v>#DIV/0!</v>
      </c>
      <c r="L394" s="1965" t="e">
        <f t="shared" si="630"/>
        <v>#DIV/0!</v>
      </c>
      <c r="M394" s="1965" t="e">
        <f t="shared" si="630"/>
        <v>#DIV/0!</v>
      </c>
      <c r="N394" s="1969" t="e">
        <f t="shared" si="630"/>
        <v>#DIV/0!</v>
      </c>
      <c r="O394" s="21"/>
    </row>
    <row r="395" spans="1:15">
      <c r="A395" s="1968" t="s">
        <v>1148</v>
      </c>
      <c r="B395" s="1966">
        <v>0.02</v>
      </c>
      <c r="C395" s="24" t="e">
        <f>IF(AND((C389*1.25)&lt;(C383*C391),(C394&lt;$B$16)),"PASS","FAIL")</f>
        <v>#DIV/0!</v>
      </c>
      <c r="D395" s="24" t="e">
        <f>IF(AND((D389*1.25)&lt;(D383*D391),(D394&lt;$B$16)),"PASS","FAIL")</f>
        <v>#DIV/0!</v>
      </c>
      <c r="E395" s="24" t="e">
        <f>IF(AND((E389*1.25)&lt;(E383*E391),(E394&lt;$B$16)),"PASS","FAIL")</f>
        <v>#DIV/0!</v>
      </c>
      <c r="F395" s="24" t="e">
        <f>IF(AND((F389*1.25)&lt;(F383*F391),(F394&lt;$B$16)),"PASS","FAIL")</f>
        <v>#DIV/0!</v>
      </c>
      <c r="G395" s="24" t="e">
        <f>IF(AND((G389*1.25)&lt;(G383*G391),(G394&lt;$B$16)),"PASS","FAIL")</f>
        <v>#DIV/0!</v>
      </c>
      <c r="H395" s="24" t="e">
        <f>IF(AND((H389*1.1)&lt;(H383*H391),(H394&lt;$B$16)),"PASS","FAIL")</f>
        <v>#DIV/0!</v>
      </c>
      <c r="I395" s="24" t="e">
        <f t="shared" ref="I395:N395" si="631">IF(AND((I389*1.25)&lt;(I383*I391),(I394&lt;$B$16)),"PASS","FAIL")</f>
        <v>#DIV/0!</v>
      </c>
      <c r="J395" s="24" t="e">
        <f t="shared" si="631"/>
        <v>#DIV/0!</v>
      </c>
      <c r="K395" s="24" t="e">
        <f t="shared" si="631"/>
        <v>#DIV/0!</v>
      </c>
      <c r="L395" s="24" t="e">
        <f t="shared" si="631"/>
        <v>#DIV/0!</v>
      </c>
      <c r="M395" s="24" t="e">
        <f t="shared" si="631"/>
        <v>#DIV/0!</v>
      </c>
      <c r="N395" s="33" t="e">
        <f t="shared" si="631"/>
        <v>#DIV/0!</v>
      </c>
      <c r="O395" s="21"/>
    </row>
    <row r="396" spans="1:15" ht="18.600000000000001" thickBot="1">
      <c r="A396" s="1970" t="s">
        <v>1149</v>
      </c>
      <c r="B396" s="1971"/>
      <c r="C396" s="1972" t="e">
        <f t="shared" ref="C396:N396" si="632">IF(AND((C389*1.25)&lt;(C384*C391),(C394&lt;$B$16)),"PASS","FAIL")</f>
        <v>#DIV/0!</v>
      </c>
      <c r="D396" s="1972" t="e">
        <f t="shared" si="632"/>
        <v>#DIV/0!</v>
      </c>
      <c r="E396" s="1972" t="e">
        <f t="shared" si="632"/>
        <v>#DIV/0!</v>
      </c>
      <c r="F396" s="1972" t="e">
        <f t="shared" si="632"/>
        <v>#DIV/0!</v>
      </c>
      <c r="G396" s="1972" t="e">
        <f t="shared" si="632"/>
        <v>#DIV/0!</v>
      </c>
      <c r="H396" s="1972" t="e">
        <f t="shared" si="632"/>
        <v>#DIV/0!</v>
      </c>
      <c r="I396" s="1972" t="e">
        <f t="shared" si="632"/>
        <v>#DIV/0!</v>
      </c>
      <c r="J396" s="1972" t="e">
        <f t="shared" si="632"/>
        <v>#DIV/0!</v>
      </c>
      <c r="K396" s="1972" t="e">
        <f t="shared" si="632"/>
        <v>#DIV/0!</v>
      </c>
      <c r="L396" s="1972" t="e">
        <f t="shared" si="632"/>
        <v>#DIV/0!</v>
      </c>
      <c r="M396" s="1972" t="e">
        <f t="shared" si="632"/>
        <v>#DIV/0!</v>
      </c>
      <c r="N396" s="1973" t="e">
        <f t="shared" si="632"/>
        <v>#DIV/0!</v>
      </c>
      <c r="O396" s="21"/>
    </row>
    <row r="397" spans="1:15">
      <c r="A397" s="1963">
        <f>('Input''s from Initial Design'!W92*1000/(1.732*440*1))</f>
        <v>0</v>
      </c>
      <c r="B397" s="1964" t="s">
        <v>1150</v>
      </c>
      <c r="C397" s="26"/>
      <c r="D397" s="3213"/>
      <c r="E397" s="3213"/>
      <c r="F397" s="3213"/>
      <c r="G397" s="21"/>
      <c r="H397" s="21"/>
      <c r="I397" s="21"/>
      <c r="J397" s="21"/>
    </row>
    <row r="398" spans="1:15">
      <c r="A398" s="21"/>
      <c r="B398" s="21"/>
      <c r="C398" s="26"/>
      <c r="D398" s="21"/>
      <c r="E398" s="21">
        <v>17</v>
      </c>
      <c r="F398" s="21"/>
      <c r="G398" s="27"/>
      <c r="H398" s="21"/>
      <c r="I398" s="21"/>
      <c r="J398" s="21"/>
    </row>
    <row r="399" spans="1:15">
      <c r="A399" s="28" t="s">
        <v>1148</v>
      </c>
      <c r="B399" s="29" t="e">
        <f>IF(C395="FAIL",IF(D395="FAIL",IF(E395="FAIL",IF(F395="FAIL",IF(G395="FAIL",IF(H395="FAIL",IF(I395="FAIL",IF(J395="FAIL",IF(K395="FAIL",IF(L395="FAIL",IF(M395="FAIL","NO MATCH",$M$1),$L$1),$K$1),$J$1),$I$1),$H$1),$G$1),$F$1),$E$1),$D$1),$C$1)</f>
        <v>#DIV/0!</v>
      </c>
      <c r="C399" s="30" t="s">
        <v>1151</v>
      </c>
      <c r="D399" s="21"/>
      <c r="E399" s="21"/>
      <c r="F399" s="21"/>
      <c r="G399" s="21"/>
      <c r="H399" s="26"/>
      <c r="I399" s="21"/>
      <c r="J399" s="21"/>
      <c r="K399" s="21"/>
      <c r="L399" s="21"/>
      <c r="N399" s="21"/>
      <c r="O399" s="21"/>
    </row>
    <row r="400" spans="1:15">
      <c r="A400" s="28" t="s">
        <v>1149</v>
      </c>
      <c r="B400" s="29" t="e">
        <f>IF(C396="FAIL",IF(D396="FAIL",IF(E396="FAIL",IF(F396="FAIL",IF(G396="FAIL",IF(H396="FAIL",IF(I396="FAIL",IF(J396="FAIL",IF(K396="FAIL",IF(L396="FAIL",IF(M396="FAIL","NO MATCH",$M$1),$L$1),$K$1),$J$1),$I$1),$H$1),$G$1),$F$1),$E$1),$D$1),$C$1)</f>
        <v>#DIV/0!</v>
      </c>
      <c r="C400" s="30" t="s">
        <v>1151</v>
      </c>
      <c r="D400" s="21"/>
      <c r="E400" s="21"/>
      <c r="F400" s="21"/>
      <c r="G400" s="21"/>
      <c r="H400" s="26"/>
      <c r="I400" s="21"/>
      <c r="J400" s="21"/>
      <c r="K400" s="21"/>
      <c r="L400" s="21"/>
      <c r="N400" s="21"/>
      <c r="O400" s="21"/>
    </row>
    <row r="401" spans="1:15" ht="18.600000000000001" thickBot="1"/>
    <row r="402" spans="1:15" s="23" customFormat="1">
      <c r="A402" s="3214" t="s">
        <v>1122</v>
      </c>
      <c r="B402" s="3216"/>
      <c r="C402" s="35">
        <v>16</v>
      </c>
      <c r="D402" s="36">
        <v>25</v>
      </c>
      <c r="E402" s="36">
        <v>35</v>
      </c>
      <c r="F402" s="36">
        <v>50</v>
      </c>
      <c r="G402" s="36">
        <v>70</v>
      </c>
      <c r="H402" s="36">
        <v>95</v>
      </c>
      <c r="I402" s="36">
        <v>120</v>
      </c>
      <c r="J402" s="36">
        <v>150</v>
      </c>
      <c r="K402" s="36">
        <v>185</v>
      </c>
      <c r="L402" s="36">
        <v>240</v>
      </c>
      <c r="M402" s="36">
        <v>300</v>
      </c>
      <c r="N402" s="37">
        <v>400</v>
      </c>
      <c r="O402" s="22"/>
    </row>
    <row r="403" spans="1:15" s="23" customFormat="1" ht="18.600000000000001" thickBot="1">
      <c r="A403" s="3215"/>
      <c r="B403" s="3217"/>
      <c r="C403" s="1978" t="s">
        <v>1123</v>
      </c>
      <c r="D403" s="1979" t="s">
        <v>1124</v>
      </c>
      <c r="E403" s="1979" t="s">
        <v>1125</v>
      </c>
      <c r="F403" s="1979" t="s">
        <v>1126</v>
      </c>
      <c r="G403" s="1979" t="s">
        <v>1127</v>
      </c>
      <c r="H403" s="1979" t="s">
        <v>1128</v>
      </c>
      <c r="I403" s="1979" t="s">
        <v>1129</v>
      </c>
      <c r="J403" s="1979" t="s">
        <v>1130</v>
      </c>
      <c r="K403" s="1979" t="s">
        <v>1131</v>
      </c>
      <c r="L403" s="1979" t="s">
        <v>1132</v>
      </c>
      <c r="M403" s="1979" t="s">
        <v>1133</v>
      </c>
      <c r="N403" s="1980" t="s">
        <v>1134</v>
      </c>
      <c r="O403" s="22"/>
    </row>
    <row r="404" spans="1:15">
      <c r="A404" s="1981" t="s">
        <v>1135</v>
      </c>
      <c r="B404" s="1982"/>
      <c r="C404" s="31">
        <v>74</v>
      </c>
      <c r="D404" s="31">
        <v>94</v>
      </c>
      <c r="E404" s="31">
        <v>113</v>
      </c>
      <c r="F404" s="31">
        <v>133</v>
      </c>
      <c r="G404" s="31">
        <v>164</v>
      </c>
      <c r="H404" s="31">
        <v>196</v>
      </c>
      <c r="I404" s="31">
        <v>223</v>
      </c>
      <c r="J404" s="31">
        <v>249</v>
      </c>
      <c r="K404" s="31">
        <v>282</v>
      </c>
      <c r="L404" s="31">
        <v>326</v>
      </c>
      <c r="M404" s="31">
        <v>367</v>
      </c>
      <c r="N404" s="32">
        <v>418</v>
      </c>
      <c r="O404" s="21"/>
    </row>
    <row r="405" spans="1:15">
      <c r="A405" s="1967" t="s">
        <v>1136</v>
      </c>
      <c r="B405" s="43"/>
      <c r="C405" s="24">
        <v>74</v>
      </c>
      <c r="D405" s="24">
        <v>96</v>
      </c>
      <c r="E405" s="24">
        <v>117</v>
      </c>
      <c r="F405" s="24">
        <v>142</v>
      </c>
      <c r="G405" s="24">
        <v>179</v>
      </c>
      <c r="H405" s="24">
        <v>221</v>
      </c>
      <c r="I405" s="24">
        <v>257</v>
      </c>
      <c r="J405" s="24">
        <v>292</v>
      </c>
      <c r="K405" s="24">
        <v>337</v>
      </c>
      <c r="L405" s="24">
        <v>399</v>
      </c>
      <c r="M405" s="24">
        <v>455</v>
      </c>
      <c r="N405" s="33">
        <v>530</v>
      </c>
      <c r="O405" s="21"/>
    </row>
    <row r="406" spans="1:15" ht="22.5" customHeight="1">
      <c r="A406" s="1967" t="s">
        <v>1137</v>
      </c>
      <c r="B406" s="42">
        <v>0.7</v>
      </c>
      <c r="C406" s="24">
        <f>B406</f>
        <v>0.7</v>
      </c>
      <c r="D406" s="24">
        <f>C406</f>
        <v>0.7</v>
      </c>
      <c r="E406" s="24">
        <f t="shared" ref="E406" si="633">D406</f>
        <v>0.7</v>
      </c>
      <c r="F406" s="24">
        <f t="shared" ref="F406" si="634">E406</f>
        <v>0.7</v>
      </c>
      <c r="G406" s="24">
        <f t="shared" ref="G406" si="635">F406</f>
        <v>0.7</v>
      </c>
      <c r="H406" s="24">
        <f t="shared" ref="H406" si="636">G406</f>
        <v>0.7</v>
      </c>
      <c r="I406" s="24">
        <f t="shared" ref="I406" si="637">H406</f>
        <v>0.7</v>
      </c>
      <c r="J406" s="24">
        <f t="shared" ref="J406" si="638">I406</f>
        <v>0.7</v>
      </c>
      <c r="K406" s="24">
        <f t="shared" ref="K406" si="639">J406</f>
        <v>0.7</v>
      </c>
      <c r="L406" s="24">
        <f t="shared" ref="L406" si="640">K406</f>
        <v>0.7</v>
      </c>
      <c r="M406" s="24">
        <f>L406</f>
        <v>0.7</v>
      </c>
      <c r="N406" s="33">
        <f>M406</f>
        <v>0.7</v>
      </c>
      <c r="O406" s="21"/>
    </row>
    <row r="407" spans="1:15">
      <c r="A407" s="1967" t="s">
        <v>1138</v>
      </c>
      <c r="B407" s="43"/>
      <c r="C407" s="24">
        <f>C404*C406</f>
        <v>51.8</v>
      </c>
      <c r="D407" s="24">
        <f t="shared" ref="D407:G407" si="641">D404*D406</f>
        <v>65.8</v>
      </c>
      <c r="E407" s="24">
        <f t="shared" si="641"/>
        <v>79.099999999999994</v>
      </c>
      <c r="F407" s="24">
        <f t="shared" si="641"/>
        <v>93.1</v>
      </c>
      <c r="G407" s="24">
        <f t="shared" si="641"/>
        <v>114.8</v>
      </c>
      <c r="H407" s="24">
        <f>H404*H406</f>
        <v>137.19999999999999</v>
      </c>
      <c r="I407" s="24">
        <f t="shared" ref="I407:N407" si="642">I404*I406</f>
        <v>156.1</v>
      </c>
      <c r="J407" s="24">
        <f t="shared" si="642"/>
        <v>174.29999999999998</v>
      </c>
      <c r="K407" s="24">
        <f t="shared" si="642"/>
        <v>197.39999999999998</v>
      </c>
      <c r="L407" s="24">
        <f t="shared" si="642"/>
        <v>228.2</v>
      </c>
      <c r="M407" s="24">
        <f t="shared" si="642"/>
        <v>256.89999999999998</v>
      </c>
      <c r="N407" s="33">
        <f t="shared" si="642"/>
        <v>292.59999999999997</v>
      </c>
      <c r="O407" s="21"/>
    </row>
    <row r="408" spans="1:15">
      <c r="A408" s="1967" t="s">
        <v>1139</v>
      </c>
      <c r="B408" s="43"/>
      <c r="C408" s="24">
        <f>C405*C406</f>
        <v>51.8</v>
      </c>
      <c r="D408" s="24">
        <f>D405*D406</f>
        <v>67.199999999999989</v>
      </c>
      <c r="E408" s="24">
        <f t="shared" ref="E408:G408" si="643">E405*E406</f>
        <v>81.899999999999991</v>
      </c>
      <c r="F408" s="24">
        <f t="shared" si="643"/>
        <v>99.399999999999991</v>
      </c>
      <c r="G408" s="24">
        <f t="shared" si="643"/>
        <v>125.3</v>
      </c>
      <c r="H408" s="24">
        <f>H405*H406</f>
        <v>154.69999999999999</v>
      </c>
      <c r="I408" s="24">
        <f t="shared" ref="I408:N408" si="644">I405*I406</f>
        <v>179.89999999999998</v>
      </c>
      <c r="J408" s="24">
        <f t="shared" si="644"/>
        <v>204.39999999999998</v>
      </c>
      <c r="K408" s="24">
        <f t="shared" si="644"/>
        <v>235.89999999999998</v>
      </c>
      <c r="L408" s="24">
        <f t="shared" si="644"/>
        <v>279.29999999999995</v>
      </c>
      <c r="M408" s="24">
        <f t="shared" si="644"/>
        <v>318.5</v>
      </c>
      <c r="N408" s="33">
        <f t="shared" si="644"/>
        <v>371</v>
      </c>
      <c r="O408" s="21"/>
    </row>
    <row r="409" spans="1:15">
      <c r="A409" s="1967"/>
      <c r="B409" s="43"/>
      <c r="C409" s="24"/>
      <c r="D409" s="24"/>
      <c r="E409" s="24"/>
      <c r="F409" s="24"/>
      <c r="G409" s="24"/>
      <c r="H409" s="24"/>
      <c r="I409" s="24"/>
      <c r="J409" s="24"/>
      <c r="K409" s="24"/>
      <c r="L409" s="24"/>
      <c r="M409" s="24"/>
      <c r="N409" s="33"/>
      <c r="O409" s="21"/>
    </row>
    <row r="410" spans="1:15">
      <c r="A410" s="1967" t="s">
        <v>1140</v>
      </c>
      <c r="B410" s="43"/>
      <c r="C410" s="24">
        <v>2.44</v>
      </c>
      <c r="D410" s="24">
        <v>1.54</v>
      </c>
      <c r="E410" s="24">
        <v>1.1100000000000001</v>
      </c>
      <c r="F410" s="24">
        <v>0.82</v>
      </c>
      <c r="G410" s="24">
        <v>0.56699999999999995</v>
      </c>
      <c r="H410" s="24">
        <v>0.41</v>
      </c>
      <c r="I410" s="24">
        <v>0.32400000000000001</v>
      </c>
      <c r="J410" s="24">
        <v>0.26400000000000001</v>
      </c>
      <c r="K410" s="24">
        <v>0.21</v>
      </c>
      <c r="L410" s="24">
        <v>0.16</v>
      </c>
      <c r="M410" s="24">
        <v>0.128</v>
      </c>
      <c r="N410" s="33">
        <v>0.1</v>
      </c>
      <c r="O410" s="21"/>
    </row>
    <row r="411" spans="1:15">
      <c r="A411" s="1967" t="s">
        <v>1141</v>
      </c>
      <c r="B411" s="43"/>
      <c r="C411" s="24">
        <v>8.0799999999999997E-2</v>
      </c>
      <c r="D411" s="24">
        <v>8.0500000000000002E-2</v>
      </c>
      <c r="E411" s="24">
        <v>7.8299999999999995E-2</v>
      </c>
      <c r="F411" s="24">
        <v>7.4999999999999997E-2</v>
      </c>
      <c r="G411" s="24">
        <v>7.3999999999999996E-2</v>
      </c>
      <c r="H411" s="24">
        <v>7.2400000000000006E-2</v>
      </c>
      <c r="I411" s="24">
        <v>7.1199999999999999E-2</v>
      </c>
      <c r="J411" s="24">
        <v>7.1599999999999997E-2</v>
      </c>
      <c r="K411" s="24">
        <v>7.1800000000000003E-2</v>
      </c>
      <c r="L411" s="24">
        <v>7.0999999999999994E-2</v>
      </c>
      <c r="M411" s="24">
        <v>7.0499999999999993E-2</v>
      </c>
      <c r="N411" s="33">
        <v>7.0400000000000004E-2</v>
      </c>
      <c r="O411" s="21"/>
    </row>
    <row r="412" spans="1:15">
      <c r="A412" s="1967"/>
      <c r="B412" s="43"/>
      <c r="C412" s="24"/>
      <c r="D412" s="24"/>
      <c r="E412" s="24"/>
      <c r="F412" s="24"/>
      <c r="G412" s="24"/>
      <c r="H412" s="24"/>
      <c r="I412" s="24"/>
      <c r="J412" s="24"/>
      <c r="K412" s="24"/>
      <c r="L412" s="24"/>
      <c r="M412" s="24"/>
      <c r="N412" s="33"/>
      <c r="O412" s="21"/>
    </row>
    <row r="413" spans="1:15" ht="24.75" customHeight="1">
      <c r="A413" s="1968" t="s">
        <v>1142</v>
      </c>
      <c r="B413" s="41">
        <f>A421</f>
        <v>0</v>
      </c>
      <c r="C413" s="24">
        <f t="shared" ref="C413:C415" si="645">B413</f>
        <v>0</v>
      </c>
      <c r="D413" s="24">
        <f t="shared" ref="D413:D415" si="646">C413</f>
        <v>0</v>
      </c>
      <c r="E413" s="24">
        <f t="shared" ref="E413:E415" si="647">D413</f>
        <v>0</v>
      </c>
      <c r="F413" s="24">
        <f t="shared" ref="F413:F415" si="648">E413</f>
        <v>0</v>
      </c>
      <c r="G413" s="24">
        <f t="shared" ref="G413:G415" si="649">F413</f>
        <v>0</v>
      </c>
      <c r="H413" s="24">
        <f t="shared" ref="H413:H415" si="650">G413</f>
        <v>0</v>
      </c>
      <c r="I413" s="24">
        <f t="shared" ref="I413:I415" si="651">H413</f>
        <v>0</v>
      </c>
      <c r="J413" s="24">
        <f t="shared" ref="J413:J415" si="652">I413</f>
        <v>0</v>
      </c>
      <c r="K413" s="24">
        <f t="shared" ref="K413:K415" si="653">J413</f>
        <v>0</v>
      </c>
      <c r="L413" s="24">
        <f t="shared" ref="L413:L415" si="654">K413</f>
        <v>0</v>
      </c>
      <c r="M413" s="24">
        <f t="shared" ref="M413:M415" si="655">L413</f>
        <v>0</v>
      </c>
      <c r="N413" s="33">
        <f t="shared" ref="N413:N415" si="656">M413</f>
        <v>0</v>
      </c>
      <c r="O413" s="21"/>
    </row>
    <row r="414" spans="1:15">
      <c r="A414" s="1968" t="s">
        <v>1143</v>
      </c>
      <c r="B414" s="42">
        <f>'Input''s from Initial Design'!X94</f>
        <v>0</v>
      </c>
      <c r="C414" s="24">
        <f t="shared" si="645"/>
        <v>0</v>
      </c>
      <c r="D414" s="24">
        <f t="shared" si="646"/>
        <v>0</v>
      </c>
      <c r="E414" s="24">
        <f t="shared" si="647"/>
        <v>0</v>
      </c>
      <c r="F414" s="24">
        <f t="shared" si="648"/>
        <v>0</v>
      </c>
      <c r="G414" s="24">
        <f t="shared" si="649"/>
        <v>0</v>
      </c>
      <c r="H414" s="24">
        <f t="shared" si="650"/>
        <v>0</v>
      </c>
      <c r="I414" s="24">
        <f t="shared" si="651"/>
        <v>0</v>
      </c>
      <c r="J414" s="24">
        <f t="shared" si="652"/>
        <v>0</v>
      </c>
      <c r="K414" s="24">
        <f t="shared" si="653"/>
        <v>0</v>
      </c>
      <c r="L414" s="24">
        <f t="shared" si="654"/>
        <v>0</v>
      </c>
      <c r="M414" s="24">
        <f t="shared" si="655"/>
        <v>0</v>
      </c>
      <c r="N414" s="33">
        <f t="shared" si="656"/>
        <v>0</v>
      </c>
      <c r="O414" s="21"/>
    </row>
    <row r="415" spans="1:15">
      <c r="A415" s="1968" t="s">
        <v>1144</v>
      </c>
      <c r="B415" s="42">
        <f>'Input''s from Initial Design'!Y94</f>
        <v>0</v>
      </c>
      <c r="C415" s="24">
        <f t="shared" si="645"/>
        <v>0</v>
      </c>
      <c r="D415" s="24">
        <f t="shared" si="646"/>
        <v>0</v>
      </c>
      <c r="E415" s="24">
        <f t="shared" si="647"/>
        <v>0</v>
      </c>
      <c r="F415" s="24">
        <f t="shared" si="648"/>
        <v>0</v>
      </c>
      <c r="G415" s="24">
        <f t="shared" si="649"/>
        <v>0</v>
      </c>
      <c r="H415" s="24">
        <f t="shared" si="650"/>
        <v>0</v>
      </c>
      <c r="I415" s="24">
        <f t="shared" si="651"/>
        <v>0</v>
      </c>
      <c r="J415" s="24">
        <f t="shared" si="652"/>
        <v>0</v>
      </c>
      <c r="K415" s="24">
        <f t="shared" si="653"/>
        <v>0</v>
      </c>
      <c r="L415" s="24">
        <f t="shared" si="654"/>
        <v>0</v>
      </c>
      <c r="M415" s="24">
        <f t="shared" si="655"/>
        <v>0</v>
      </c>
      <c r="N415" s="33">
        <f t="shared" si="656"/>
        <v>0</v>
      </c>
      <c r="O415" s="21"/>
    </row>
    <row r="416" spans="1:15">
      <c r="A416" s="1968" t="s">
        <v>1145</v>
      </c>
      <c r="B416" s="42">
        <v>415</v>
      </c>
      <c r="C416" s="24">
        <f>+B416</f>
        <v>415</v>
      </c>
      <c r="D416" s="24">
        <f t="shared" ref="D416" si="657">+C416</f>
        <v>415</v>
      </c>
      <c r="E416" s="24">
        <f t="shared" ref="E416" si="658">+D416</f>
        <v>415</v>
      </c>
      <c r="F416" s="24">
        <f t="shared" ref="F416" si="659">+E416</f>
        <v>415</v>
      </c>
      <c r="G416" s="24">
        <f t="shared" ref="G416" si="660">+F416</f>
        <v>415</v>
      </c>
      <c r="H416" s="24">
        <f t="shared" ref="H416" si="661">+G416</f>
        <v>415</v>
      </c>
      <c r="I416" s="24">
        <f t="shared" ref="I416" si="662">+H416</f>
        <v>415</v>
      </c>
      <c r="J416" s="24">
        <f t="shared" ref="J416" si="663">+I416</f>
        <v>415</v>
      </c>
      <c r="K416" s="24">
        <f t="shared" ref="K416" si="664">+J416</f>
        <v>415</v>
      </c>
      <c r="L416" s="24">
        <f t="shared" ref="L416" si="665">+K416</f>
        <v>415</v>
      </c>
      <c r="M416" s="24">
        <f t="shared" ref="M416" si="666">+L416</f>
        <v>415</v>
      </c>
      <c r="N416" s="33">
        <f t="shared" ref="N416" si="667">+M416</f>
        <v>415</v>
      </c>
      <c r="O416" s="21"/>
    </row>
    <row r="417" spans="1:15">
      <c r="A417" s="1967" t="s">
        <v>1146</v>
      </c>
      <c r="B417" s="43"/>
      <c r="C417" s="25" t="e">
        <f t="shared" ref="C417:N417" si="668">1.732*C413*(C410/1000*1+C411/1000*0)*C414/C415</f>
        <v>#DIV/0!</v>
      </c>
      <c r="D417" s="25" t="e">
        <f t="shared" si="668"/>
        <v>#DIV/0!</v>
      </c>
      <c r="E417" s="25" t="e">
        <f t="shared" si="668"/>
        <v>#DIV/0!</v>
      </c>
      <c r="F417" s="25" t="e">
        <f t="shared" si="668"/>
        <v>#DIV/0!</v>
      </c>
      <c r="G417" s="25" t="e">
        <f t="shared" si="668"/>
        <v>#DIV/0!</v>
      </c>
      <c r="H417" s="25" t="e">
        <f t="shared" si="668"/>
        <v>#DIV/0!</v>
      </c>
      <c r="I417" s="25" t="e">
        <f t="shared" si="668"/>
        <v>#DIV/0!</v>
      </c>
      <c r="J417" s="25" t="e">
        <f t="shared" si="668"/>
        <v>#DIV/0!</v>
      </c>
      <c r="K417" s="25" t="e">
        <f t="shared" si="668"/>
        <v>#DIV/0!</v>
      </c>
      <c r="L417" s="25" t="e">
        <f t="shared" si="668"/>
        <v>#DIV/0!</v>
      </c>
      <c r="M417" s="25" t="e">
        <f t="shared" si="668"/>
        <v>#DIV/0!</v>
      </c>
      <c r="N417" s="34" t="e">
        <f t="shared" si="668"/>
        <v>#DIV/0!</v>
      </c>
      <c r="O417" s="21"/>
    </row>
    <row r="418" spans="1:15">
      <c r="A418" s="1967" t="s">
        <v>1147</v>
      </c>
      <c r="B418" s="43"/>
      <c r="C418" s="1965" t="e">
        <f>C417/C416</f>
        <v>#DIV/0!</v>
      </c>
      <c r="D418" s="1965" t="e">
        <f t="shared" ref="D418:N418" si="669">D417/D416</f>
        <v>#DIV/0!</v>
      </c>
      <c r="E418" s="1965" t="e">
        <f t="shared" si="669"/>
        <v>#DIV/0!</v>
      </c>
      <c r="F418" s="1965" t="e">
        <f t="shared" si="669"/>
        <v>#DIV/0!</v>
      </c>
      <c r="G418" s="1965" t="e">
        <f t="shared" si="669"/>
        <v>#DIV/0!</v>
      </c>
      <c r="H418" s="1965" t="e">
        <f t="shared" si="669"/>
        <v>#DIV/0!</v>
      </c>
      <c r="I418" s="1965" t="e">
        <f t="shared" si="669"/>
        <v>#DIV/0!</v>
      </c>
      <c r="J418" s="1965" t="e">
        <f t="shared" si="669"/>
        <v>#DIV/0!</v>
      </c>
      <c r="K418" s="1965" t="e">
        <f t="shared" si="669"/>
        <v>#DIV/0!</v>
      </c>
      <c r="L418" s="1965" t="e">
        <f t="shared" si="669"/>
        <v>#DIV/0!</v>
      </c>
      <c r="M418" s="1965" t="e">
        <f t="shared" si="669"/>
        <v>#DIV/0!</v>
      </c>
      <c r="N418" s="1969" t="e">
        <f t="shared" si="669"/>
        <v>#DIV/0!</v>
      </c>
      <c r="O418" s="21"/>
    </row>
    <row r="419" spans="1:15">
      <c r="A419" s="1968" t="s">
        <v>1148</v>
      </c>
      <c r="B419" s="1966">
        <v>0.02</v>
      </c>
      <c r="C419" s="24" t="e">
        <f>IF(AND((C413*1.25)&lt;(C407*C415),(C418&lt;$B$16)),"PASS","FAIL")</f>
        <v>#DIV/0!</v>
      </c>
      <c r="D419" s="24" t="e">
        <f>IF(AND((D413*1.25)&lt;(D407*D415),(D418&lt;$B$16)),"PASS","FAIL")</f>
        <v>#DIV/0!</v>
      </c>
      <c r="E419" s="24" t="e">
        <f>IF(AND((E413*1.25)&lt;(E407*E415),(E418&lt;$B$16)),"PASS","FAIL")</f>
        <v>#DIV/0!</v>
      </c>
      <c r="F419" s="24" t="e">
        <f>IF(AND((F413*1.25)&lt;(F407*F415),(F418&lt;$B$16)),"PASS","FAIL")</f>
        <v>#DIV/0!</v>
      </c>
      <c r="G419" s="24" t="e">
        <f>IF(AND((G413*1.25)&lt;(G407*G415),(G418&lt;$B$16)),"PASS","FAIL")</f>
        <v>#DIV/0!</v>
      </c>
      <c r="H419" s="24" t="e">
        <f>IF(AND((H413*1.1)&lt;(H407*H415),(H418&lt;$B$16)),"PASS","FAIL")</f>
        <v>#DIV/0!</v>
      </c>
      <c r="I419" s="24" t="e">
        <f t="shared" ref="I419:N419" si="670">IF(AND((I413*1.25)&lt;(I407*I415),(I418&lt;$B$16)),"PASS","FAIL")</f>
        <v>#DIV/0!</v>
      </c>
      <c r="J419" s="24" t="e">
        <f t="shared" si="670"/>
        <v>#DIV/0!</v>
      </c>
      <c r="K419" s="24" t="e">
        <f t="shared" si="670"/>
        <v>#DIV/0!</v>
      </c>
      <c r="L419" s="24" t="e">
        <f t="shared" si="670"/>
        <v>#DIV/0!</v>
      </c>
      <c r="M419" s="24" t="e">
        <f t="shared" si="670"/>
        <v>#DIV/0!</v>
      </c>
      <c r="N419" s="33" t="e">
        <f t="shared" si="670"/>
        <v>#DIV/0!</v>
      </c>
      <c r="O419" s="21"/>
    </row>
    <row r="420" spans="1:15" ht="18.600000000000001" thickBot="1">
      <c r="A420" s="1970" t="s">
        <v>1149</v>
      </c>
      <c r="B420" s="1971"/>
      <c r="C420" s="1972" t="e">
        <f t="shared" ref="C420:N420" si="671">IF(AND((C413*1.25)&lt;(C408*C415),(C418&lt;$B$16)),"PASS","FAIL")</f>
        <v>#DIV/0!</v>
      </c>
      <c r="D420" s="1972" t="e">
        <f t="shared" si="671"/>
        <v>#DIV/0!</v>
      </c>
      <c r="E420" s="1972" t="e">
        <f t="shared" si="671"/>
        <v>#DIV/0!</v>
      </c>
      <c r="F420" s="1972" t="e">
        <f t="shared" si="671"/>
        <v>#DIV/0!</v>
      </c>
      <c r="G420" s="1972" t="e">
        <f t="shared" si="671"/>
        <v>#DIV/0!</v>
      </c>
      <c r="H420" s="1972" t="e">
        <f t="shared" si="671"/>
        <v>#DIV/0!</v>
      </c>
      <c r="I420" s="1972" t="e">
        <f t="shared" si="671"/>
        <v>#DIV/0!</v>
      </c>
      <c r="J420" s="1972" t="e">
        <f t="shared" si="671"/>
        <v>#DIV/0!</v>
      </c>
      <c r="K420" s="1972" t="e">
        <f t="shared" si="671"/>
        <v>#DIV/0!</v>
      </c>
      <c r="L420" s="1972" t="e">
        <f t="shared" si="671"/>
        <v>#DIV/0!</v>
      </c>
      <c r="M420" s="1972" t="e">
        <f t="shared" si="671"/>
        <v>#DIV/0!</v>
      </c>
      <c r="N420" s="1973" t="e">
        <f t="shared" si="671"/>
        <v>#DIV/0!</v>
      </c>
      <c r="O420" s="21"/>
    </row>
    <row r="421" spans="1:15">
      <c r="A421" s="1963">
        <f>('Input''s from Initial Design'!W94*1000/(1.732*440*1))</f>
        <v>0</v>
      </c>
      <c r="B421" s="1964" t="s">
        <v>1150</v>
      </c>
      <c r="C421" s="26"/>
      <c r="D421" s="3213"/>
      <c r="E421" s="3213"/>
      <c r="F421" s="3213"/>
      <c r="G421" s="21"/>
      <c r="H421" s="21"/>
      <c r="I421" s="21"/>
      <c r="J421" s="21"/>
    </row>
    <row r="422" spans="1:15">
      <c r="A422" s="21"/>
      <c r="B422" s="21"/>
      <c r="C422" s="26"/>
      <c r="D422" s="21"/>
      <c r="E422" s="21">
        <v>18</v>
      </c>
      <c r="F422" s="21"/>
      <c r="G422" s="27"/>
      <c r="H422" s="21"/>
      <c r="I422" s="21"/>
      <c r="J422" s="21"/>
    </row>
    <row r="423" spans="1:15">
      <c r="A423" s="28" t="s">
        <v>1148</v>
      </c>
      <c r="B423" s="29" t="e">
        <f>IF(C419="FAIL",IF(D419="FAIL",IF(E419="FAIL",IF(F419="FAIL",IF(G419="FAIL",IF(H419="FAIL",IF(I419="FAIL",IF(J419="FAIL",IF(K419="FAIL",IF(L419="FAIL",IF(M419="FAIL","NO MATCH",$M$1),$L$1),$K$1),$J$1),$I$1),$H$1),$G$1),$F$1),$E$1),$D$1),$C$1)</f>
        <v>#DIV/0!</v>
      </c>
      <c r="C423" s="30" t="s">
        <v>1151</v>
      </c>
      <c r="D423" s="21"/>
      <c r="E423" s="21"/>
      <c r="F423" s="21"/>
      <c r="G423" s="21"/>
      <c r="H423" s="26"/>
      <c r="I423" s="21"/>
      <c r="J423" s="21"/>
      <c r="K423" s="21"/>
      <c r="L423" s="21"/>
      <c r="N423" s="21"/>
      <c r="O423" s="21"/>
    </row>
    <row r="424" spans="1:15">
      <c r="A424" s="28" t="s">
        <v>1149</v>
      </c>
      <c r="B424" s="29" t="e">
        <f>IF(C420="FAIL",IF(D420="FAIL",IF(E420="FAIL",IF(F420="FAIL",IF(G420="FAIL",IF(H420="FAIL",IF(I420="FAIL",IF(J420="FAIL",IF(K420="FAIL",IF(L420="FAIL",IF(M420="FAIL","NO MATCH",$M$1),$L$1),$K$1),$J$1),$I$1),$H$1),$G$1),$F$1),$E$1),$D$1),$C$1)</f>
        <v>#DIV/0!</v>
      </c>
      <c r="C424" s="30" t="s">
        <v>1151</v>
      </c>
      <c r="D424" s="21"/>
      <c r="E424" s="21"/>
      <c r="F424" s="21"/>
      <c r="G424" s="21"/>
      <c r="H424" s="26"/>
      <c r="I424" s="21"/>
      <c r="J424" s="21"/>
      <c r="K424" s="21"/>
      <c r="L424" s="21"/>
      <c r="N424" s="21"/>
      <c r="O424" s="21"/>
    </row>
    <row r="425" spans="1:15" ht="18.600000000000001" thickBot="1">
      <c r="A425" s="21"/>
      <c r="B425" s="21"/>
      <c r="C425" s="21"/>
      <c r="D425" s="21"/>
      <c r="E425" s="21"/>
      <c r="F425" s="21"/>
      <c r="G425" s="21"/>
      <c r="H425" s="26"/>
      <c r="I425" s="21"/>
      <c r="J425" s="21"/>
      <c r="K425" s="21"/>
      <c r="L425" s="21"/>
      <c r="N425" s="21"/>
      <c r="O425" s="21"/>
    </row>
    <row r="426" spans="1:15" s="23" customFormat="1">
      <c r="A426" s="3214" t="s">
        <v>1122</v>
      </c>
      <c r="B426" s="3216"/>
      <c r="C426" s="35">
        <v>16</v>
      </c>
      <c r="D426" s="36">
        <v>25</v>
      </c>
      <c r="E426" s="36">
        <v>35</v>
      </c>
      <c r="F426" s="36">
        <v>50</v>
      </c>
      <c r="G426" s="36">
        <v>70</v>
      </c>
      <c r="H426" s="36">
        <v>95</v>
      </c>
      <c r="I426" s="36">
        <v>120</v>
      </c>
      <c r="J426" s="36">
        <v>150</v>
      </c>
      <c r="K426" s="36">
        <v>185</v>
      </c>
      <c r="L426" s="36">
        <v>240</v>
      </c>
      <c r="M426" s="36">
        <v>300</v>
      </c>
      <c r="N426" s="37">
        <v>400</v>
      </c>
      <c r="O426" s="22"/>
    </row>
    <row r="427" spans="1:15" s="23" customFormat="1" ht="18.600000000000001" thickBot="1">
      <c r="A427" s="3215"/>
      <c r="B427" s="3217"/>
      <c r="C427" s="1978" t="s">
        <v>1123</v>
      </c>
      <c r="D427" s="1979" t="s">
        <v>1124</v>
      </c>
      <c r="E427" s="1979" t="s">
        <v>1125</v>
      </c>
      <c r="F427" s="1979" t="s">
        <v>1126</v>
      </c>
      <c r="G427" s="1979" t="s">
        <v>1127</v>
      </c>
      <c r="H427" s="1979" t="s">
        <v>1128</v>
      </c>
      <c r="I427" s="1979" t="s">
        <v>1129</v>
      </c>
      <c r="J427" s="1979" t="s">
        <v>1130</v>
      </c>
      <c r="K427" s="1979" t="s">
        <v>1131</v>
      </c>
      <c r="L427" s="1979" t="s">
        <v>1132</v>
      </c>
      <c r="M427" s="1979" t="s">
        <v>1133</v>
      </c>
      <c r="N427" s="1980" t="s">
        <v>1134</v>
      </c>
      <c r="O427" s="22"/>
    </row>
    <row r="428" spans="1:15">
      <c r="A428" s="1981" t="s">
        <v>1135</v>
      </c>
      <c r="B428" s="1982"/>
      <c r="C428" s="31">
        <v>74</v>
      </c>
      <c r="D428" s="31">
        <v>94</v>
      </c>
      <c r="E428" s="31">
        <v>113</v>
      </c>
      <c r="F428" s="31">
        <v>133</v>
      </c>
      <c r="G428" s="31">
        <v>164</v>
      </c>
      <c r="H428" s="31">
        <v>196</v>
      </c>
      <c r="I428" s="31">
        <v>223</v>
      </c>
      <c r="J428" s="31">
        <v>249</v>
      </c>
      <c r="K428" s="31">
        <v>282</v>
      </c>
      <c r="L428" s="31">
        <v>326</v>
      </c>
      <c r="M428" s="31">
        <v>367</v>
      </c>
      <c r="N428" s="32">
        <v>418</v>
      </c>
      <c r="O428" s="21"/>
    </row>
    <row r="429" spans="1:15">
      <c r="A429" s="1967" t="s">
        <v>1136</v>
      </c>
      <c r="B429" s="43"/>
      <c r="C429" s="24">
        <v>74</v>
      </c>
      <c r="D429" s="24">
        <v>96</v>
      </c>
      <c r="E429" s="24">
        <v>117</v>
      </c>
      <c r="F429" s="24">
        <v>142</v>
      </c>
      <c r="G429" s="24">
        <v>179</v>
      </c>
      <c r="H429" s="24">
        <v>221</v>
      </c>
      <c r="I429" s="24">
        <v>257</v>
      </c>
      <c r="J429" s="24">
        <v>292</v>
      </c>
      <c r="K429" s="24">
        <v>337</v>
      </c>
      <c r="L429" s="24">
        <v>399</v>
      </c>
      <c r="M429" s="24">
        <v>455</v>
      </c>
      <c r="N429" s="33">
        <v>530</v>
      </c>
      <c r="O429" s="21"/>
    </row>
    <row r="430" spans="1:15" ht="22.5" customHeight="1">
      <c r="A430" s="1967" t="s">
        <v>1137</v>
      </c>
      <c r="B430" s="42">
        <v>0.7</v>
      </c>
      <c r="C430" s="24">
        <f>B430</f>
        <v>0.7</v>
      </c>
      <c r="D430" s="24">
        <f>C430</f>
        <v>0.7</v>
      </c>
      <c r="E430" s="24">
        <f t="shared" ref="E430" si="672">D430</f>
        <v>0.7</v>
      </c>
      <c r="F430" s="24">
        <f t="shared" ref="F430" si="673">E430</f>
        <v>0.7</v>
      </c>
      <c r="G430" s="24">
        <f t="shared" ref="G430" si="674">F430</f>
        <v>0.7</v>
      </c>
      <c r="H430" s="24">
        <f t="shared" ref="H430" si="675">G430</f>
        <v>0.7</v>
      </c>
      <c r="I430" s="24">
        <f t="shared" ref="I430" si="676">H430</f>
        <v>0.7</v>
      </c>
      <c r="J430" s="24">
        <f t="shared" ref="J430" si="677">I430</f>
        <v>0.7</v>
      </c>
      <c r="K430" s="24">
        <f t="shared" ref="K430" si="678">J430</f>
        <v>0.7</v>
      </c>
      <c r="L430" s="24">
        <f t="shared" ref="L430" si="679">K430</f>
        <v>0.7</v>
      </c>
      <c r="M430" s="24">
        <f>L430</f>
        <v>0.7</v>
      </c>
      <c r="N430" s="33">
        <f>M430</f>
        <v>0.7</v>
      </c>
      <c r="O430" s="21"/>
    </row>
    <row r="431" spans="1:15">
      <c r="A431" s="1967" t="s">
        <v>1138</v>
      </c>
      <c r="B431" s="43"/>
      <c r="C431" s="24">
        <f>C428*C430</f>
        <v>51.8</v>
      </c>
      <c r="D431" s="24">
        <f t="shared" ref="D431:G431" si="680">D428*D430</f>
        <v>65.8</v>
      </c>
      <c r="E431" s="24">
        <f t="shared" si="680"/>
        <v>79.099999999999994</v>
      </c>
      <c r="F431" s="24">
        <f t="shared" si="680"/>
        <v>93.1</v>
      </c>
      <c r="G431" s="24">
        <f t="shared" si="680"/>
        <v>114.8</v>
      </c>
      <c r="H431" s="24">
        <f>H428*H430</f>
        <v>137.19999999999999</v>
      </c>
      <c r="I431" s="24">
        <f t="shared" ref="I431:N431" si="681">I428*I430</f>
        <v>156.1</v>
      </c>
      <c r="J431" s="24">
        <f t="shared" si="681"/>
        <v>174.29999999999998</v>
      </c>
      <c r="K431" s="24">
        <f t="shared" si="681"/>
        <v>197.39999999999998</v>
      </c>
      <c r="L431" s="24">
        <f t="shared" si="681"/>
        <v>228.2</v>
      </c>
      <c r="M431" s="24">
        <f t="shared" si="681"/>
        <v>256.89999999999998</v>
      </c>
      <c r="N431" s="33">
        <f t="shared" si="681"/>
        <v>292.59999999999997</v>
      </c>
      <c r="O431" s="21"/>
    </row>
    <row r="432" spans="1:15">
      <c r="A432" s="1967" t="s">
        <v>1139</v>
      </c>
      <c r="B432" s="43"/>
      <c r="C432" s="24">
        <f>C429*C430</f>
        <v>51.8</v>
      </c>
      <c r="D432" s="24">
        <f>D429*D430</f>
        <v>67.199999999999989</v>
      </c>
      <c r="E432" s="24">
        <f t="shared" ref="E432:G432" si="682">E429*E430</f>
        <v>81.899999999999991</v>
      </c>
      <c r="F432" s="24">
        <f t="shared" si="682"/>
        <v>99.399999999999991</v>
      </c>
      <c r="G432" s="24">
        <f t="shared" si="682"/>
        <v>125.3</v>
      </c>
      <c r="H432" s="24">
        <f>H429*H430</f>
        <v>154.69999999999999</v>
      </c>
      <c r="I432" s="24">
        <f t="shared" ref="I432:N432" si="683">I429*I430</f>
        <v>179.89999999999998</v>
      </c>
      <c r="J432" s="24">
        <f t="shared" si="683"/>
        <v>204.39999999999998</v>
      </c>
      <c r="K432" s="24">
        <f t="shared" si="683"/>
        <v>235.89999999999998</v>
      </c>
      <c r="L432" s="24">
        <f t="shared" si="683"/>
        <v>279.29999999999995</v>
      </c>
      <c r="M432" s="24">
        <f t="shared" si="683"/>
        <v>318.5</v>
      </c>
      <c r="N432" s="33">
        <f t="shared" si="683"/>
        <v>371</v>
      </c>
      <c r="O432" s="21"/>
    </row>
    <row r="433" spans="1:15">
      <c r="A433" s="1967"/>
      <c r="B433" s="43"/>
      <c r="C433" s="24"/>
      <c r="D433" s="24"/>
      <c r="E433" s="24"/>
      <c r="F433" s="24"/>
      <c r="G433" s="24"/>
      <c r="H433" s="24"/>
      <c r="I433" s="24"/>
      <c r="J433" s="24"/>
      <c r="K433" s="24"/>
      <c r="L433" s="24"/>
      <c r="M433" s="24"/>
      <c r="N433" s="33"/>
      <c r="O433" s="21"/>
    </row>
    <row r="434" spans="1:15">
      <c r="A434" s="1967" t="s">
        <v>1140</v>
      </c>
      <c r="B434" s="43"/>
      <c r="C434" s="24">
        <v>2.44</v>
      </c>
      <c r="D434" s="24">
        <v>1.54</v>
      </c>
      <c r="E434" s="24">
        <v>1.1100000000000001</v>
      </c>
      <c r="F434" s="24">
        <v>0.82</v>
      </c>
      <c r="G434" s="24">
        <v>0.56699999999999995</v>
      </c>
      <c r="H434" s="24">
        <v>0.41</v>
      </c>
      <c r="I434" s="24">
        <v>0.32400000000000001</v>
      </c>
      <c r="J434" s="24">
        <v>0.26400000000000001</v>
      </c>
      <c r="K434" s="24">
        <v>0.21</v>
      </c>
      <c r="L434" s="24">
        <v>0.16</v>
      </c>
      <c r="M434" s="24">
        <v>0.128</v>
      </c>
      <c r="N434" s="33">
        <v>0.1</v>
      </c>
      <c r="O434" s="21"/>
    </row>
    <row r="435" spans="1:15">
      <c r="A435" s="1967" t="s">
        <v>1141</v>
      </c>
      <c r="B435" s="43"/>
      <c r="C435" s="24">
        <v>8.0799999999999997E-2</v>
      </c>
      <c r="D435" s="24">
        <v>8.0500000000000002E-2</v>
      </c>
      <c r="E435" s="24">
        <v>7.8299999999999995E-2</v>
      </c>
      <c r="F435" s="24">
        <v>7.4999999999999997E-2</v>
      </c>
      <c r="G435" s="24">
        <v>7.3999999999999996E-2</v>
      </c>
      <c r="H435" s="24">
        <v>7.2400000000000006E-2</v>
      </c>
      <c r="I435" s="24">
        <v>7.1199999999999999E-2</v>
      </c>
      <c r="J435" s="24">
        <v>7.1599999999999997E-2</v>
      </c>
      <c r="K435" s="24">
        <v>7.1800000000000003E-2</v>
      </c>
      <c r="L435" s="24">
        <v>7.0999999999999994E-2</v>
      </c>
      <c r="M435" s="24">
        <v>7.0499999999999993E-2</v>
      </c>
      <c r="N435" s="33">
        <v>7.0400000000000004E-2</v>
      </c>
      <c r="O435" s="21"/>
    </row>
    <row r="436" spans="1:15">
      <c r="A436" s="1967"/>
      <c r="B436" s="43"/>
      <c r="C436" s="24"/>
      <c r="D436" s="24"/>
      <c r="E436" s="24"/>
      <c r="F436" s="24"/>
      <c r="G436" s="24"/>
      <c r="H436" s="24"/>
      <c r="I436" s="24"/>
      <c r="J436" s="24"/>
      <c r="K436" s="24"/>
      <c r="L436" s="24"/>
      <c r="M436" s="24"/>
      <c r="N436" s="33"/>
      <c r="O436" s="21"/>
    </row>
    <row r="437" spans="1:15" ht="24.75" customHeight="1">
      <c r="A437" s="1968" t="s">
        <v>1142</v>
      </c>
      <c r="B437" s="41">
        <f>A445</f>
        <v>0</v>
      </c>
      <c r="C437" s="24">
        <f t="shared" ref="C437:C439" si="684">B437</f>
        <v>0</v>
      </c>
      <c r="D437" s="24">
        <f t="shared" ref="D437:D439" si="685">C437</f>
        <v>0</v>
      </c>
      <c r="E437" s="24">
        <f t="shared" ref="E437:E439" si="686">D437</f>
        <v>0</v>
      </c>
      <c r="F437" s="24">
        <f t="shared" ref="F437:F439" si="687">E437</f>
        <v>0</v>
      </c>
      <c r="G437" s="24">
        <f t="shared" ref="G437:G439" si="688">F437</f>
        <v>0</v>
      </c>
      <c r="H437" s="24">
        <f t="shared" ref="H437:H439" si="689">G437</f>
        <v>0</v>
      </c>
      <c r="I437" s="24">
        <f t="shared" ref="I437:I439" si="690">H437</f>
        <v>0</v>
      </c>
      <c r="J437" s="24">
        <f t="shared" ref="J437:J439" si="691">I437</f>
        <v>0</v>
      </c>
      <c r="K437" s="24">
        <f t="shared" ref="K437:K439" si="692">J437</f>
        <v>0</v>
      </c>
      <c r="L437" s="24">
        <f t="shared" ref="L437:L439" si="693">K437</f>
        <v>0</v>
      </c>
      <c r="M437" s="24">
        <f t="shared" ref="M437:M439" si="694">L437</f>
        <v>0</v>
      </c>
      <c r="N437" s="33">
        <f t="shared" ref="N437:N439" si="695">M437</f>
        <v>0</v>
      </c>
      <c r="O437" s="21"/>
    </row>
    <row r="438" spans="1:15">
      <c r="A438" s="1968" t="s">
        <v>1143</v>
      </c>
      <c r="B438" s="42">
        <f>'Input''s from Initial Design'!X96</f>
        <v>0</v>
      </c>
      <c r="C438" s="24">
        <f t="shared" si="684"/>
        <v>0</v>
      </c>
      <c r="D438" s="24">
        <f t="shared" si="685"/>
        <v>0</v>
      </c>
      <c r="E438" s="24">
        <f t="shared" si="686"/>
        <v>0</v>
      </c>
      <c r="F438" s="24">
        <f t="shared" si="687"/>
        <v>0</v>
      </c>
      <c r="G438" s="24">
        <f t="shared" si="688"/>
        <v>0</v>
      </c>
      <c r="H438" s="24">
        <f t="shared" si="689"/>
        <v>0</v>
      </c>
      <c r="I438" s="24">
        <f t="shared" si="690"/>
        <v>0</v>
      </c>
      <c r="J438" s="24">
        <f t="shared" si="691"/>
        <v>0</v>
      </c>
      <c r="K438" s="24">
        <f t="shared" si="692"/>
        <v>0</v>
      </c>
      <c r="L438" s="24">
        <f t="shared" si="693"/>
        <v>0</v>
      </c>
      <c r="M438" s="24">
        <f t="shared" si="694"/>
        <v>0</v>
      </c>
      <c r="N438" s="33">
        <f t="shared" si="695"/>
        <v>0</v>
      </c>
      <c r="O438" s="21"/>
    </row>
    <row r="439" spans="1:15">
      <c r="A439" s="1968" t="s">
        <v>1144</v>
      </c>
      <c r="B439" s="42">
        <f>'Input''s from Initial Design'!Y96</f>
        <v>0</v>
      </c>
      <c r="C439" s="24">
        <f t="shared" si="684"/>
        <v>0</v>
      </c>
      <c r="D439" s="24">
        <f t="shared" si="685"/>
        <v>0</v>
      </c>
      <c r="E439" s="24">
        <f t="shared" si="686"/>
        <v>0</v>
      </c>
      <c r="F439" s="24">
        <f t="shared" si="687"/>
        <v>0</v>
      </c>
      <c r="G439" s="24">
        <f t="shared" si="688"/>
        <v>0</v>
      </c>
      <c r="H439" s="24">
        <f t="shared" si="689"/>
        <v>0</v>
      </c>
      <c r="I439" s="24">
        <f t="shared" si="690"/>
        <v>0</v>
      </c>
      <c r="J439" s="24">
        <f t="shared" si="691"/>
        <v>0</v>
      </c>
      <c r="K439" s="24">
        <f t="shared" si="692"/>
        <v>0</v>
      </c>
      <c r="L439" s="24">
        <f t="shared" si="693"/>
        <v>0</v>
      </c>
      <c r="M439" s="24">
        <f t="shared" si="694"/>
        <v>0</v>
      </c>
      <c r="N439" s="33">
        <f t="shared" si="695"/>
        <v>0</v>
      </c>
      <c r="O439" s="21"/>
    </row>
    <row r="440" spans="1:15">
      <c r="A440" s="1968" t="s">
        <v>1145</v>
      </c>
      <c r="B440" s="42">
        <v>415</v>
      </c>
      <c r="C440" s="24">
        <f>+B440</f>
        <v>415</v>
      </c>
      <c r="D440" s="24">
        <f t="shared" ref="D440" si="696">+C440</f>
        <v>415</v>
      </c>
      <c r="E440" s="24">
        <f t="shared" ref="E440" si="697">+D440</f>
        <v>415</v>
      </c>
      <c r="F440" s="24">
        <f t="shared" ref="F440" si="698">+E440</f>
        <v>415</v>
      </c>
      <c r="G440" s="24">
        <f t="shared" ref="G440" si="699">+F440</f>
        <v>415</v>
      </c>
      <c r="H440" s="24">
        <f t="shared" ref="H440" si="700">+G440</f>
        <v>415</v>
      </c>
      <c r="I440" s="24">
        <f t="shared" ref="I440" si="701">+H440</f>
        <v>415</v>
      </c>
      <c r="J440" s="24">
        <f t="shared" ref="J440" si="702">+I440</f>
        <v>415</v>
      </c>
      <c r="K440" s="24">
        <f t="shared" ref="K440" si="703">+J440</f>
        <v>415</v>
      </c>
      <c r="L440" s="24">
        <f t="shared" ref="L440" si="704">+K440</f>
        <v>415</v>
      </c>
      <c r="M440" s="24">
        <f t="shared" ref="M440" si="705">+L440</f>
        <v>415</v>
      </c>
      <c r="N440" s="33">
        <f t="shared" ref="N440" si="706">+M440</f>
        <v>415</v>
      </c>
      <c r="O440" s="21"/>
    </row>
    <row r="441" spans="1:15">
      <c r="A441" s="1967" t="s">
        <v>1146</v>
      </c>
      <c r="B441" s="43"/>
      <c r="C441" s="25" t="e">
        <f t="shared" ref="C441:N441" si="707">1.732*C437*(C434/1000*1+C435/1000*0)*C438/C439</f>
        <v>#DIV/0!</v>
      </c>
      <c r="D441" s="25" t="e">
        <f t="shared" si="707"/>
        <v>#DIV/0!</v>
      </c>
      <c r="E441" s="25" t="e">
        <f t="shared" si="707"/>
        <v>#DIV/0!</v>
      </c>
      <c r="F441" s="25" t="e">
        <f t="shared" si="707"/>
        <v>#DIV/0!</v>
      </c>
      <c r="G441" s="25" t="e">
        <f t="shared" si="707"/>
        <v>#DIV/0!</v>
      </c>
      <c r="H441" s="25" t="e">
        <f t="shared" si="707"/>
        <v>#DIV/0!</v>
      </c>
      <c r="I441" s="25" t="e">
        <f t="shared" si="707"/>
        <v>#DIV/0!</v>
      </c>
      <c r="J441" s="25" t="e">
        <f t="shared" si="707"/>
        <v>#DIV/0!</v>
      </c>
      <c r="K441" s="25" t="e">
        <f t="shared" si="707"/>
        <v>#DIV/0!</v>
      </c>
      <c r="L441" s="25" t="e">
        <f t="shared" si="707"/>
        <v>#DIV/0!</v>
      </c>
      <c r="M441" s="25" t="e">
        <f t="shared" si="707"/>
        <v>#DIV/0!</v>
      </c>
      <c r="N441" s="34" t="e">
        <f t="shared" si="707"/>
        <v>#DIV/0!</v>
      </c>
      <c r="O441" s="21"/>
    </row>
    <row r="442" spans="1:15">
      <c r="A442" s="1967" t="s">
        <v>1147</v>
      </c>
      <c r="B442" s="43"/>
      <c r="C442" s="1965" t="e">
        <f>C441/C440</f>
        <v>#DIV/0!</v>
      </c>
      <c r="D442" s="1965" t="e">
        <f t="shared" ref="D442:N442" si="708">D441/D440</f>
        <v>#DIV/0!</v>
      </c>
      <c r="E442" s="1965" t="e">
        <f t="shared" si="708"/>
        <v>#DIV/0!</v>
      </c>
      <c r="F442" s="1965" t="e">
        <f t="shared" si="708"/>
        <v>#DIV/0!</v>
      </c>
      <c r="G442" s="1965" t="e">
        <f t="shared" si="708"/>
        <v>#DIV/0!</v>
      </c>
      <c r="H442" s="1965" t="e">
        <f t="shared" si="708"/>
        <v>#DIV/0!</v>
      </c>
      <c r="I442" s="1965" t="e">
        <f t="shared" si="708"/>
        <v>#DIV/0!</v>
      </c>
      <c r="J442" s="1965" t="e">
        <f t="shared" si="708"/>
        <v>#DIV/0!</v>
      </c>
      <c r="K442" s="1965" t="e">
        <f t="shared" si="708"/>
        <v>#DIV/0!</v>
      </c>
      <c r="L442" s="1965" t="e">
        <f t="shared" si="708"/>
        <v>#DIV/0!</v>
      </c>
      <c r="M442" s="1965" t="e">
        <f t="shared" si="708"/>
        <v>#DIV/0!</v>
      </c>
      <c r="N442" s="1969" t="e">
        <f t="shared" si="708"/>
        <v>#DIV/0!</v>
      </c>
      <c r="O442" s="21"/>
    </row>
    <row r="443" spans="1:15">
      <c r="A443" s="1968" t="s">
        <v>1148</v>
      </c>
      <c r="B443" s="1966">
        <v>0.02</v>
      </c>
      <c r="C443" s="24" t="e">
        <f>IF(AND((C437*1.25)&lt;(C431*C439),(C442&lt;$B$16)),"PASS","FAIL")</f>
        <v>#DIV/0!</v>
      </c>
      <c r="D443" s="24" t="e">
        <f>IF(AND((D437*1.25)&lt;(D431*D439),(D442&lt;$B$16)),"PASS","FAIL")</f>
        <v>#DIV/0!</v>
      </c>
      <c r="E443" s="24" t="e">
        <f>IF(AND((E437*1.25)&lt;(E431*E439),(E442&lt;$B$16)),"PASS","FAIL")</f>
        <v>#DIV/0!</v>
      </c>
      <c r="F443" s="24" t="e">
        <f>IF(AND((F437*1.25)&lt;(F431*F439),(F442&lt;$B$16)),"PASS","FAIL")</f>
        <v>#DIV/0!</v>
      </c>
      <c r="G443" s="24" t="e">
        <f>IF(AND((G437*1.25)&lt;(G431*G439),(G442&lt;$B$16)),"PASS","FAIL")</f>
        <v>#DIV/0!</v>
      </c>
      <c r="H443" s="24" t="e">
        <f>IF(AND((H437*1.1)&lt;(H431*H439),(H442&lt;$B$16)),"PASS","FAIL")</f>
        <v>#DIV/0!</v>
      </c>
      <c r="I443" s="24" t="e">
        <f t="shared" ref="I443:N443" si="709">IF(AND((I437*1.25)&lt;(I431*I439),(I442&lt;$B$16)),"PASS","FAIL")</f>
        <v>#DIV/0!</v>
      </c>
      <c r="J443" s="24" t="e">
        <f t="shared" si="709"/>
        <v>#DIV/0!</v>
      </c>
      <c r="K443" s="24" t="e">
        <f t="shared" si="709"/>
        <v>#DIV/0!</v>
      </c>
      <c r="L443" s="24" t="e">
        <f t="shared" si="709"/>
        <v>#DIV/0!</v>
      </c>
      <c r="M443" s="24" t="e">
        <f t="shared" si="709"/>
        <v>#DIV/0!</v>
      </c>
      <c r="N443" s="33" t="e">
        <f t="shared" si="709"/>
        <v>#DIV/0!</v>
      </c>
      <c r="O443" s="21"/>
    </row>
    <row r="444" spans="1:15" ht="18.600000000000001" thickBot="1">
      <c r="A444" s="1970" t="s">
        <v>1149</v>
      </c>
      <c r="B444" s="1971"/>
      <c r="C444" s="1972" t="e">
        <f t="shared" ref="C444:N444" si="710">IF(AND((C437*1.25)&lt;(C432*C439),(C442&lt;$B$16)),"PASS","FAIL")</f>
        <v>#DIV/0!</v>
      </c>
      <c r="D444" s="1972" t="e">
        <f t="shared" si="710"/>
        <v>#DIV/0!</v>
      </c>
      <c r="E444" s="1972" t="e">
        <f t="shared" si="710"/>
        <v>#DIV/0!</v>
      </c>
      <c r="F444" s="1972" t="e">
        <f t="shared" si="710"/>
        <v>#DIV/0!</v>
      </c>
      <c r="G444" s="1972" t="e">
        <f t="shared" si="710"/>
        <v>#DIV/0!</v>
      </c>
      <c r="H444" s="1972" t="e">
        <f t="shared" si="710"/>
        <v>#DIV/0!</v>
      </c>
      <c r="I444" s="1972" t="e">
        <f t="shared" si="710"/>
        <v>#DIV/0!</v>
      </c>
      <c r="J444" s="1972" t="e">
        <f t="shared" si="710"/>
        <v>#DIV/0!</v>
      </c>
      <c r="K444" s="1972" t="e">
        <f t="shared" si="710"/>
        <v>#DIV/0!</v>
      </c>
      <c r="L444" s="1972" t="e">
        <f t="shared" si="710"/>
        <v>#DIV/0!</v>
      </c>
      <c r="M444" s="1972" t="e">
        <f t="shared" si="710"/>
        <v>#DIV/0!</v>
      </c>
      <c r="N444" s="1973" t="e">
        <f t="shared" si="710"/>
        <v>#DIV/0!</v>
      </c>
      <c r="O444" s="21"/>
    </row>
    <row r="445" spans="1:15">
      <c r="A445" s="1963">
        <f>('Input''s from Initial Design'!W96*1000/(1.732*440*1))</f>
        <v>0</v>
      </c>
      <c r="B445" s="1964" t="s">
        <v>1150</v>
      </c>
      <c r="C445" s="26"/>
      <c r="D445" s="3213"/>
      <c r="E445" s="3213"/>
      <c r="F445" s="3213"/>
      <c r="G445" s="21"/>
      <c r="H445" s="21"/>
      <c r="I445" s="21"/>
      <c r="J445" s="21"/>
    </row>
    <row r="446" spans="1:15">
      <c r="A446" s="21"/>
      <c r="B446" s="21"/>
      <c r="C446" s="26"/>
      <c r="D446" s="21"/>
      <c r="E446" s="21">
        <v>19</v>
      </c>
      <c r="F446" s="21"/>
      <c r="G446" s="27"/>
      <c r="H446" s="21"/>
      <c r="I446" s="21"/>
      <c r="J446" s="21"/>
    </row>
    <row r="447" spans="1:15">
      <c r="A447" s="28" t="s">
        <v>1148</v>
      </c>
      <c r="B447" s="29" t="e">
        <f>IF(C443="FAIL",IF(D443="FAIL",IF(E443="FAIL",IF(F443="FAIL",IF(G443="FAIL",IF(H443="FAIL",IF(I443="FAIL",IF(J443="FAIL",IF(K443="FAIL",IF(L443="FAIL",IF(M443="FAIL","NO MATCH",$M$1),$L$1),$K$1),$J$1),$I$1),$H$1),$G$1),$F$1),$E$1),$D$1),$C$1)</f>
        <v>#DIV/0!</v>
      </c>
      <c r="C447" s="30" t="s">
        <v>1151</v>
      </c>
      <c r="D447" s="21"/>
      <c r="E447" s="21"/>
      <c r="F447" s="21"/>
      <c r="G447" s="21"/>
      <c r="H447" s="26"/>
      <c r="I447" s="21"/>
      <c r="J447" s="21"/>
      <c r="K447" s="21"/>
      <c r="L447" s="21"/>
      <c r="N447" s="21"/>
      <c r="O447" s="21"/>
    </row>
    <row r="448" spans="1:15">
      <c r="A448" s="28" t="s">
        <v>1149</v>
      </c>
      <c r="B448" s="29" t="e">
        <f>IF(C444="FAIL",IF(D444="FAIL",IF(E444="FAIL",IF(F444="FAIL",IF(G444="FAIL",IF(H444="FAIL",IF(I444="FAIL",IF(J444="FAIL",IF(K444="FAIL",IF(L444="FAIL",IF(M444="FAIL","NO MATCH",$M$1),$L$1),$K$1),$J$1),$I$1),$H$1),$G$1),$F$1),$E$1),$D$1),$C$1)</f>
        <v>#DIV/0!</v>
      </c>
      <c r="C448" s="30" t="s">
        <v>1151</v>
      </c>
      <c r="D448" s="21"/>
      <c r="E448" s="21"/>
      <c r="F448" s="21"/>
      <c r="G448" s="21"/>
      <c r="H448" s="26"/>
      <c r="I448" s="21"/>
      <c r="J448" s="21"/>
      <c r="K448" s="21"/>
      <c r="L448" s="21"/>
      <c r="N448" s="21"/>
      <c r="O448" s="21"/>
    </row>
    <row r="449" spans="1:15" ht="18.600000000000001" thickBot="1"/>
    <row r="450" spans="1:15" s="23" customFormat="1">
      <c r="A450" s="3214" t="s">
        <v>1122</v>
      </c>
      <c r="B450" s="3216"/>
      <c r="C450" s="35">
        <v>16</v>
      </c>
      <c r="D450" s="36">
        <v>25</v>
      </c>
      <c r="E450" s="36">
        <v>35</v>
      </c>
      <c r="F450" s="36">
        <v>50</v>
      </c>
      <c r="G450" s="36">
        <v>70</v>
      </c>
      <c r="H450" s="36">
        <v>95</v>
      </c>
      <c r="I450" s="36">
        <v>120</v>
      </c>
      <c r="J450" s="36">
        <v>150</v>
      </c>
      <c r="K450" s="36">
        <v>185</v>
      </c>
      <c r="L450" s="36">
        <v>240</v>
      </c>
      <c r="M450" s="36">
        <v>300</v>
      </c>
      <c r="N450" s="37">
        <v>400</v>
      </c>
      <c r="O450" s="22"/>
    </row>
    <row r="451" spans="1:15" s="23" customFormat="1" ht="18.600000000000001" thickBot="1">
      <c r="A451" s="3215"/>
      <c r="B451" s="3217"/>
      <c r="C451" s="1978" t="s">
        <v>1123</v>
      </c>
      <c r="D451" s="1979" t="s">
        <v>1124</v>
      </c>
      <c r="E451" s="1979" t="s">
        <v>1125</v>
      </c>
      <c r="F451" s="1979" t="s">
        <v>1126</v>
      </c>
      <c r="G451" s="1979" t="s">
        <v>1127</v>
      </c>
      <c r="H451" s="1979" t="s">
        <v>1128</v>
      </c>
      <c r="I451" s="1979" t="s">
        <v>1129</v>
      </c>
      <c r="J451" s="1979" t="s">
        <v>1130</v>
      </c>
      <c r="K451" s="1979" t="s">
        <v>1131</v>
      </c>
      <c r="L451" s="1979" t="s">
        <v>1132</v>
      </c>
      <c r="M451" s="1979" t="s">
        <v>1133</v>
      </c>
      <c r="N451" s="1980" t="s">
        <v>1134</v>
      </c>
      <c r="O451" s="22"/>
    </row>
    <row r="452" spans="1:15">
      <c r="A452" s="1981" t="s">
        <v>1135</v>
      </c>
      <c r="B452" s="1982"/>
      <c r="C452" s="31">
        <v>74</v>
      </c>
      <c r="D452" s="31">
        <v>94</v>
      </c>
      <c r="E452" s="31">
        <v>113</v>
      </c>
      <c r="F452" s="31">
        <v>133</v>
      </c>
      <c r="G452" s="31">
        <v>164</v>
      </c>
      <c r="H452" s="31">
        <v>196</v>
      </c>
      <c r="I452" s="31">
        <v>223</v>
      </c>
      <c r="J452" s="31">
        <v>249</v>
      </c>
      <c r="K452" s="31">
        <v>282</v>
      </c>
      <c r="L452" s="31">
        <v>326</v>
      </c>
      <c r="M452" s="31">
        <v>367</v>
      </c>
      <c r="N452" s="32">
        <v>418</v>
      </c>
      <c r="O452" s="21"/>
    </row>
    <row r="453" spans="1:15">
      <c r="A453" s="1967" t="s">
        <v>1136</v>
      </c>
      <c r="B453" s="43"/>
      <c r="C453" s="24">
        <v>74</v>
      </c>
      <c r="D453" s="24">
        <v>96</v>
      </c>
      <c r="E453" s="24">
        <v>117</v>
      </c>
      <c r="F453" s="24">
        <v>142</v>
      </c>
      <c r="G453" s="24">
        <v>179</v>
      </c>
      <c r="H453" s="24">
        <v>221</v>
      </c>
      <c r="I453" s="24">
        <v>257</v>
      </c>
      <c r="J453" s="24">
        <v>292</v>
      </c>
      <c r="K453" s="24">
        <v>337</v>
      </c>
      <c r="L453" s="24">
        <v>399</v>
      </c>
      <c r="M453" s="24">
        <v>455</v>
      </c>
      <c r="N453" s="33">
        <v>530</v>
      </c>
      <c r="O453" s="21"/>
    </row>
    <row r="454" spans="1:15" ht="22.5" customHeight="1">
      <c r="A454" s="1967" t="s">
        <v>1137</v>
      </c>
      <c r="B454" s="42">
        <v>0.7</v>
      </c>
      <c r="C454" s="24">
        <f>B454</f>
        <v>0.7</v>
      </c>
      <c r="D454" s="24">
        <f>C454</f>
        <v>0.7</v>
      </c>
      <c r="E454" s="24">
        <f t="shared" ref="E454" si="711">D454</f>
        <v>0.7</v>
      </c>
      <c r="F454" s="24">
        <f t="shared" ref="F454" si="712">E454</f>
        <v>0.7</v>
      </c>
      <c r="G454" s="24">
        <f t="shared" ref="G454" si="713">F454</f>
        <v>0.7</v>
      </c>
      <c r="H454" s="24">
        <f t="shared" ref="H454" si="714">G454</f>
        <v>0.7</v>
      </c>
      <c r="I454" s="24">
        <f t="shared" ref="I454" si="715">H454</f>
        <v>0.7</v>
      </c>
      <c r="J454" s="24">
        <f t="shared" ref="J454" si="716">I454</f>
        <v>0.7</v>
      </c>
      <c r="K454" s="24">
        <f t="shared" ref="K454" si="717">J454</f>
        <v>0.7</v>
      </c>
      <c r="L454" s="24">
        <f t="shared" ref="L454" si="718">K454</f>
        <v>0.7</v>
      </c>
      <c r="M454" s="24">
        <f>L454</f>
        <v>0.7</v>
      </c>
      <c r="N454" s="33">
        <f>M454</f>
        <v>0.7</v>
      </c>
      <c r="O454" s="21"/>
    </row>
    <row r="455" spans="1:15">
      <c r="A455" s="1967" t="s">
        <v>1138</v>
      </c>
      <c r="B455" s="43"/>
      <c r="C455" s="24">
        <f>C452*C454</f>
        <v>51.8</v>
      </c>
      <c r="D455" s="24">
        <f t="shared" ref="D455:G455" si="719">D452*D454</f>
        <v>65.8</v>
      </c>
      <c r="E455" s="24">
        <f t="shared" si="719"/>
        <v>79.099999999999994</v>
      </c>
      <c r="F455" s="24">
        <f t="shared" si="719"/>
        <v>93.1</v>
      </c>
      <c r="G455" s="24">
        <f t="shared" si="719"/>
        <v>114.8</v>
      </c>
      <c r="H455" s="24">
        <f>H452*H454</f>
        <v>137.19999999999999</v>
      </c>
      <c r="I455" s="24">
        <f t="shared" ref="I455:N455" si="720">I452*I454</f>
        <v>156.1</v>
      </c>
      <c r="J455" s="24">
        <f t="shared" si="720"/>
        <v>174.29999999999998</v>
      </c>
      <c r="K455" s="24">
        <f t="shared" si="720"/>
        <v>197.39999999999998</v>
      </c>
      <c r="L455" s="24">
        <f t="shared" si="720"/>
        <v>228.2</v>
      </c>
      <c r="M455" s="24">
        <f t="shared" si="720"/>
        <v>256.89999999999998</v>
      </c>
      <c r="N455" s="33">
        <f t="shared" si="720"/>
        <v>292.59999999999997</v>
      </c>
      <c r="O455" s="21"/>
    </row>
    <row r="456" spans="1:15">
      <c r="A456" s="1967" t="s">
        <v>1139</v>
      </c>
      <c r="B456" s="43"/>
      <c r="C456" s="24">
        <f>C453*C454</f>
        <v>51.8</v>
      </c>
      <c r="D456" s="24">
        <f>D453*D454</f>
        <v>67.199999999999989</v>
      </c>
      <c r="E456" s="24">
        <f t="shared" ref="E456:G456" si="721">E453*E454</f>
        <v>81.899999999999991</v>
      </c>
      <c r="F456" s="24">
        <f t="shared" si="721"/>
        <v>99.399999999999991</v>
      </c>
      <c r="G456" s="24">
        <f t="shared" si="721"/>
        <v>125.3</v>
      </c>
      <c r="H456" s="24">
        <f>H453*H454</f>
        <v>154.69999999999999</v>
      </c>
      <c r="I456" s="24">
        <f t="shared" ref="I456:N456" si="722">I453*I454</f>
        <v>179.89999999999998</v>
      </c>
      <c r="J456" s="24">
        <f t="shared" si="722"/>
        <v>204.39999999999998</v>
      </c>
      <c r="K456" s="24">
        <f t="shared" si="722"/>
        <v>235.89999999999998</v>
      </c>
      <c r="L456" s="24">
        <f t="shared" si="722"/>
        <v>279.29999999999995</v>
      </c>
      <c r="M456" s="24">
        <f t="shared" si="722"/>
        <v>318.5</v>
      </c>
      <c r="N456" s="33">
        <f t="shared" si="722"/>
        <v>371</v>
      </c>
      <c r="O456" s="21"/>
    </row>
    <row r="457" spans="1:15">
      <c r="A457" s="1967"/>
      <c r="B457" s="43"/>
      <c r="C457" s="24"/>
      <c r="D457" s="24"/>
      <c r="E457" s="24"/>
      <c r="F457" s="24"/>
      <c r="G457" s="24"/>
      <c r="H457" s="24"/>
      <c r="I457" s="24"/>
      <c r="J457" s="24"/>
      <c r="K457" s="24"/>
      <c r="L457" s="24"/>
      <c r="M457" s="24"/>
      <c r="N457" s="33"/>
      <c r="O457" s="21"/>
    </row>
    <row r="458" spans="1:15">
      <c r="A458" s="1967" t="s">
        <v>1140</v>
      </c>
      <c r="B458" s="43"/>
      <c r="C458" s="24">
        <v>2.44</v>
      </c>
      <c r="D458" s="24">
        <v>1.54</v>
      </c>
      <c r="E458" s="24">
        <v>1.1100000000000001</v>
      </c>
      <c r="F458" s="24">
        <v>0.82</v>
      </c>
      <c r="G458" s="24">
        <v>0.56699999999999995</v>
      </c>
      <c r="H458" s="24">
        <v>0.41</v>
      </c>
      <c r="I458" s="24">
        <v>0.32400000000000001</v>
      </c>
      <c r="J458" s="24">
        <v>0.26400000000000001</v>
      </c>
      <c r="K458" s="24">
        <v>0.21</v>
      </c>
      <c r="L458" s="24">
        <v>0.16</v>
      </c>
      <c r="M458" s="24">
        <v>0.128</v>
      </c>
      <c r="N458" s="33">
        <v>0.1</v>
      </c>
      <c r="O458" s="21"/>
    </row>
    <row r="459" spans="1:15">
      <c r="A459" s="1967" t="s">
        <v>1141</v>
      </c>
      <c r="B459" s="43"/>
      <c r="C459" s="24">
        <v>8.0799999999999997E-2</v>
      </c>
      <c r="D459" s="24">
        <v>8.0500000000000002E-2</v>
      </c>
      <c r="E459" s="24">
        <v>7.8299999999999995E-2</v>
      </c>
      <c r="F459" s="24">
        <v>7.4999999999999997E-2</v>
      </c>
      <c r="G459" s="24">
        <v>7.3999999999999996E-2</v>
      </c>
      <c r="H459" s="24">
        <v>7.2400000000000006E-2</v>
      </c>
      <c r="I459" s="24">
        <v>7.1199999999999999E-2</v>
      </c>
      <c r="J459" s="24">
        <v>7.1599999999999997E-2</v>
      </c>
      <c r="K459" s="24">
        <v>7.1800000000000003E-2</v>
      </c>
      <c r="L459" s="24">
        <v>7.0999999999999994E-2</v>
      </c>
      <c r="M459" s="24">
        <v>7.0499999999999993E-2</v>
      </c>
      <c r="N459" s="33">
        <v>7.0400000000000004E-2</v>
      </c>
      <c r="O459" s="21"/>
    </row>
    <row r="460" spans="1:15">
      <c r="A460" s="1967"/>
      <c r="B460" s="43"/>
      <c r="C460" s="24"/>
      <c r="D460" s="24"/>
      <c r="E460" s="24"/>
      <c r="F460" s="24"/>
      <c r="G460" s="24"/>
      <c r="H460" s="24"/>
      <c r="I460" s="24"/>
      <c r="J460" s="24"/>
      <c r="K460" s="24"/>
      <c r="L460" s="24"/>
      <c r="M460" s="24"/>
      <c r="N460" s="33"/>
      <c r="O460" s="21"/>
    </row>
    <row r="461" spans="1:15" ht="24.75" customHeight="1">
      <c r="A461" s="1968" t="s">
        <v>1142</v>
      </c>
      <c r="B461" s="41">
        <f>A469</f>
        <v>0</v>
      </c>
      <c r="C461" s="24">
        <f t="shared" ref="C461:C463" si="723">B461</f>
        <v>0</v>
      </c>
      <c r="D461" s="24">
        <f t="shared" ref="D461:D463" si="724">C461</f>
        <v>0</v>
      </c>
      <c r="E461" s="24">
        <f t="shared" ref="E461:E463" si="725">D461</f>
        <v>0</v>
      </c>
      <c r="F461" s="24">
        <f t="shared" ref="F461:F463" si="726">E461</f>
        <v>0</v>
      </c>
      <c r="G461" s="24">
        <f t="shared" ref="G461:G463" si="727">F461</f>
        <v>0</v>
      </c>
      <c r="H461" s="24">
        <f t="shared" ref="H461:H463" si="728">G461</f>
        <v>0</v>
      </c>
      <c r="I461" s="24">
        <f t="shared" ref="I461:I463" si="729">H461</f>
        <v>0</v>
      </c>
      <c r="J461" s="24">
        <f t="shared" ref="J461:J463" si="730">I461</f>
        <v>0</v>
      </c>
      <c r="K461" s="24">
        <f t="shared" ref="K461:K463" si="731">J461</f>
        <v>0</v>
      </c>
      <c r="L461" s="24">
        <f t="shared" ref="L461:L463" si="732">K461</f>
        <v>0</v>
      </c>
      <c r="M461" s="24">
        <f t="shared" ref="M461:M463" si="733">L461</f>
        <v>0</v>
      </c>
      <c r="N461" s="33">
        <f t="shared" ref="N461:N463" si="734">M461</f>
        <v>0</v>
      </c>
      <c r="O461" s="21"/>
    </row>
    <row r="462" spans="1:15">
      <c r="A462" s="1968" t="s">
        <v>1143</v>
      </c>
      <c r="B462" s="42">
        <f>'Input''s from Initial Design'!X98</f>
        <v>0</v>
      </c>
      <c r="C462" s="24">
        <f t="shared" si="723"/>
        <v>0</v>
      </c>
      <c r="D462" s="24">
        <f t="shared" si="724"/>
        <v>0</v>
      </c>
      <c r="E462" s="24">
        <f t="shared" si="725"/>
        <v>0</v>
      </c>
      <c r="F462" s="24">
        <f t="shared" si="726"/>
        <v>0</v>
      </c>
      <c r="G462" s="24">
        <f t="shared" si="727"/>
        <v>0</v>
      </c>
      <c r="H462" s="24">
        <f t="shared" si="728"/>
        <v>0</v>
      </c>
      <c r="I462" s="24">
        <f t="shared" si="729"/>
        <v>0</v>
      </c>
      <c r="J462" s="24">
        <f t="shared" si="730"/>
        <v>0</v>
      </c>
      <c r="K462" s="24">
        <f t="shared" si="731"/>
        <v>0</v>
      </c>
      <c r="L462" s="24">
        <f t="shared" si="732"/>
        <v>0</v>
      </c>
      <c r="M462" s="24">
        <f t="shared" si="733"/>
        <v>0</v>
      </c>
      <c r="N462" s="33">
        <f t="shared" si="734"/>
        <v>0</v>
      </c>
      <c r="O462" s="21"/>
    </row>
    <row r="463" spans="1:15">
      <c r="A463" s="1968" t="s">
        <v>1144</v>
      </c>
      <c r="B463" s="42">
        <f>'Input''s from Initial Design'!Y98</f>
        <v>0</v>
      </c>
      <c r="C463" s="24">
        <f t="shared" si="723"/>
        <v>0</v>
      </c>
      <c r="D463" s="24">
        <f t="shared" si="724"/>
        <v>0</v>
      </c>
      <c r="E463" s="24">
        <f t="shared" si="725"/>
        <v>0</v>
      </c>
      <c r="F463" s="24">
        <f t="shared" si="726"/>
        <v>0</v>
      </c>
      <c r="G463" s="24">
        <f t="shared" si="727"/>
        <v>0</v>
      </c>
      <c r="H463" s="24">
        <f t="shared" si="728"/>
        <v>0</v>
      </c>
      <c r="I463" s="24">
        <f t="shared" si="729"/>
        <v>0</v>
      </c>
      <c r="J463" s="24">
        <f t="shared" si="730"/>
        <v>0</v>
      </c>
      <c r="K463" s="24">
        <f t="shared" si="731"/>
        <v>0</v>
      </c>
      <c r="L463" s="24">
        <f t="shared" si="732"/>
        <v>0</v>
      </c>
      <c r="M463" s="24">
        <f t="shared" si="733"/>
        <v>0</v>
      </c>
      <c r="N463" s="33">
        <f t="shared" si="734"/>
        <v>0</v>
      </c>
      <c r="O463" s="21"/>
    </row>
    <row r="464" spans="1:15">
      <c r="A464" s="1968" t="s">
        <v>1145</v>
      </c>
      <c r="B464" s="42">
        <v>415</v>
      </c>
      <c r="C464" s="24">
        <f>+B464</f>
        <v>415</v>
      </c>
      <c r="D464" s="24">
        <f t="shared" ref="D464" si="735">+C464</f>
        <v>415</v>
      </c>
      <c r="E464" s="24">
        <f t="shared" ref="E464" si="736">+D464</f>
        <v>415</v>
      </c>
      <c r="F464" s="24">
        <f t="shared" ref="F464" si="737">+E464</f>
        <v>415</v>
      </c>
      <c r="G464" s="24">
        <f t="shared" ref="G464" si="738">+F464</f>
        <v>415</v>
      </c>
      <c r="H464" s="24">
        <f t="shared" ref="H464" si="739">+G464</f>
        <v>415</v>
      </c>
      <c r="I464" s="24">
        <f t="shared" ref="I464" si="740">+H464</f>
        <v>415</v>
      </c>
      <c r="J464" s="24">
        <f t="shared" ref="J464" si="741">+I464</f>
        <v>415</v>
      </c>
      <c r="K464" s="24">
        <f t="shared" ref="K464" si="742">+J464</f>
        <v>415</v>
      </c>
      <c r="L464" s="24">
        <f t="shared" ref="L464" si="743">+K464</f>
        <v>415</v>
      </c>
      <c r="M464" s="24">
        <f t="shared" ref="M464" si="744">+L464</f>
        <v>415</v>
      </c>
      <c r="N464" s="33">
        <f t="shared" ref="N464" si="745">+M464</f>
        <v>415</v>
      </c>
      <c r="O464" s="21"/>
    </row>
    <row r="465" spans="1:15">
      <c r="A465" s="1967" t="s">
        <v>1146</v>
      </c>
      <c r="B465" s="43"/>
      <c r="C465" s="25" t="e">
        <f t="shared" ref="C465:N465" si="746">1.732*C461*(C458/1000*1+C459/1000*0)*C462/C463</f>
        <v>#DIV/0!</v>
      </c>
      <c r="D465" s="25" t="e">
        <f t="shared" si="746"/>
        <v>#DIV/0!</v>
      </c>
      <c r="E465" s="25" t="e">
        <f t="shared" si="746"/>
        <v>#DIV/0!</v>
      </c>
      <c r="F465" s="25" t="e">
        <f t="shared" si="746"/>
        <v>#DIV/0!</v>
      </c>
      <c r="G465" s="25" t="e">
        <f t="shared" si="746"/>
        <v>#DIV/0!</v>
      </c>
      <c r="H465" s="25" t="e">
        <f t="shared" si="746"/>
        <v>#DIV/0!</v>
      </c>
      <c r="I465" s="25" t="e">
        <f t="shared" si="746"/>
        <v>#DIV/0!</v>
      </c>
      <c r="J465" s="25" t="e">
        <f t="shared" si="746"/>
        <v>#DIV/0!</v>
      </c>
      <c r="K465" s="25" t="e">
        <f t="shared" si="746"/>
        <v>#DIV/0!</v>
      </c>
      <c r="L465" s="25" t="e">
        <f t="shared" si="746"/>
        <v>#DIV/0!</v>
      </c>
      <c r="M465" s="25" t="e">
        <f t="shared" si="746"/>
        <v>#DIV/0!</v>
      </c>
      <c r="N465" s="34" t="e">
        <f t="shared" si="746"/>
        <v>#DIV/0!</v>
      </c>
      <c r="O465" s="21"/>
    </row>
    <row r="466" spans="1:15">
      <c r="A466" s="1967" t="s">
        <v>1147</v>
      </c>
      <c r="B466" s="43"/>
      <c r="C466" s="1965" t="e">
        <f>C465/C464</f>
        <v>#DIV/0!</v>
      </c>
      <c r="D466" s="1965" t="e">
        <f t="shared" ref="D466:N466" si="747">D465/D464</f>
        <v>#DIV/0!</v>
      </c>
      <c r="E466" s="1965" t="e">
        <f t="shared" si="747"/>
        <v>#DIV/0!</v>
      </c>
      <c r="F466" s="1965" t="e">
        <f t="shared" si="747"/>
        <v>#DIV/0!</v>
      </c>
      <c r="G466" s="1965" t="e">
        <f t="shared" si="747"/>
        <v>#DIV/0!</v>
      </c>
      <c r="H466" s="1965" t="e">
        <f t="shared" si="747"/>
        <v>#DIV/0!</v>
      </c>
      <c r="I466" s="1965" t="e">
        <f t="shared" si="747"/>
        <v>#DIV/0!</v>
      </c>
      <c r="J466" s="1965" t="e">
        <f t="shared" si="747"/>
        <v>#DIV/0!</v>
      </c>
      <c r="K466" s="1965" t="e">
        <f t="shared" si="747"/>
        <v>#DIV/0!</v>
      </c>
      <c r="L466" s="1965" t="e">
        <f t="shared" si="747"/>
        <v>#DIV/0!</v>
      </c>
      <c r="M466" s="1965" t="e">
        <f t="shared" si="747"/>
        <v>#DIV/0!</v>
      </c>
      <c r="N466" s="1969" t="e">
        <f t="shared" si="747"/>
        <v>#DIV/0!</v>
      </c>
      <c r="O466" s="21"/>
    </row>
    <row r="467" spans="1:15">
      <c r="A467" s="1968" t="s">
        <v>1148</v>
      </c>
      <c r="B467" s="1966">
        <v>0.02</v>
      </c>
      <c r="C467" s="24" t="e">
        <f>IF(AND((C461*1.25)&lt;(C455*C463),(C466&lt;$B$16)),"PASS","FAIL")</f>
        <v>#DIV/0!</v>
      </c>
      <c r="D467" s="24" t="e">
        <f>IF(AND((D461*1.25)&lt;(D455*D463),(D466&lt;$B$16)),"PASS","FAIL")</f>
        <v>#DIV/0!</v>
      </c>
      <c r="E467" s="24" t="e">
        <f>IF(AND((E461*1.25)&lt;(E455*E463),(E466&lt;$B$16)),"PASS","FAIL")</f>
        <v>#DIV/0!</v>
      </c>
      <c r="F467" s="24" t="e">
        <f>IF(AND((F461*1.25)&lt;(F455*F463),(F466&lt;$B$16)),"PASS","FAIL")</f>
        <v>#DIV/0!</v>
      </c>
      <c r="G467" s="24" t="e">
        <f>IF(AND((G461*1.25)&lt;(G455*G463),(G466&lt;$B$16)),"PASS","FAIL")</f>
        <v>#DIV/0!</v>
      </c>
      <c r="H467" s="24" t="e">
        <f>IF(AND((H461*1.1)&lt;(H455*H463),(H466&lt;$B$16)),"PASS","FAIL")</f>
        <v>#DIV/0!</v>
      </c>
      <c r="I467" s="24" t="e">
        <f t="shared" ref="I467:N467" si="748">IF(AND((I461*1.25)&lt;(I455*I463),(I466&lt;$B$16)),"PASS","FAIL")</f>
        <v>#DIV/0!</v>
      </c>
      <c r="J467" s="24" t="e">
        <f t="shared" si="748"/>
        <v>#DIV/0!</v>
      </c>
      <c r="K467" s="24" t="e">
        <f t="shared" si="748"/>
        <v>#DIV/0!</v>
      </c>
      <c r="L467" s="24" t="e">
        <f t="shared" si="748"/>
        <v>#DIV/0!</v>
      </c>
      <c r="M467" s="24" t="e">
        <f t="shared" si="748"/>
        <v>#DIV/0!</v>
      </c>
      <c r="N467" s="33" t="e">
        <f t="shared" si="748"/>
        <v>#DIV/0!</v>
      </c>
      <c r="O467" s="21"/>
    </row>
    <row r="468" spans="1:15" ht="18.600000000000001" thickBot="1">
      <c r="A468" s="1970" t="s">
        <v>1149</v>
      </c>
      <c r="B468" s="1971"/>
      <c r="C468" s="1972" t="e">
        <f t="shared" ref="C468:N468" si="749">IF(AND((C461*1.25)&lt;(C456*C463),(C466&lt;$B$16)),"PASS","FAIL")</f>
        <v>#DIV/0!</v>
      </c>
      <c r="D468" s="1972" t="e">
        <f t="shared" si="749"/>
        <v>#DIV/0!</v>
      </c>
      <c r="E468" s="1972" t="e">
        <f t="shared" si="749"/>
        <v>#DIV/0!</v>
      </c>
      <c r="F468" s="1972" t="e">
        <f t="shared" si="749"/>
        <v>#DIV/0!</v>
      </c>
      <c r="G468" s="1972" t="e">
        <f t="shared" si="749"/>
        <v>#DIV/0!</v>
      </c>
      <c r="H468" s="1972" t="e">
        <f t="shared" si="749"/>
        <v>#DIV/0!</v>
      </c>
      <c r="I468" s="1972" t="e">
        <f t="shared" si="749"/>
        <v>#DIV/0!</v>
      </c>
      <c r="J468" s="1972" t="e">
        <f t="shared" si="749"/>
        <v>#DIV/0!</v>
      </c>
      <c r="K468" s="1972" t="e">
        <f t="shared" si="749"/>
        <v>#DIV/0!</v>
      </c>
      <c r="L468" s="1972" t="e">
        <f t="shared" si="749"/>
        <v>#DIV/0!</v>
      </c>
      <c r="M468" s="1972" t="e">
        <f t="shared" si="749"/>
        <v>#DIV/0!</v>
      </c>
      <c r="N468" s="1973" t="e">
        <f t="shared" si="749"/>
        <v>#DIV/0!</v>
      </c>
      <c r="O468" s="21"/>
    </row>
    <row r="469" spans="1:15">
      <c r="A469" s="1963">
        <f>('Input''s from Initial Design'!W98*1000/(1.732*440*1))</f>
        <v>0</v>
      </c>
      <c r="B469" s="1964" t="s">
        <v>1150</v>
      </c>
      <c r="C469" s="26"/>
      <c r="D469" s="3213"/>
      <c r="E469" s="3213"/>
      <c r="F469" s="3213"/>
      <c r="G469" s="21"/>
      <c r="H469" s="21"/>
      <c r="I469" s="21"/>
      <c r="J469" s="21"/>
    </row>
    <row r="470" spans="1:15">
      <c r="A470" s="21"/>
      <c r="B470" s="21"/>
      <c r="C470" s="26"/>
      <c r="D470" s="21"/>
      <c r="E470" s="21">
        <v>20</v>
      </c>
      <c r="F470" s="21"/>
      <c r="G470" s="27"/>
      <c r="H470" s="21"/>
      <c r="I470" s="21"/>
      <c r="J470" s="21"/>
    </row>
    <row r="471" spans="1:15">
      <c r="A471" s="28" t="s">
        <v>1148</v>
      </c>
      <c r="B471" s="29" t="e">
        <f>IF(C467="FAIL",IF(D467="FAIL",IF(E467="FAIL",IF(F467="FAIL",IF(G467="FAIL",IF(H467="FAIL",IF(I467="FAIL",IF(J467="FAIL",IF(K467="FAIL",IF(L467="FAIL",IF(M467="FAIL","NO MATCH",$M$1),$L$1),$K$1),$J$1),$I$1),$H$1),$G$1),$F$1),$E$1),$D$1),$C$1)</f>
        <v>#DIV/0!</v>
      </c>
      <c r="C471" s="30" t="s">
        <v>1151</v>
      </c>
      <c r="D471" s="21"/>
      <c r="E471" s="21"/>
      <c r="F471" s="21"/>
      <c r="G471" s="21"/>
      <c r="H471" s="26"/>
      <c r="I471" s="21"/>
      <c r="J471" s="21"/>
      <c r="K471" s="21"/>
      <c r="L471" s="21"/>
      <c r="N471" s="21"/>
      <c r="O471" s="21"/>
    </row>
    <row r="472" spans="1:15">
      <c r="A472" s="28" t="s">
        <v>1149</v>
      </c>
      <c r="B472" s="29" t="e">
        <f>IF(C468="FAIL",IF(D468="FAIL",IF(E468="FAIL",IF(F468="FAIL",IF(G468="FAIL",IF(H468="FAIL",IF(I468="FAIL",IF(J468="FAIL",IF(K468="FAIL",IF(L468="FAIL",IF(M468="FAIL","NO MATCH",$M$1),$L$1),$K$1),$J$1),$I$1),$H$1),$G$1),$F$1),$E$1),$D$1),$C$1)</f>
        <v>#DIV/0!</v>
      </c>
      <c r="C472" s="30" t="s">
        <v>1151</v>
      </c>
      <c r="D472" s="21"/>
      <c r="E472" s="21"/>
      <c r="F472" s="21"/>
      <c r="G472" s="21"/>
      <c r="H472" s="26"/>
      <c r="I472" s="21"/>
      <c r="J472" s="21"/>
      <c r="K472" s="21"/>
      <c r="L472" s="21"/>
      <c r="N472" s="21"/>
      <c r="O472" s="21"/>
    </row>
    <row r="473" spans="1:15" ht="18.600000000000001" thickBot="1"/>
    <row r="474" spans="1:15" s="23" customFormat="1">
      <c r="A474" s="3214" t="s">
        <v>1122</v>
      </c>
      <c r="B474" s="3216"/>
      <c r="C474" s="35">
        <v>16</v>
      </c>
      <c r="D474" s="36">
        <v>25</v>
      </c>
      <c r="E474" s="36">
        <v>35</v>
      </c>
      <c r="F474" s="36">
        <v>50</v>
      </c>
      <c r="G474" s="36">
        <v>70</v>
      </c>
      <c r="H474" s="36">
        <v>95</v>
      </c>
      <c r="I474" s="36">
        <v>120</v>
      </c>
      <c r="J474" s="36">
        <v>150</v>
      </c>
      <c r="K474" s="36">
        <v>185</v>
      </c>
      <c r="L474" s="36">
        <v>240</v>
      </c>
      <c r="M474" s="36">
        <v>300</v>
      </c>
      <c r="N474" s="37">
        <v>400</v>
      </c>
      <c r="O474" s="22"/>
    </row>
    <row r="475" spans="1:15" s="23" customFormat="1" ht="18.600000000000001" thickBot="1">
      <c r="A475" s="3215"/>
      <c r="B475" s="3217"/>
      <c r="C475" s="1978" t="s">
        <v>1123</v>
      </c>
      <c r="D475" s="1979" t="s">
        <v>1124</v>
      </c>
      <c r="E475" s="1979" t="s">
        <v>1125</v>
      </c>
      <c r="F475" s="1979" t="s">
        <v>1126</v>
      </c>
      <c r="G475" s="1979" t="s">
        <v>1127</v>
      </c>
      <c r="H475" s="1979" t="s">
        <v>1128</v>
      </c>
      <c r="I475" s="1979" t="s">
        <v>1129</v>
      </c>
      <c r="J475" s="1979" t="s">
        <v>1130</v>
      </c>
      <c r="K475" s="1979" t="s">
        <v>1131</v>
      </c>
      <c r="L475" s="1979" t="s">
        <v>1132</v>
      </c>
      <c r="M475" s="1979" t="s">
        <v>1133</v>
      </c>
      <c r="N475" s="1980" t="s">
        <v>1134</v>
      </c>
      <c r="O475" s="22"/>
    </row>
    <row r="476" spans="1:15">
      <c r="A476" s="1981" t="s">
        <v>1135</v>
      </c>
      <c r="B476" s="1982"/>
      <c r="C476" s="31">
        <v>74</v>
      </c>
      <c r="D476" s="31">
        <v>94</v>
      </c>
      <c r="E476" s="31">
        <v>113</v>
      </c>
      <c r="F476" s="31">
        <v>133</v>
      </c>
      <c r="G476" s="31">
        <v>164</v>
      </c>
      <c r="H476" s="31">
        <v>196</v>
      </c>
      <c r="I476" s="31">
        <v>223</v>
      </c>
      <c r="J476" s="31">
        <v>249</v>
      </c>
      <c r="K476" s="31">
        <v>282</v>
      </c>
      <c r="L476" s="31">
        <v>326</v>
      </c>
      <c r="M476" s="31">
        <v>367</v>
      </c>
      <c r="N476" s="32">
        <v>418</v>
      </c>
      <c r="O476" s="21"/>
    </row>
    <row r="477" spans="1:15">
      <c r="A477" s="1967" t="s">
        <v>1136</v>
      </c>
      <c r="B477" s="43"/>
      <c r="C477" s="24">
        <v>74</v>
      </c>
      <c r="D477" s="24">
        <v>96</v>
      </c>
      <c r="E477" s="24">
        <v>117</v>
      </c>
      <c r="F477" s="24">
        <v>142</v>
      </c>
      <c r="G477" s="24">
        <v>179</v>
      </c>
      <c r="H477" s="24">
        <v>221</v>
      </c>
      <c r="I477" s="24">
        <v>257</v>
      </c>
      <c r="J477" s="24">
        <v>292</v>
      </c>
      <c r="K477" s="24">
        <v>337</v>
      </c>
      <c r="L477" s="24">
        <v>399</v>
      </c>
      <c r="M477" s="24">
        <v>455</v>
      </c>
      <c r="N477" s="33">
        <v>530</v>
      </c>
      <c r="O477" s="21"/>
    </row>
    <row r="478" spans="1:15" ht="22.5" customHeight="1">
      <c r="A478" s="1967" t="s">
        <v>1137</v>
      </c>
      <c r="B478" s="42">
        <v>0.7</v>
      </c>
      <c r="C478" s="24">
        <f>B478</f>
        <v>0.7</v>
      </c>
      <c r="D478" s="24">
        <f>C478</f>
        <v>0.7</v>
      </c>
      <c r="E478" s="24">
        <f t="shared" ref="E478" si="750">D478</f>
        <v>0.7</v>
      </c>
      <c r="F478" s="24">
        <f t="shared" ref="F478" si="751">E478</f>
        <v>0.7</v>
      </c>
      <c r="G478" s="24">
        <f t="shared" ref="G478" si="752">F478</f>
        <v>0.7</v>
      </c>
      <c r="H478" s="24">
        <f t="shared" ref="H478" si="753">G478</f>
        <v>0.7</v>
      </c>
      <c r="I478" s="24">
        <f t="shared" ref="I478" si="754">H478</f>
        <v>0.7</v>
      </c>
      <c r="J478" s="24">
        <f t="shared" ref="J478" si="755">I478</f>
        <v>0.7</v>
      </c>
      <c r="K478" s="24">
        <f t="shared" ref="K478" si="756">J478</f>
        <v>0.7</v>
      </c>
      <c r="L478" s="24">
        <f t="shared" ref="L478" si="757">K478</f>
        <v>0.7</v>
      </c>
      <c r="M478" s="24">
        <f>L478</f>
        <v>0.7</v>
      </c>
      <c r="N478" s="33">
        <f>M478</f>
        <v>0.7</v>
      </c>
      <c r="O478" s="21"/>
    </row>
    <row r="479" spans="1:15">
      <c r="A479" s="1967" t="s">
        <v>1138</v>
      </c>
      <c r="B479" s="43"/>
      <c r="C479" s="24">
        <f>C476*C478</f>
        <v>51.8</v>
      </c>
      <c r="D479" s="24">
        <f t="shared" ref="D479:G479" si="758">D476*D478</f>
        <v>65.8</v>
      </c>
      <c r="E479" s="24">
        <f t="shared" si="758"/>
        <v>79.099999999999994</v>
      </c>
      <c r="F479" s="24">
        <f t="shared" si="758"/>
        <v>93.1</v>
      </c>
      <c r="G479" s="24">
        <f t="shared" si="758"/>
        <v>114.8</v>
      </c>
      <c r="H479" s="24">
        <f>H476*H478</f>
        <v>137.19999999999999</v>
      </c>
      <c r="I479" s="24">
        <f t="shared" ref="I479:N479" si="759">I476*I478</f>
        <v>156.1</v>
      </c>
      <c r="J479" s="24">
        <f t="shared" si="759"/>
        <v>174.29999999999998</v>
      </c>
      <c r="K479" s="24">
        <f t="shared" si="759"/>
        <v>197.39999999999998</v>
      </c>
      <c r="L479" s="24">
        <f t="shared" si="759"/>
        <v>228.2</v>
      </c>
      <c r="M479" s="24">
        <f t="shared" si="759"/>
        <v>256.89999999999998</v>
      </c>
      <c r="N479" s="33">
        <f t="shared" si="759"/>
        <v>292.59999999999997</v>
      </c>
      <c r="O479" s="21"/>
    </row>
    <row r="480" spans="1:15">
      <c r="A480" s="1967" t="s">
        <v>1139</v>
      </c>
      <c r="B480" s="43"/>
      <c r="C480" s="24">
        <f>C477*C478</f>
        <v>51.8</v>
      </c>
      <c r="D480" s="24">
        <f>D477*D478</f>
        <v>67.199999999999989</v>
      </c>
      <c r="E480" s="24">
        <f t="shared" ref="E480:G480" si="760">E477*E478</f>
        <v>81.899999999999991</v>
      </c>
      <c r="F480" s="24">
        <f t="shared" si="760"/>
        <v>99.399999999999991</v>
      </c>
      <c r="G480" s="24">
        <f t="shared" si="760"/>
        <v>125.3</v>
      </c>
      <c r="H480" s="24">
        <f>H477*H478</f>
        <v>154.69999999999999</v>
      </c>
      <c r="I480" s="24">
        <f t="shared" ref="I480:N480" si="761">I477*I478</f>
        <v>179.89999999999998</v>
      </c>
      <c r="J480" s="24">
        <f t="shared" si="761"/>
        <v>204.39999999999998</v>
      </c>
      <c r="K480" s="24">
        <f t="shared" si="761"/>
        <v>235.89999999999998</v>
      </c>
      <c r="L480" s="24">
        <f t="shared" si="761"/>
        <v>279.29999999999995</v>
      </c>
      <c r="M480" s="24">
        <f t="shared" si="761"/>
        <v>318.5</v>
      </c>
      <c r="N480" s="33">
        <f t="shared" si="761"/>
        <v>371</v>
      </c>
      <c r="O480" s="21"/>
    </row>
    <row r="481" spans="1:15">
      <c r="A481" s="1967"/>
      <c r="B481" s="43"/>
      <c r="C481" s="24"/>
      <c r="D481" s="24"/>
      <c r="E481" s="24"/>
      <c r="F481" s="24"/>
      <c r="G481" s="24"/>
      <c r="H481" s="24"/>
      <c r="I481" s="24"/>
      <c r="J481" s="24"/>
      <c r="K481" s="24"/>
      <c r="L481" s="24"/>
      <c r="M481" s="24"/>
      <c r="N481" s="33"/>
      <c r="O481" s="21"/>
    </row>
    <row r="482" spans="1:15">
      <c r="A482" s="1967" t="s">
        <v>1140</v>
      </c>
      <c r="B482" s="43"/>
      <c r="C482" s="24">
        <v>2.44</v>
      </c>
      <c r="D482" s="24">
        <v>1.54</v>
      </c>
      <c r="E482" s="24">
        <v>1.1100000000000001</v>
      </c>
      <c r="F482" s="24">
        <v>0.82</v>
      </c>
      <c r="G482" s="24">
        <v>0.56699999999999995</v>
      </c>
      <c r="H482" s="24">
        <v>0.41</v>
      </c>
      <c r="I482" s="24">
        <v>0.32400000000000001</v>
      </c>
      <c r="J482" s="24">
        <v>0.26400000000000001</v>
      </c>
      <c r="K482" s="24">
        <v>0.21</v>
      </c>
      <c r="L482" s="24">
        <v>0.16</v>
      </c>
      <c r="M482" s="24">
        <v>0.128</v>
      </c>
      <c r="N482" s="33">
        <v>0.1</v>
      </c>
      <c r="O482" s="21"/>
    </row>
    <row r="483" spans="1:15">
      <c r="A483" s="1967" t="s">
        <v>1141</v>
      </c>
      <c r="B483" s="43"/>
      <c r="C483" s="24">
        <v>8.0799999999999997E-2</v>
      </c>
      <c r="D483" s="24">
        <v>8.0500000000000002E-2</v>
      </c>
      <c r="E483" s="24">
        <v>7.8299999999999995E-2</v>
      </c>
      <c r="F483" s="24">
        <v>7.4999999999999997E-2</v>
      </c>
      <c r="G483" s="24">
        <v>7.3999999999999996E-2</v>
      </c>
      <c r="H483" s="24">
        <v>7.2400000000000006E-2</v>
      </c>
      <c r="I483" s="24">
        <v>7.1199999999999999E-2</v>
      </c>
      <c r="J483" s="24">
        <v>7.1599999999999997E-2</v>
      </c>
      <c r="K483" s="24">
        <v>7.1800000000000003E-2</v>
      </c>
      <c r="L483" s="24">
        <v>7.0999999999999994E-2</v>
      </c>
      <c r="M483" s="24">
        <v>7.0499999999999993E-2</v>
      </c>
      <c r="N483" s="33">
        <v>7.0400000000000004E-2</v>
      </c>
      <c r="O483" s="21"/>
    </row>
    <row r="484" spans="1:15">
      <c r="A484" s="1967"/>
      <c r="B484" s="43"/>
      <c r="C484" s="24"/>
      <c r="D484" s="24"/>
      <c r="E484" s="24"/>
      <c r="F484" s="24"/>
      <c r="G484" s="24"/>
      <c r="H484" s="24"/>
      <c r="I484" s="24"/>
      <c r="J484" s="24"/>
      <c r="K484" s="24"/>
      <c r="L484" s="24"/>
      <c r="M484" s="24"/>
      <c r="N484" s="33"/>
      <c r="O484" s="21"/>
    </row>
    <row r="485" spans="1:15" ht="24.75" customHeight="1">
      <c r="A485" s="1968" t="s">
        <v>1142</v>
      </c>
      <c r="B485" s="41">
        <f>A493</f>
        <v>0</v>
      </c>
      <c r="C485" s="24">
        <f t="shared" ref="C485:C487" si="762">B485</f>
        <v>0</v>
      </c>
      <c r="D485" s="24">
        <f t="shared" ref="D485:D487" si="763">C485</f>
        <v>0</v>
      </c>
      <c r="E485" s="24">
        <f t="shared" ref="E485:E487" si="764">D485</f>
        <v>0</v>
      </c>
      <c r="F485" s="24">
        <f t="shared" ref="F485:F487" si="765">E485</f>
        <v>0</v>
      </c>
      <c r="G485" s="24">
        <f t="shared" ref="G485:G487" si="766">F485</f>
        <v>0</v>
      </c>
      <c r="H485" s="24">
        <f t="shared" ref="H485:H487" si="767">G485</f>
        <v>0</v>
      </c>
      <c r="I485" s="24">
        <f t="shared" ref="I485:I487" si="768">H485</f>
        <v>0</v>
      </c>
      <c r="J485" s="24">
        <f t="shared" ref="J485:J487" si="769">I485</f>
        <v>0</v>
      </c>
      <c r="K485" s="24">
        <f t="shared" ref="K485:K487" si="770">J485</f>
        <v>0</v>
      </c>
      <c r="L485" s="24">
        <f t="shared" ref="L485:L487" si="771">K485</f>
        <v>0</v>
      </c>
      <c r="M485" s="24">
        <f t="shared" ref="M485:M487" si="772">L485</f>
        <v>0</v>
      </c>
      <c r="N485" s="33">
        <f t="shared" ref="N485:N487" si="773">M485</f>
        <v>0</v>
      </c>
      <c r="O485" s="21"/>
    </row>
    <row r="486" spans="1:15">
      <c r="A486" s="1968" t="s">
        <v>1143</v>
      </c>
      <c r="B486" s="42">
        <f>'Input''s from Initial Design'!X100</f>
        <v>0</v>
      </c>
      <c r="C486" s="24">
        <f t="shared" si="762"/>
        <v>0</v>
      </c>
      <c r="D486" s="24">
        <f t="shared" si="763"/>
        <v>0</v>
      </c>
      <c r="E486" s="24">
        <f t="shared" si="764"/>
        <v>0</v>
      </c>
      <c r="F486" s="24">
        <f t="shared" si="765"/>
        <v>0</v>
      </c>
      <c r="G486" s="24">
        <f t="shared" si="766"/>
        <v>0</v>
      </c>
      <c r="H486" s="24">
        <f t="shared" si="767"/>
        <v>0</v>
      </c>
      <c r="I486" s="24">
        <f t="shared" si="768"/>
        <v>0</v>
      </c>
      <c r="J486" s="24">
        <f t="shared" si="769"/>
        <v>0</v>
      </c>
      <c r="K486" s="24">
        <f t="shared" si="770"/>
        <v>0</v>
      </c>
      <c r="L486" s="24">
        <f t="shared" si="771"/>
        <v>0</v>
      </c>
      <c r="M486" s="24">
        <f t="shared" si="772"/>
        <v>0</v>
      </c>
      <c r="N486" s="33">
        <f t="shared" si="773"/>
        <v>0</v>
      </c>
      <c r="O486" s="21"/>
    </row>
    <row r="487" spans="1:15">
      <c r="A487" s="1968" t="s">
        <v>1144</v>
      </c>
      <c r="B487" s="42">
        <f>'Input''s from Initial Design'!Y100</f>
        <v>0</v>
      </c>
      <c r="C487" s="24">
        <f t="shared" si="762"/>
        <v>0</v>
      </c>
      <c r="D487" s="24">
        <f t="shared" si="763"/>
        <v>0</v>
      </c>
      <c r="E487" s="24">
        <f t="shared" si="764"/>
        <v>0</v>
      </c>
      <c r="F487" s="24">
        <f t="shared" si="765"/>
        <v>0</v>
      </c>
      <c r="G487" s="24">
        <f t="shared" si="766"/>
        <v>0</v>
      </c>
      <c r="H487" s="24">
        <f t="shared" si="767"/>
        <v>0</v>
      </c>
      <c r="I487" s="24">
        <f t="shared" si="768"/>
        <v>0</v>
      </c>
      <c r="J487" s="24">
        <f t="shared" si="769"/>
        <v>0</v>
      </c>
      <c r="K487" s="24">
        <f t="shared" si="770"/>
        <v>0</v>
      </c>
      <c r="L487" s="24">
        <f t="shared" si="771"/>
        <v>0</v>
      </c>
      <c r="M487" s="24">
        <f t="shared" si="772"/>
        <v>0</v>
      </c>
      <c r="N487" s="33">
        <f t="shared" si="773"/>
        <v>0</v>
      </c>
      <c r="O487" s="21"/>
    </row>
    <row r="488" spans="1:15">
      <c r="A488" s="1968" t="s">
        <v>1145</v>
      </c>
      <c r="B488" s="42">
        <v>415</v>
      </c>
      <c r="C488" s="24">
        <f>+B488</f>
        <v>415</v>
      </c>
      <c r="D488" s="24">
        <f t="shared" ref="D488" si="774">+C488</f>
        <v>415</v>
      </c>
      <c r="E488" s="24">
        <f t="shared" ref="E488" si="775">+D488</f>
        <v>415</v>
      </c>
      <c r="F488" s="24">
        <f t="shared" ref="F488" si="776">+E488</f>
        <v>415</v>
      </c>
      <c r="G488" s="24">
        <f t="shared" ref="G488" si="777">+F488</f>
        <v>415</v>
      </c>
      <c r="H488" s="24">
        <f t="shared" ref="H488" si="778">+G488</f>
        <v>415</v>
      </c>
      <c r="I488" s="24">
        <f t="shared" ref="I488" si="779">+H488</f>
        <v>415</v>
      </c>
      <c r="J488" s="24">
        <f t="shared" ref="J488" si="780">+I488</f>
        <v>415</v>
      </c>
      <c r="K488" s="24">
        <f t="shared" ref="K488" si="781">+J488</f>
        <v>415</v>
      </c>
      <c r="L488" s="24">
        <f t="shared" ref="L488" si="782">+K488</f>
        <v>415</v>
      </c>
      <c r="M488" s="24">
        <f t="shared" ref="M488" si="783">+L488</f>
        <v>415</v>
      </c>
      <c r="N488" s="33">
        <f t="shared" ref="N488" si="784">+M488</f>
        <v>415</v>
      </c>
      <c r="O488" s="21"/>
    </row>
    <row r="489" spans="1:15">
      <c r="A489" s="1967" t="s">
        <v>1146</v>
      </c>
      <c r="B489" s="43"/>
      <c r="C489" s="25" t="e">
        <f t="shared" ref="C489:N489" si="785">1.732*C485*(C482/1000*1+C483/1000*0)*C486/C487</f>
        <v>#DIV/0!</v>
      </c>
      <c r="D489" s="25" t="e">
        <f t="shared" si="785"/>
        <v>#DIV/0!</v>
      </c>
      <c r="E489" s="25" t="e">
        <f t="shared" si="785"/>
        <v>#DIV/0!</v>
      </c>
      <c r="F489" s="25" t="e">
        <f t="shared" si="785"/>
        <v>#DIV/0!</v>
      </c>
      <c r="G489" s="25" t="e">
        <f t="shared" si="785"/>
        <v>#DIV/0!</v>
      </c>
      <c r="H489" s="25" t="e">
        <f t="shared" si="785"/>
        <v>#DIV/0!</v>
      </c>
      <c r="I489" s="25" t="e">
        <f t="shared" si="785"/>
        <v>#DIV/0!</v>
      </c>
      <c r="J489" s="25" t="e">
        <f t="shared" si="785"/>
        <v>#DIV/0!</v>
      </c>
      <c r="K489" s="25" t="e">
        <f t="shared" si="785"/>
        <v>#DIV/0!</v>
      </c>
      <c r="L489" s="25" t="e">
        <f t="shared" si="785"/>
        <v>#DIV/0!</v>
      </c>
      <c r="M489" s="25" t="e">
        <f t="shared" si="785"/>
        <v>#DIV/0!</v>
      </c>
      <c r="N489" s="34" t="e">
        <f t="shared" si="785"/>
        <v>#DIV/0!</v>
      </c>
      <c r="O489" s="21"/>
    </row>
    <row r="490" spans="1:15">
      <c r="A490" s="1967" t="s">
        <v>1147</v>
      </c>
      <c r="B490" s="43"/>
      <c r="C490" s="1965" t="e">
        <f>C489/C488</f>
        <v>#DIV/0!</v>
      </c>
      <c r="D490" s="1965" t="e">
        <f t="shared" ref="D490:N490" si="786">D489/D488</f>
        <v>#DIV/0!</v>
      </c>
      <c r="E490" s="1965" t="e">
        <f t="shared" si="786"/>
        <v>#DIV/0!</v>
      </c>
      <c r="F490" s="1965" t="e">
        <f t="shared" si="786"/>
        <v>#DIV/0!</v>
      </c>
      <c r="G490" s="1965" t="e">
        <f t="shared" si="786"/>
        <v>#DIV/0!</v>
      </c>
      <c r="H490" s="1965" t="e">
        <f t="shared" si="786"/>
        <v>#DIV/0!</v>
      </c>
      <c r="I490" s="1965" t="e">
        <f t="shared" si="786"/>
        <v>#DIV/0!</v>
      </c>
      <c r="J490" s="1965" t="e">
        <f t="shared" si="786"/>
        <v>#DIV/0!</v>
      </c>
      <c r="K490" s="1965" t="e">
        <f t="shared" si="786"/>
        <v>#DIV/0!</v>
      </c>
      <c r="L490" s="1965" t="e">
        <f t="shared" si="786"/>
        <v>#DIV/0!</v>
      </c>
      <c r="M490" s="1965" t="e">
        <f t="shared" si="786"/>
        <v>#DIV/0!</v>
      </c>
      <c r="N490" s="1969" t="e">
        <f t="shared" si="786"/>
        <v>#DIV/0!</v>
      </c>
      <c r="O490" s="21"/>
    </row>
    <row r="491" spans="1:15">
      <c r="A491" s="1968" t="s">
        <v>1148</v>
      </c>
      <c r="B491" s="1966">
        <v>0.02</v>
      </c>
      <c r="C491" s="24" t="e">
        <f>IF(AND((C485*1.25)&lt;(C479*C487),(C490&lt;$B$16)),"PASS","FAIL")</f>
        <v>#DIV/0!</v>
      </c>
      <c r="D491" s="24" t="e">
        <f>IF(AND((D485*1.25)&lt;(D479*D487),(D490&lt;$B$16)),"PASS","FAIL")</f>
        <v>#DIV/0!</v>
      </c>
      <c r="E491" s="24" t="e">
        <f>IF(AND((E485*1.25)&lt;(E479*E487),(E490&lt;$B$16)),"PASS","FAIL")</f>
        <v>#DIV/0!</v>
      </c>
      <c r="F491" s="24" t="e">
        <f>IF(AND((F485*1.25)&lt;(F479*F487),(F490&lt;$B$16)),"PASS","FAIL")</f>
        <v>#DIV/0!</v>
      </c>
      <c r="G491" s="24" t="e">
        <f>IF(AND((G485*1.25)&lt;(G479*G487),(G490&lt;$B$16)),"PASS","FAIL")</f>
        <v>#DIV/0!</v>
      </c>
      <c r="H491" s="24" t="e">
        <f>IF(AND((H485*1.1)&lt;(H479*H487),(H490&lt;$B$16)),"PASS","FAIL")</f>
        <v>#DIV/0!</v>
      </c>
      <c r="I491" s="24" t="e">
        <f t="shared" ref="I491:N491" si="787">IF(AND((I485*1.25)&lt;(I479*I487),(I490&lt;$B$16)),"PASS","FAIL")</f>
        <v>#DIV/0!</v>
      </c>
      <c r="J491" s="24" t="e">
        <f t="shared" si="787"/>
        <v>#DIV/0!</v>
      </c>
      <c r="K491" s="24" t="e">
        <f t="shared" si="787"/>
        <v>#DIV/0!</v>
      </c>
      <c r="L491" s="24" t="e">
        <f t="shared" si="787"/>
        <v>#DIV/0!</v>
      </c>
      <c r="M491" s="24" t="e">
        <f t="shared" si="787"/>
        <v>#DIV/0!</v>
      </c>
      <c r="N491" s="33" t="e">
        <f t="shared" si="787"/>
        <v>#DIV/0!</v>
      </c>
      <c r="O491" s="21"/>
    </row>
    <row r="492" spans="1:15" ht="18.600000000000001" thickBot="1">
      <c r="A492" s="1970" t="s">
        <v>1149</v>
      </c>
      <c r="B492" s="1971"/>
      <c r="C492" s="1972" t="e">
        <f t="shared" ref="C492:N492" si="788">IF(AND((C485*1.25)&lt;(C480*C487),(C490&lt;$B$16)),"PASS","FAIL")</f>
        <v>#DIV/0!</v>
      </c>
      <c r="D492" s="1972" t="e">
        <f t="shared" si="788"/>
        <v>#DIV/0!</v>
      </c>
      <c r="E492" s="1972" t="e">
        <f t="shared" si="788"/>
        <v>#DIV/0!</v>
      </c>
      <c r="F492" s="1972" t="e">
        <f t="shared" si="788"/>
        <v>#DIV/0!</v>
      </c>
      <c r="G492" s="1972" t="e">
        <f t="shared" si="788"/>
        <v>#DIV/0!</v>
      </c>
      <c r="H492" s="1972" t="e">
        <f t="shared" si="788"/>
        <v>#DIV/0!</v>
      </c>
      <c r="I492" s="1972" t="e">
        <f t="shared" si="788"/>
        <v>#DIV/0!</v>
      </c>
      <c r="J492" s="1972" t="e">
        <f t="shared" si="788"/>
        <v>#DIV/0!</v>
      </c>
      <c r="K492" s="1972" t="e">
        <f t="shared" si="788"/>
        <v>#DIV/0!</v>
      </c>
      <c r="L492" s="1972" t="e">
        <f t="shared" si="788"/>
        <v>#DIV/0!</v>
      </c>
      <c r="M492" s="1972" t="e">
        <f t="shared" si="788"/>
        <v>#DIV/0!</v>
      </c>
      <c r="N492" s="1973" t="e">
        <f t="shared" si="788"/>
        <v>#DIV/0!</v>
      </c>
      <c r="O492" s="21"/>
    </row>
    <row r="493" spans="1:15">
      <c r="A493" s="1963">
        <f>('Input''s from Initial Design'!W100*1000/(1.732*440*1))</f>
        <v>0</v>
      </c>
      <c r="B493" s="1964" t="s">
        <v>1150</v>
      </c>
      <c r="C493" s="26"/>
      <c r="D493" s="3213"/>
      <c r="E493" s="3213"/>
      <c r="F493" s="3213"/>
      <c r="G493" s="21"/>
      <c r="H493" s="21"/>
      <c r="I493" s="21"/>
      <c r="J493" s="21"/>
    </row>
    <row r="494" spans="1:15">
      <c r="A494" s="21"/>
      <c r="B494" s="21"/>
      <c r="C494" s="26"/>
      <c r="D494" s="21"/>
      <c r="E494" s="21">
        <v>21</v>
      </c>
      <c r="F494" s="21"/>
      <c r="G494" s="27"/>
      <c r="H494" s="21"/>
      <c r="I494" s="21"/>
      <c r="J494" s="21"/>
    </row>
    <row r="495" spans="1:15">
      <c r="A495" s="28" t="s">
        <v>1148</v>
      </c>
      <c r="B495" s="29" t="e">
        <f>IF(C491="FAIL",IF(D491="FAIL",IF(E491="FAIL",IF(F491="FAIL",IF(G491="FAIL",IF(H491="FAIL",IF(I491="FAIL",IF(J491="FAIL",IF(K491="FAIL",IF(L491="FAIL",IF(M491="FAIL","NO MATCH",$M$1),$L$1),$K$1),$J$1),$I$1),$H$1),$G$1),$F$1),$E$1),$D$1),$C$1)</f>
        <v>#DIV/0!</v>
      </c>
      <c r="C495" s="30" t="s">
        <v>1151</v>
      </c>
      <c r="D495" s="21"/>
      <c r="E495" s="21"/>
      <c r="F495" s="21"/>
      <c r="G495" s="21"/>
      <c r="H495" s="26"/>
      <c r="I495" s="21"/>
      <c r="J495" s="21"/>
      <c r="K495" s="21"/>
      <c r="L495" s="21"/>
      <c r="N495" s="21"/>
      <c r="O495" s="21"/>
    </row>
    <row r="496" spans="1:15">
      <c r="A496" s="28" t="s">
        <v>1149</v>
      </c>
      <c r="B496" s="29" t="e">
        <f>IF(C492="FAIL",IF(D492="FAIL",IF(E492="FAIL",IF(F492="FAIL",IF(G492="FAIL",IF(H492="FAIL",IF(I492="FAIL",IF(J492="FAIL",IF(K492="FAIL",IF(L492="FAIL",IF(M492="FAIL","NO MATCH",$M$1),$L$1),$K$1),$J$1),$I$1),$H$1),$G$1),$F$1),$E$1),$D$1),$C$1)</f>
        <v>#DIV/0!</v>
      </c>
      <c r="C496" s="30" t="s">
        <v>1151</v>
      </c>
      <c r="D496" s="21"/>
      <c r="E496" s="21"/>
      <c r="F496" s="21"/>
      <c r="G496" s="21"/>
      <c r="H496" s="26"/>
      <c r="I496" s="21"/>
      <c r="J496" s="21"/>
      <c r="K496" s="21"/>
      <c r="L496" s="21"/>
      <c r="N496" s="21"/>
      <c r="O496" s="21"/>
    </row>
    <row r="497" spans="1:15" ht="18.600000000000001" thickBot="1"/>
    <row r="498" spans="1:15" s="23" customFormat="1">
      <c r="A498" s="3214" t="s">
        <v>1122</v>
      </c>
      <c r="B498" s="3216"/>
      <c r="C498" s="35">
        <v>16</v>
      </c>
      <c r="D498" s="36">
        <v>25</v>
      </c>
      <c r="E498" s="36">
        <v>35</v>
      </c>
      <c r="F498" s="36">
        <v>50</v>
      </c>
      <c r="G498" s="36">
        <v>70</v>
      </c>
      <c r="H498" s="36">
        <v>95</v>
      </c>
      <c r="I498" s="36">
        <v>120</v>
      </c>
      <c r="J498" s="36">
        <v>150</v>
      </c>
      <c r="K498" s="36">
        <v>185</v>
      </c>
      <c r="L498" s="36">
        <v>240</v>
      </c>
      <c r="M498" s="36">
        <v>300</v>
      </c>
      <c r="N498" s="37">
        <v>400</v>
      </c>
      <c r="O498" s="22"/>
    </row>
    <row r="499" spans="1:15" s="23" customFormat="1" ht="18.600000000000001" thickBot="1">
      <c r="A499" s="3215"/>
      <c r="B499" s="3217"/>
      <c r="C499" s="1978" t="s">
        <v>1123</v>
      </c>
      <c r="D499" s="1979" t="s">
        <v>1124</v>
      </c>
      <c r="E499" s="1979" t="s">
        <v>1125</v>
      </c>
      <c r="F499" s="1979" t="s">
        <v>1126</v>
      </c>
      <c r="G499" s="1979" t="s">
        <v>1127</v>
      </c>
      <c r="H499" s="1979" t="s">
        <v>1128</v>
      </c>
      <c r="I499" s="1979" t="s">
        <v>1129</v>
      </c>
      <c r="J499" s="1979" t="s">
        <v>1130</v>
      </c>
      <c r="K499" s="1979" t="s">
        <v>1131</v>
      </c>
      <c r="L499" s="1979" t="s">
        <v>1132</v>
      </c>
      <c r="M499" s="1979" t="s">
        <v>1133</v>
      </c>
      <c r="N499" s="1980" t="s">
        <v>1134</v>
      </c>
      <c r="O499" s="22"/>
    </row>
    <row r="500" spans="1:15">
      <c r="A500" s="1981" t="s">
        <v>1135</v>
      </c>
      <c r="B500" s="1982"/>
      <c r="C500" s="31">
        <v>74</v>
      </c>
      <c r="D500" s="31">
        <v>94</v>
      </c>
      <c r="E500" s="31">
        <v>113</v>
      </c>
      <c r="F500" s="31">
        <v>133</v>
      </c>
      <c r="G500" s="31">
        <v>164</v>
      </c>
      <c r="H500" s="31">
        <v>196</v>
      </c>
      <c r="I500" s="31">
        <v>223</v>
      </c>
      <c r="J500" s="31">
        <v>249</v>
      </c>
      <c r="K500" s="31">
        <v>282</v>
      </c>
      <c r="L500" s="31">
        <v>326</v>
      </c>
      <c r="M500" s="31">
        <v>367</v>
      </c>
      <c r="N500" s="32">
        <v>418</v>
      </c>
      <c r="O500" s="21"/>
    </row>
    <row r="501" spans="1:15">
      <c r="A501" s="1967" t="s">
        <v>1136</v>
      </c>
      <c r="B501" s="43"/>
      <c r="C501" s="24">
        <v>74</v>
      </c>
      <c r="D501" s="24">
        <v>96</v>
      </c>
      <c r="E501" s="24">
        <v>117</v>
      </c>
      <c r="F501" s="24">
        <v>142</v>
      </c>
      <c r="G501" s="24">
        <v>179</v>
      </c>
      <c r="H501" s="24">
        <v>221</v>
      </c>
      <c r="I501" s="24">
        <v>257</v>
      </c>
      <c r="J501" s="24">
        <v>292</v>
      </c>
      <c r="K501" s="24">
        <v>337</v>
      </c>
      <c r="L501" s="24">
        <v>399</v>
      </c>
      <c r="M501" s="24">
        <v>455</v>
      </c>
      <c r="N501" s="33">
        <v>530</v>
      </c>
      <c r="O501" s="21"/>
    </row>
    <row r="502" spans="1:15" ht="22.5" customHeight="1">
      <c r="A502" s="1967" t="s">
        <v>1137</v>
      </c>
      <c r="B502" s="42">
        <v>0.7</v>
      </c>
      <c r="C502" s="24">
        <f>B502</f>
        <v>0.7</v>
      </c>
      <c r="D502" s="24">
        <f>C502</f>
        <v>0.7</v>
      </c>
      <c r="E502" s="24">
        <f t="shared" ref="E502" si="789">D502</f>
        <v>0.7</v>
      </c>
      <c r="F502" s="24">
        <f t="shared" ref="F502" si="790">E502</f>
        <v>0.7</v>
      </c>
      <c r="G502" s="24">
        <f t="shared" ref="G502" si="791">F502</f>
        <v>0.7</v>
      </c>
      <c r="H502" s="24">
        <f t="shared" ref="H502" si="792">G502</f>
        <v>0.7</v>
      </c>
      <c r="I502" s="24">
        <f t="shared" ref="I502" si="793">H502</f>
        <v>0.7</v>
      </c>
      <c r="J502" s="24">
        <f t="shared" ref="J502" si="794">I502</f>
        <v>0.7</v>
      </c>
      <c r="K502" s="24">
        <f t="shared" ref="K502" si="795">J502</f>
        <v>0.7</v>
      </c>
      <c r="L502" s="24">
        <f t="shared" ref="L502" si="796">K502</f>
        <v>0.7</v>
      </c>
      <c r="M502" s="24">
        <f>L502</f>
        <v>0.7</v>
      </c>
      <c r="N502" s="33">
        <f>M502</f>
        <v>0.7</v>
      </c>
      <c r="O502" s="21"/>
    </row>
    <row r="503" spans="1:15">
      <c r="A503" s="1967" t="s">
        <v>1138</v>
      </c>
      <c r="B503" s="43"/>
      <c r="C503" s="24">
        <f>C500*C502</f>
        <v>51.8</v>
      </c>
      <c r="D503" s="24">
        <f t="shared" ref="D503:G503" si="797">D500*D502</f>
        <v>65.8</v>
      </c>
      <c r="E503" s="24">
        <f t="shared" si="797"/>
        <v>79.099999999999994</v>
      </c>
      <c r="F503" s="24">
        <f t="shared" si="797"/>
        <v>93.1</v>
      </c>
      <c r="G503" s="24">
        <f t="shared" si="797"/>
        <v>114.8</v>
      </c>
      <c r="H503" s="24">
        <f>H500*H502</f>
        <v>137.19999999999999</v>
      </c>
      <c r="I503" s="24">
        <f t="shared" ref="I503:N503" si="798">I500*I502</f>
        <v>156.1</v>
      </c>
      <c r="J503" s="24">
        <f t="shared" si="798"/>
        <v>174.29999999999998</v>
      </c>
      <c r="K503" s="24">
        <f t="shared" si="798"/>
        <v>197.39999999999998</v>
      </c>
      <c r="L503" s="24">
        <f t="shared" si="798"/>
        <v>228.2</v>
      </c>
      <c r="M503" s="24">
        <f t="shared" si="798"/>
        <v>256.89999999999998</v>
      </c>
      <c r="N503" s="33">
        <f t="shared" si="798"/>
        <v>292.59999999999997</v>
      </c>
      <c r="O503" s="21"/>
    </row>
    <row r="504" spans="1:15">
      <c r="A504" s="1967" t="s">
        <v>1139</v>
      </c>
      <c r="B504" s="43"/>
      <c r="C504" s="24">
        <f>C501*C502</f>
        <v>51.8</v>
      </c>
      <c r="D504" s="24">
        <f>D501*D502</f>
        <v>67.199999999999989</v>
      </c>
      <c r="E504" s="24">
        <f t="shared" ref="E504:G504" si="799">E501*E502</f>
        <v>81.899999999999991</v>
      </c>
      <c r="F504" s="24">
        <f t="shared" si="799"/>
        <v>99.399999999999991</v>
      </c>
      <c r="G504" s="24">
        <f t="shared" si="799"/>
        <v>125.3</v>
      </c>
      <c r="H504" s="24">
        <f>H501*H502</f>
        <v>154.69999999999999</v>
      </c>
      <c r="I504" s="24">
        <f t="shared" ref="I504:N504" si="800">I501*I502</f>
        <v>179.89999999999998</v>
      </c>
      <c r="J504" s="24">
        <f t="shared" si="800"/>
        <v>204.39999999999998</v>
      </c>
      <c r="K504" s="24">
        <f t="shared" si="800"/>
        <v>235.89999999999998</v>
      </c>
      <c r="L504" s="24">
        <f t="shared" si="800"/>
        <v>279.29999999999995</v>
      </c>
      <c r="M504" s="24">
        <f t="shared" si="800"/>
        <v>318.5</v>
      </c>
      <c r="N504" s="33">
        <f t="shared" si="800"/>
        <v>371</v>
      </c>
      <c r="O504" s="21"/>
    </row>
    <row r="505" spans="1:15">
      <c r="A505" s="1967"/>
      <c r="B505" s="43"/>
      <c r="C505" s="24"/>
      <c r="D505" s="24"/>
      <c r="E505" s="24"/>
      <c r="F505" s="24"/>
      <c r="G505" s="24"/>
      <c r="H505" s="24"/>
      <c r="I505" s="24"/>
      <c r="J505" s="24"/>
      <c r="K505" s="24"/>
      <c r="L505" s="24"/>
      <c r="M505" s="24"/>
      <c r="N505" s="33"/>
      <c r="O505" s="21"/>
    </row>
    <row r="506" spans="1:15">
      <c r="A506" s="1967" t="s">
        <v>1140</v>
      </c>
      <c r="B506" s="43"/>
      <c r="C506" s="24">
        <v>2.44</v>
      </c>
      <c r="D506" s="24">
        <v>1.54</v>
      </c>
      <c r="E506" s="24">
        <v>1.1100000000000001</v>
      </c>
      <c r="F506" s="24">
        <v>0.82</v>
      </c>
      <c r="G506" s="24">
        <v>0.56699999999999995</v>
      </c>
      <c r="H506" s="24">
        <v>0.41</v>
      </c>
      <c r="I506" s="24">
        <v>0.32400000000000001</v>
      </c>
      <c r="J506" s="24">
        <v>0.26400000000000001</v>
      </c>
      <c r="K506" s="24">
        <v>0.21</v>
      </c>
      <c r="L506" s="24">
        <v>0.16</v>
      </c>
      <c r="M506" s="24">
        <v>0.128</v>
      </c>
      <c r="N506" s="33">
        <v>0.1</v>
      </c>
      <c r="O506" s="21"/>
    </row>
    <row r="507" spans="1:15">
      <c r="A507" s="1967" t="s">
        <v>1141</v>
      </c>
      <c r="B507" s="43"/>
      <c r="C507" s="24">
        <v>8.0799999999999997E-2</v>
      </c>
      <c r="D507" s="24">
        <v>8.0500000000000002E-2</v>
      </c>
      <c r="E507" s="24">
        <v>7.8299999999999995E-2</v>
      </c>
      <c r="F507" s="24">
        <v>7.4999999999999997E-2</v>
      </c>
      <c r="G507" s="24">
        <v>7.3999999999999996E-2</v>
      </c>
      <c r="H507" s="24">
        <v>7.2400000000000006E-2</v>
      </c>
      <c r="I507" s="24">
        <v>7.1199999999999999E-2</v>
      </c>
      <c r="J507" s="24">
        <v>7.1599999999999997E-2</v>
      </c>
      <c r="K507" s="24">
        <v>7.1800000000000003E-2</v>
      </c>
      <c r="L507" s="24">
        <v>7.0999999999999994E-2</v>
      </c>
      <c r="M507" s="24">
        <v>7.0499999999999993E-2</v>
      </c>
      <c r="N507" s="33">
        <v>7.0400000000000004E-2</v>
      </c>
      <c r="O507" s="21"/>
    </row>
    <row r="508" spans="1:15">
      <c r="A508" s="1967"/>
      <c r="B508" s="43"/>
      <c r="C508" s="24"/>
      <c r="D508" s="24"/>
      <c r="E508" s="24"/>
      <c r="F508" s="24"/>
      <c r="G508" s="24"/>
      <c r="H508" s="24"/>
      <c r="I508" s="24"/>
      <c r="J508" s="24"/>
      <c r="K508" s="24"/>
      <c r="L508" s="24"/>
      <c r="M508" s="24"/>
      <c r="N508" s="33"/>
      <c r="O508" s="21"/>
    </row>
    <row r="509" spans="1:15" ht="24.75" customHeight="1">
      <c r="A509" s="1968" t="s">
        <v>1142</v>
      </c>
      <c r="B509" s="41">
        <f>A517</f>
        <v>0</v>
      </c>
      <c r="C509" s="24">
        <f t="shared" ref="C509:C511" si="801">B509</f>
        <v>0</v>
      </c>
      <c r="D509" s="24">
        <f t="shared" ref="D509:D511" si="802">C509</f>
        <v>0</v>
      </c>
      <c r="E509" s="24">
        <f t="shared" ref="E509:E511" si="803">D509</f>
        <v>0</v>
      </c>
      <c r="F509" s="24">
        <f t="shared" ref="F509:F511" si="804">E509</f>
        <v>0</v>
      </c>
      <c r="G509" s="24">
        <f t="shared" ref="G509:G511" si="805">F509</f>
        <v>0</v>
      </c>
      <c r="H509" s="24">
        <f t="shared" ref="H509:H511" si="806">G509</f>
        <v>0</v>
      </c>
      <c r="I509" s="24">
        <f t="shared" ref="I509:I511" si="807">H509</f>
        <v>0</v>
      </c>
      <c r="J509" s="24">
        <f t="shared" ref="J509:J511" si="808">I509</f>
        <v>0</v>
      </c>
      <c r="K509" s="24">
        <f t="shared" ref="K509:K511" si="809">J509</f>
        <v>0</v>
      </c>
      <c r="L509" s="24">
        <f t="shared" ref="L509:L511" si="810">K509</f>
        <v>0</v>
      </c>
      <c r="M509" s="24">
        <f t="shared" ref="M509:M511" si="811">L509</f>
        <v>0</v>
      </c>
      <c r="N509" s="33">
        <f t="shared" ref="N509:N511" si="812">M509</f>
        <v>0</v>
      </c>
      <c r="O509" s="21"/>
    </row>
    <row r="510" spans="1:15">
      <c r="A510" s="1968" t="s">
        <v>1143</v>
      </c>
      <c r="B510" s="42">
        <f>'Input''s from Initial Design'!X102</f>
        <v>0</v>
      </c>
      <c r="C510" s="24">
        <f t="shared" si="801"/>
        <v>0</v>
      </c>
      <c r="D510" s="24">
        <f t="shared" si="802"/>
        <v>0</v>
      </c>
      <c r="E510" s="24">
        <f t="shared" si="803"/>
        <v>0</v>
      </c>
      <c r="F510" s="24">
        <f t="shared" si="804"/>
        <v>0</v>
      </c>
      <c r="G510" s="24">
        <f t="shared" si="805"/>
        <v>0</v>
      </c>
      <c r="H510" s="24">
        <f t="shared" si="806"/>
        <v>0</v>
      </c>
      <c r="I510" s="24">
        <f t="shared" si="807"/>
        <v>0</v>
      </c>
      <c r="J510" s="24">
        <f t="shared" si="808"/>
        <v>0</v>
      </c>
      <c r="K510" s="24">
        <f t="shared" si="809"/>
        <v>0</v>
      </c>
      <c r="L510" s="24">
        <f t="shared" si="810"/>
        <v>0</v>
      </c>
      <c r="M510" s="24">
        <f t="shared" si="811"/>
        <v>0</v>
      </c>
      <c r="N510" s="33">
        <f t="shared" si="812"/>
        <v>0</v>
      </c>
      <c r="O510" s="21"/>
    </row>
    <row r="511" spans="1:15">
      <c r="A511" s="1968" t="s">
        <v>1144</v>
      </c>
      <c r="B511" s="42">
        <f>'Input''s from Initial Design'!Y102</f>
        <v>0</v>
      </c>
      <c r="C511" s="24">
        <f t="shared" si="801"/>
        <v>0</v>
      </c>
      <c r="D511" s="24">
        <f t="shared" si="802"/>
        <v>0</v>
      </c>
      <c r="E511" s="24">
        <f t="shared" si="803"/>
        <v>0</v>
      </c>
      <c r="F511" s="24">
        <f t="shared" si="804"/>
        <v>0</v>
      </c>
      <c r="G511" s="24">
        <f t="shared" si="805"/>
        <v>0</v>
      </c>
      <c r="H511" s="24">
        <f t="shared" si="806"/>
        <v>0</v>
      </c>
      <c r="I511" s="24">
        <f t="shared" si="807"/>
        <v>0</v>
      </c>
      <c r="J511" s="24">
        <f t="shared" si="808"/>
        <v>0</v>
      </c>
      <c r="K511" s="24">
        <f t="shared" si="809"/>
        <v>0</v>
      </c>
      <c r="L511" s="24">
        <f t="shared" si="810"/>
        <v>0</v>
      </c>
      <c r="M511" s="24">
        <f t="shared" si="811"/>
        <v>0</v>
      </c>
      <c r="N511" s="33">
        <f t="shared" si="812"/>
        <v>0</v>
      </c>
      <c r="O511" s="21"/>
    </row>
    <row r="512" spans="1:15">
      <c r="A512" s="1968" t="s">
        <v>1145</v>
      </c>
      <c r="B512" s="42">
        <v>415</v>
      </c>
      <c r="C512" s="24">
        <f>+B512</f>
        <v>415</v>
      </c>
      <c r="D512" s="24">
        <f t="shared" ref="D512" si="813">+C512</f>
        <v>415</v>
      </c>
      <c r="E512" s="24">
        <f t="shared" ref="E512" si="814">+D512</f>
        <v>415</v>
      </c>
      <c r="F512" s="24">
        <f t="shared" ref="F512" si="815">+E512</f>
        <v>415</v>
      </c>
      <c r="G512" s="24">
        <f t="shared" ref="G512" si="816">+F512</f>
        <v>415</v>
      </c>
      <c r="H512" s="24">
        <f t="shared" ref="H512" si="817">+G512</f>
        <v>415</v>
      </c>
      <c r="I512" s="24">
        <f t="shared" ref="I512" si="818">+H512</f>
        <v>415</v>
      </c>
      <c r="J512" s="24">
        <f t="shared" ref="J512" si="819">+I512</f>
        <v>415</v>
      </c>
      <c r="K512" s="24">
        <f t="shared" ref="K512" si="820">+J512</f>
        <v>415</v>
      </c>
      <c r="L512" s="24">
        <f t="shared" ref="L512" si="821">+K512</f>
        <v>415</v>
      </c>
      <c r="M512" s="24">
        <f t="shared" ref="M512" si="822">+L512</f>
        <v>415</v>
      </c>
      <c r="N512" s="33">
        <f t="shared" ref="N512" si="823">+M512</f>
        <v>415</v>
      </c>
      <c r="O512" s="21"/>
    </row>
    <row r="513" spans="1:15">
      <c r="A513" s="1967" t="s">
        <v>1146</v>
      </c>
      <c r="B513" s="43"/>
      <c r="C513" s="25" t="e">
        <f t="shared" ref="C513:N513" si="824">1.732*C509*(C506/1000*1+C507/1000*0)*C510/C511</f>
        <v>#DIV/0!</v>
      </c>
      <c r="D513" s="25" t="e">
        <f t="shared" si="824"/>
        <v>#DIV/0!</v>
      </c>
      <c r="E513" s="25" t="e">
        <f t="shared" si="824"/>
        <v>#DIV/0!</v>
      </c>
      <c r="F513" s="25" t="e">
        <f t="shared" si="824"/>
        <v>#DIV/0!</v>
      </c>
      <c r="G513" s="25" t="e">
        <f t="shared" si="824"/>
        <v>#DIV/0!</v>
      </c>
      <c r="H513" s="25" t="e">
        <f t="shared" si="824"/>
        <v>#DIV/0!</v>
      </c>
      <c r="I513" s="25" t="e">
        <f t="shared" si="824"/>
        <v>#DIV/0!</v>
      </c>
      <c r="J513" s="25" t="e">
        <f t="shared" si="824"/>
        <v>#DIV/0!</v>
      </c>
      <c r="K513" s="25" t="e">
        <f t="shared" si="824"/>
        <v>#DIV/0!</v>
      </c>
      <c r="L513" s="25" t="e">
        <f t="shared" si="824"/>
        <v>#DIV/0!</v>
      </c>
      <c r="M513" s="25" t="e">
        <f t="shared" si="824"/>
        <v>#DIV/0!</v>
      </c>
      <c r="N513" s="34" t="e">
        <f t="shared" si="824"/>
        <v>#DIV/0!</v>
      </c>
      <c r="O513" s="21"/>
    </row>
    <row r="514" spans="1:15">
      <c r="A514" s="1967" t="s">
        <v>1147</v>
      </c>
      <c r="B514" s="43"/>
      <c r="C514" s="1965" t="e">
        <f>C513/C512</f>
        <v>#DIV/0!</v>
      </c>
      <c r="D514" s="1965" t="e">
        <f t="shared" ref="D514:N514" si="825">D513/D512</f>
        <v>#DIV/0!</v>
      </c>
      <c r="E514" s="1965" t="e">
        <f t="shared" si="825"/>
        <v>#DIV/0!</v>
      </c>
      <c r="F514" s="1965" t="e">
        <f t="shared" si="825"/>
        <v>#DIV/0!</v>
      </c>
      <c r="G514" s="1965" t="e">
        <f t="shared" si="825"/>
        <v>#DIV/0!</v>
      </c>
      <c r="H514" s="1965" t="e">
        <f t="shared" si="825"/>
        <v>#DIV/0!</v>
      </c>
      <c r="I514" s="1965" t="e">
        <f t="shared" si="825"/>
        <v>#DIV/0!</v>
      </c>
      <c r="J514" s="1965" t="e">
        <f t="shared" si="825"/>
        <v>#DIV/0!</v>
      </c>
      <c r="K514" s="1965" t="e">
        <f t="shared" si="825"/>
        <v>#DIV/0!</v>
      </c>
      <c r="L514" s="1965" t="e">
        <f t="shared" si="825"/>
        <v>#DIV/0!</v>
      </c>
      <c r="M514" s="1965" t="e">
        <f t="shared" si="825"/>
        <v>#DIV/0!</v>
      </c>
      <c r="N514" s="1969" t="e">
        <f t="shared" si="825"/>
        <v>#DIV/0!</v>
      </c>
      <c r="O514" s="21"/>
    </row>
    <row r="515" spans="1:15">
      <c r="A515" s="1968" t="s">
        <v>1148</v>
      </c>
      <c r="B515" s="1966">
        <v>0.02</v>
      </c>
      <c r="C515" s="24" t="e">
        <f>IF(AND((C509*1.25)&lt;(C503*C511),(C514&lt;$B$16)),"PASS","FAIL")</f>
        <v>#DIV/0!</v>
      </c>
      <c r="D515" s="24" t="e">
        <f>IF(AND((D509*1.25)&lt;(D503*D511),(D514&lt;$B$16)),"PASS","FAIL")</f>
        <v>#DIV/0!</v>
      </c>
      <c r="E515" s="24" t="e">
        <f>IF(AND((E509*1.25)&lt;(E503*E511),(E514&lt;$B$16)),"PASS","FAIL")</f>
        <v>#DIV/0!</v>
      </c>
      <c r="F515" s="24" t="e">
        <f>IF(AND((F509*1.25)&lt;(F503*F511),(F514&lt;$B$16)),"PASS","FAIL")</f>
        <v>#DIV/0!</v>
      </c>
      <c r="G515" s="24" t="e">
        <f>IF(AND((G509*1.25)&lt;(G503*G511),(G514&lt;$B$16)),"PASS","FAIL")</f>
        <v>#DIV/0!</v>
      </c>
      <c r="H515" s="24" t="e">
        <f>IF(AND((H509*1.1)&lt;(H503*H511),(H514&lt;$B$16)),"PASS","FAIL")</f>
        <v>#DIV/0!</v>
      </c>
      <c r="I515" s="24" t="e">
        <f t="shared" ref="I515:N515" si="826">IF(AND((I509*1.25)&lt;(I503*I511),(I514&lt;$B$16)),"PASS","FAIL")</f>
        <v>#DIV/0!</v>
      </c>
      <c r="J515" s="24" t="e">
        <f t="shared" si="826"/>
        <v>#DIV/0!</v>
      </c>
      <c r="K515" s="24" t="e">
        <f t="shared" si="826"/>
        <v>#DIV/0!</v>
      </c>
      <c r="L515" s="24" t="e">
        <f t="shared" si="826"/>
        <v>#DIV/0!</v>
      </c>
      <c r="M515" s="24" t="e">
        <f t="shared" si="826"/>
        <v>#DIV/0!</v>
      </c>
      <c r="N515" s="33" t="e">
        <f t="shared" si="826"/>
        <v>#DIV/0!</v>
      </c>
      <c r="O515" s="21"/>
    </row>
    <row r="516" spans="1:15" ht="18.600000000000001" thickBot="1">
      <c r="A516" s="1970" t="s">
        <v>1149</v>
      </c>
      <c r="B516" s="1971"/>
      <c r="C516" s="1972" t="e">
        <f t="shared" ref="C516:N516" si="827">IF(AND((C509*1.25)&lt;(C504*C511),(C514&lt;$B$16)),"PASS","FAIL")</f>
        <v>#DIV/0!</v>
      </c>
      <c r="D516" s="1972" t="e">
        <f t="shared" si="827"/>
        <v>#DIV/0!</v>
      </c>
      <c r="E516" s="1972" t="e">
        <f t="shared" si="827"/>
        <v>#DIV/0!</v>
      </c>
      <c r="F516" s="1972" t="e">
        <f t="shared" si="827"/>
        <v>#DIV/0!</v>
      </c>
      <c r="G516" s="1972" t="e">
        <f t="shared" si="827"/>
        <v>#DIV/0!</v>
      </c>
      <c r="H516" s="1972" t="e">
        <f t="shared" si="827"/>
        <v>#DIV/0!</v>
      </c>
      <c r="I516" s="1972" t="e">
        <f t="shared" si="827"/>
        <v>#DIV/0!</v>
      </c>
      <c r="J516" s="1972" t="e">
        <f t="shared" si="827"/>
        <v>#DIV/0!</v>
      </c>
      <c r="K516" s="1972" t="e">
        <f t="shared" si="827"/>
        <v>#DIV/0!</v>
      </c>
      <c r="L516" s="1972" t="e">
        <f t="shared" si="827"/>
        <v>#DIV/0!</v>
      </c>
      <c r="M516" s="1972" t="e">
        <f t="shared" si="827"/>
        <v>#DIV/0!</v>
      </c>
      <c r="N516" s="1973" t="e">
        <f t="shared" si="827"/>
        <v>#DIV/0!</v>
      </c>
      <c r="O516" s="21"/>
    </row>
    <row r="517" spans="1:15">
      <c r="A517" s="1963">
        <f>('Input''s from Initial Design'!W102*1000/(1.732*440*1))</f>
        <v>0</v>
      </c>
      <c r="B517" s="1964" t="s">
        <v>1150</v>
      </c>
      <c r="C517" s="26"/>
      <c r="D517" s="3213"/>
      <c r="E517" s="3213"/>
      <c r="F517" s="3213"/>
      <c r="G517" s="21"/>
      <c r="H517" s="21"/>
      <c r="I517" s="21"/>
      <c r="J517" s="21"/>
    </row>
    <row r="518" spans="1:15">
      <c r="A518" s="21"/>
      <c r="B518" s="21"/>
      <c r="C518" s="26"/>
      <c r="D518" s="21"/>
      <c r="E518" s="21">
        <v>22</v>
      </c>
      <c r="F518" s="21"/>
      <c r="G518" s="27"/>
      <c r="H518" s="21"/>
      <c r="I518" s="21"/>
      <c r="J518" s="21"/>
    </row>
    <row r="519" spans="1:15">
      <c r="A519" s="28" t="s">
        <v>1148</v>
      </c>
      <c r="B519" s="29" t="e">
        <f>IF(C515="FAIL",IF(D515="FAIL",IF(E515="FAIL",IF(F515="FAIL",IF(G515="FAIL",IF(H515="FAIL",IF(I515="FAIL",IF(J515="FAIL",IF(K515="FAIL",IF(L515="FAIL",IF(M515="FAIL","NO MATCH",$M$1),$L$1),$K$1),$J$1),$I$1),$H$1),$G$1),$F$1),$E$1),$D$1),$C$1)</f>
        <v>#DIV/0!</v>
      </c>
      <c r="C519" s="30" t="s">
        <v>1151</v>
      </c>
      <c r="D519" s="21"/>
      <c r="E519" s="21"/>
      <c r="F519" s="21"/>
      <c r="G519" s="21"/>
      <c r="H519" s="26"/>
      <c r="I519" s="21"/>
      <c r="J519" s="21"/>
      <c r="K519" s="21"/>
      <c r="L519" s="21"/>
      <c r="N519" s="21"/>
      <c r="O519" s="21"/>
    </row>
    <row r="520" spans="1:15">
      <c r="A520" s="28" t="s">
        <v>1149</v>
      </c>
      <c r="B520" s="29" t="e">
        <f>IF(C516="FAIL",IF(D516="FAIL",IF(E516="FAIL",IF(F516="FAIL",IF(G516="FAIL",IF(H516="FAIL",IF(I516="FAIL",IF(J516="FAIL",IF(K516="FAIL",IF(L516="FAIL",IF(M516="FAIL","NO MATCH",$M$1),$L$1),$K$1),$J$1),$I$1),$H$1),$G$1),$F$1),$E$1),$D$1),$C$1)</f>
        <v>#DIV/0!</v>
      </c>
      <c r="C520" s="30" t="s">
        <v>1151</v>
      </c>
      <c r="D520" s="21"/>
      <c r="E520" s="21"/>
      <c r="F520" s="21"/>
      <c r="G520" s="21"/>
      <c r="H520" s="26"/>
      <c r="I520" s="21"/>
      <c r="J520" s="21"/>
      <c r="K520" s="21"/>
      <c r="L520" s="21"/>
      <c r="N520" s="21"/>
      <c r="O520" s="21"/>
    </row>
    <row r="521" spans="1:15" ht="18.600000000000001" thickBot="1"/>
    <row r="522" spans="1:15" s="23" customFormat="1">
      <c r="A522" s="3214" t="s">
        <v>1122</v>
      </c>
      <c r="B522" s="3216"/>
      <c r="C522" s="35">
        <v>16</v>
      </c>
      <c r="D522" s="36">
        <v>25</v>
      </c>
      <c r="E522" s="36">
        <v>35</v>
      </c>
      <c r="F522" s="36">
        <v>50</v>
      </c>
      <c r="G522" s="36">
        <v>70</v>
      </c>
      <c r="H522" s="36">
        <v>95</v>
      </c>
      <c r="I522" s="36">
        <v>120</v>
      </c>
      <c r="J522" s="36">
        <v>150</v>
      </c>
      <c r="K522" s="36">
        <v>185</v>
      </c>
      <c r="L522" s="36">
        <v>240</v>
      </c>
      <c r="M522" s="36">
        <v>300</v>
      </c>
      <c r="N522" s="37">
        <v>400</v>
      </c>
      <c r="O522" s="22"/>
    </row>
    <row r="523" spans="1:15" s="23" customFormat="1" ht="18.600000000000001" thickBot="1">
      <c r="A523" s="3215"/>
      <c r="B523" s="3217"/>
      <c r="C523" s="1978" t="s">
        <v>1123</v>
      </c>
      <c r="D523" s="1979" t="s">
        <v>1124</v>
      </c>
      <c r="E523" s="1979" t="s">
        <v>1125</v>
      </c>
      <c r="F523" s="1979" t="s">
        <v>1126</v>
      </c>
      <c r="G523" s="1979" t="s">
        <v>1127</v>
      </c>
      <c r="H523" s="1979" t="s">
        <v>1128</v>
      </c>
      <c r="I523" s="1979" t="s">
        <v>1129</v>
      </c>
      <c r="J523" s="1979" t="s">
        <v>1130</v>
      </c>
      <c r="K523" s="1979" t="s">
        <v>1131</v>
      </c>
      <c r="L523" s="1979" t="s">
        <v>1132</v>
      </c>
      <c r="M523" s="1979" t="s">
        <v>1133</v>
      </c>
      <c r="N523" s="1980" t="s">
        <v>1134</v>
      </c>
      <c r="O523" s="22"/>
    </row>
    <row r="524" spans="1:15">
      <c r="A524" s="1981" t="s">
        <v>1135</v>
      </c>
      <c r="B524" s="1982"/>
      <c r="C524" s="31">
        <v>74</v>
      </c>
      <c r="D524" s="31">
        <v>94</v>
      </c>
      <c r="E524" s="31">
        <v>113</v>
      </c>
      <c r="F524" s="31">
        <v>133</v>
      </c>
      <c r="G524" s="31">
        <v>164</v>
      </c>
      <c r="H524" s="31">
        <v>196</v>
      </c>
      <c r="I524" s="31">
        <v>223</v>
      </c>
      <c r="J524" s="31">
        <v>249</v>
      </c>
      <c r="K524" s="31">
        <v>282</v>
      </c>
      <c r="L524" s="31">
        <v>326</v>
      </c>
      <c r="M524" s="31">
        <v>367</v>
      </c>
      <c r="N524" s="32">
        <v>418</v>
      </c>
      <c r="O524" s="21"/>
    </row>
    <row r="525" spans="1:15">
      <c r="A525" s="1967" t="s">
        <v>1136</v>
      </c>
      <c r="B525" s="43"/>
      <c r="C525" s="24">
        <v>74</v>
      </c>
      <c r="D525" s="24">
        <v>96</v>
      </c>
      <c r="E525" s="24">
        <v>117</v>
      </c>
      <c r="F525" s="24">
        <v>142</v>
      </c>
      <c r="G525" s="24">
        <v>179</v>
      </c>
      <c r="H525" s="24">
        <v>221</v>
      </c>
      <c r="I525" s="24">
        <v>257</v>
      </c>
      <c r="J525" s="24">
        <v>292</v>
      </c>
      <c r="K525" s="24">
        <v>337</v>
      </c>
      <c r="L525" s="24">
        <v>399</v>
      </c>
      <c r="M525" s="24">
        <v>455</v>
      </c>
      <c r="N525" s="33">
        <v>530</v>
      </c>
      <c r="O525" s="21"/>
    </row>
    <row r="526" spans="1:15" ht="22.5" customHeight="1">
      <c r="A526" s="1967" t="s">
        <v>1137</v>
      </c>
      <c r="B526" s="42">
        <v>0.7</v>
      </c>
      <c r="C526" s="24">
        <f>B526</f>
        <v>0.7</v>
      </c>
      <c r="D526" s="24">
        <f>C526</f>
        <v>0.7</v>
      </c>
      <c r="E526" s="24">
        <f t="shared" ref="E526" si="828">D526</f>
        <v>0.7</v>
      </c>
      <c r="F526" s="24">
        <f t="shared" ref="F526" si="829">E526</f>
        <v>0.7</v>
      </c>
      <c r="G526" s="24">
        <f t="shared" ref="G526" si="830">F526</f>
        <v>0.7</v>
      </c>
      <c r="H526" s="24">
        <f t="shared" ref="H526" si="831">G526</f>
        <v>0.7</v>
      </c>
      <c r="I526" s="24">
        <f t="shared" ref="I526" si="832">H526</f>
        <v>0.7</v>
      </c>
      <c r="J526" s="24">
        <f t="shared" ref="J526" si="833">I526</f>
        <v>0.7</v>
      </c>
      <c r="K526" s="24">
        <f t="shared" ref="K526" si="834">J526</f>
        <v>0.7</v>
      </c>
      <c r="L526" s="24">
        <f t="shared" ref="L526" si="835">K526</f>
        <v>0.7</v>
      </c>
      <c r="M526" s="24">
        <f>L526</f>
        <v>0.7</v>
      </c>
      <c r="N526" s="33">
        <f>M526</f>
        <v>0.7</v>
      </c>
      <c r="O526" s="21"/>
    </row>
    <row r="527" spans="1:15">
      <c r="A527" s="1967" t="s">
        <v>1138</v>
      </c>
      <c r="B527" s="43"/>
      <c r="C527" s="24">
        <f>C524*C526</f>
        <v>51.8</v>
      </c>
      <c r="D527" s="24">
        <f t="shared" ref="D527:G527" si="836">D524*D526</f>
        <v>65.8</v>
      </c>
      <c r="E527" s="24">
        <f t="shared" si="836"/>
        <v>79.099999999999994</v>
      </c>
      <c r="F527" s="24">
        <f t="shared" si="836"/>
        <v>93.1</v>
      </c>
      <c r="G527" s="24">
        <f t="shared" si="836"/>
        <v>114.8</v>
      </c>
      <c r="H527" s="24">
        <f>H524*H526</f>
        <v>137.19999999999999</v>
      </c>
      <c r="I527" s="24">
        <f t="shared" ref="I527:N527" si="837">I524*I526</f>
        <v>156.1</v>
      </c>
      <c r="J527" s="24">
        <f t="shared" si="837"/>
        <v>174.29999999999998</v>
      </c>
      <c r="K527" s="24">
        <f t="shared" si="837"/>
        <v>197.39999999999998</v>
      </c>
      <c r="L527" s="24">
        <f t="shared" si="837"/>
        <v>228.2</v>
      </c>
      <c r="M527" s="24">
        <f t="shared" si="837"/>
        <v>256.89999999999998</v>
      </c>
      <c r="N527" s="33">
        <f t="shared" si="837"/>
        <v>292.59999999999997</v>
      </c>
      <c r="O527" s="21"/>
    </row>
    <row r="528" spans="1:15">
      <c r="A528" s="1967" t="s">
        <v>1139</v>
      </c>
      <c r="B528" s="43"/>
      <c r="C528" s="24">
        <f>C525*C526</f>
        <v>51.8</v>
      </c>
      <c r="D528" s="24">
        <f>D525*D526</f>
        <v>67.199999999999989</v>
      </c>
      <c r="E528" s="24">
        <f t="shared" ref="E528:G528" si="838">E525*E526</f>
        <v>81.899999999999991</v>
      </c>
      <c r="F528" s="24">
        <f t="shared" si="838"/>
        <v>99.399999999999991</v>
      </c>
      <c r="G528" s="24">
        <f t="shared" si="838"/>
        <v>125.3</v>
      </c>
      <c r="H528" s="24">
        <f>H525*H526</f>
        <v>154.69999999999999</v>
      </c>
      <c r="I528" s="24">
        <f t="shared" ref="I528:N528" si="839">I525*I526</f>
        <v>179.89999999999998</v>
      </c>
      <c r="J528" s="24">
        <f t="shared" si="839"/>
        <v>204.39999999999998</v>
      </c>
      <c r="K528" s="24">
        <f t="shared" si="839"/>
        <v>235.89999999999998</v>
      </c>
      <c r="L528" s="24">
        <f t="shared" si="839"/>
        <v>279.29999999999995</v>
      </c>
      <c r="M528" s="24">
        <f t="shared" si="839"/>
        <v>318.5</v>
      </c>
      <c r="N528" s="33">
        <f t="shared" si="839"/>
        <v>371</v>
      </c>
      <c r="O528" s="21"/>
    </row>
    <row r="529" spans="1:15">
      <c r="A529" s="1967"/>
      <c r="B529" s="43"/>
      <c r="C529" s="24"/>
      <c r="D529" s="24"/>
      <c r="E529" s="24"/>
      <c r="F529" s="24"/>
      <c r="G529" s="24"/>
      <c r="H529" s="24"/>
      <c r="I529" s="24"/>
      <c r="J529" s="24"/>
      <c r="K529" s="24"/>
      <c r="L529" s="24"/>
      <c r="M529" s="24"/>
      <c r="N529" s="33"/>
      <c r="O529" s="21"/>
    </row>
    <row r="530" spans="1:15">
      <c r="A530" s="1967" t="s">
        <v>1140</v>
      </c>
      <c r="B530" s="43"/>
      <c r="C530" s="24">
        <v>2.44</v>
      </c>
      <c r="D530" s="24">
        <v>1.54</v>
      </c>
      <c r="E530" s="24">
        <v>1.1100000000000001</v>
      </c>
      <c r="F530" s="24">
        <v>0.82</v>
      </c>
      <c r="G530" s="24">
        <v>0.56699999999999995</v>
      </c>
      <c r="H530" s="24">
        <v>0.41</v>
      </c>
      <c r="I530" s="24">
        <v>0.32400000000000001</v>
      </c>
      <c r="J530" s="24">
        <v>0.26400000000000001</v>
      </c>
      <c r="K530" s="24">
        <v>0.21</v>
      </c>
      <c r="L530" s="24">
        <v>0.16</v>
      </c>
      <c r="M530" s="24">
        <v>0.128</v>
      </c>
      <c r="N530" s="33">
        <v>0.1</v>
      </c>
      <c r="O530" s="21"/>
    </row>
    <row r="531" spans="1:15">
      <c r="A531" s="1967" t="s">
        <v>1141</v>
      </c>
      <c r="B531" s="43"/>
      <c r="C531" s="24">
        <v>8.0799999999999997E-2</v>
      </c>
      <c r="D531" s="24">
        <v>8.0500000000000002E-2</v>
      </c>
      <c r="E531" s="24">
        <v>7.8299999999999995E-2</v>
      </c>
      <c r="F531" s="24">
        <v>7.4999999999999997E-2</v>
      </c>
      <c r="G531" s="24">
        <v>7.3999999999999996E-2</v>
      </c>
      <c r="H531" s="24">
        <v>7.2400000000000006E-2</v>
      </c>
      <c r="I531" s="24">
        <v>7.1199999999999999E-2</v>
      </c>
      <c r="J531" s="24">
        <v>7.1599999999999997E-2</v>
      </c>
      <c r="K531" s="24">
        <v>7.1800000000000003E-2</v>
      </c>
      <c r="L531" s="24">
        <v>7.0999999999999994E-2</v>
      </c>
      <c r="M531" s="24">
        <v>7.0499999999999993E-2</v>
      </c>
      <c r="N531" s="33">
        <v>7.0400000000000004E-2</v>
      </c>
      <c r="O531" s="21"/>
    </row>
    <row r="532" spans="1:15">
      <c r="A532" s="1967"/>
      <c r="B532" s="43"/>
      <c r="C532" s="24"/>
      <c r="D532" s="24"/>
      <c r="E532" s="24"/>
      <c r="F532" s="24"/>
      <c r="G532" s="24"/>
      <c r="H532" s="24"/>
      <c r="I532" s="24"/>
      <c r="J532" s="24"/>
      <c r="K532" s="24"/>
      <c r="L532" s="24"/>
      <c r="M532" s="24"/>
      <c r="N532" s="33"/>
      <c r="O532" s="21"/>
    </row>
    <row r="533" spans="1:15" ht="24.75" customHeight="1">
      <c r="A533" s="1968" t="s">
        <v>1142</v>
      </c>
      <c r="B533" s="41">
        <f>A541</f>
        <v>0</v>
      </c>
      <c r="C533" s="24">
        <f t="shared" ref="C533:C535" si="840">B533</f>
        <v>0</v>
      </c>
      <c r="D533" s="24">
        <f t="shared" ref="D533:D535" si="841">C533</f>
        <v>0</v>
      </c>
      <c r="E533" s="24">
        <f t="shared" ref="E533:E535" si="842">D533</f>
        <v>0</v>
      </c>
      <c r="F533" s="24">
        <f t="shared" ref="F533:F535" si="843">E533</f>
        <v>0</v>
      </c>
      <c r="G533" s="24">
        <f t="shared" ref="G533:G535" si="844">F533</f>
        <v>0</v>
      </c>
      <c r="H533" s="24">
        <f t="shared" ref="H533:H535" si="845">G533</f>
        <v>0</v>
      </c>
      <c r="I533" s="24">
        <f t="shared" ref="I533:I535" si="846">H533</f>
        <v>0</v>
      </c>
      <c r="J533" s="24">
        <f t="shared" ref="J533:J535" si="847">I533</f>
        <v>0</v>
      </c>
      <c r="K533" s="24">
        <f t="shared" ref="K533:K535" si="848">J533</f>
        <v>0</v>
      </c>
      <c r="L533" s="24">
        <f t="shared" ref="L533:L535" si="849">K533</f>
        <v>0</v>
      </c>
      <c r="M533" s="24">
        <f t="shared" ref="M533:M535" si="850">L533</f>
        <v>0</v>
      </c>
      <c r="N533" s="33">
        <f t="shared" ref="N533:N535" si="851">M533</f>
        <v>0</v>
      </c>
      <c r="O533" s="21"/>
    </row>
    <row r="534" spans="1:15">
      <c r="A534" s="1968" t="s">
        <v>1143</v>
      </c>
      <c r="B534" s="42">
        <f>'Input''s from Initial Design'!X104</f>
        <v>0</v>
      </c>
      <c r="C534" s="24">
        <f t="shared" si="840"/>
        <v>0</v>
      </c>
      <c r="D534" s="24">
        <f t="shared" si="841"/>
        <v>0</v>
      </c>
      <c r="E534" s="24">
        <f t="shared" si="842"/>
        <v>0</v>
      </c>
      <c r="F534" s="24">
        <f t="shared" si="843"/>
        <v>0</v>
      </c>
      <c r="G534" s="24">
        <f t="shared" si="844"/>
        <v>0</v>
      </c>
      <c r="H534" s="24">
        <f t="shared" si="845"/>
        <v>0</v>
      </c>
      <c r="I534" s="24">
        <f t="shared" si="846"/>
        <v>0</v>
      </c>
      <c r="J534" s="24">
        <f t="shared" si="847"/>
        <v>0</v>
      </c>
      <c r="K534" s="24">
        <f t="shared" si="848"/>
        <v>0</v>
      </c>
      <c r="L534" s="24">
        <f t="shared" si="849"/>
        <v>0</v>
      </c>
      <c r="M534" s="24">
        <f t="shared" si="850"/>
        <v>0</v>
      </c>
      <c r="N534" s="33">
        <f t="shared" si="851"/>
        <v>0</v>
      </c>
      <c r="O534" s="21"/>
    </row>
    <row r="535" spans="1:15">
      <c r="A535" s="1968" t="s">
        <v>1144</v>
      </c>
      <c r="B535" s="42">
        <f>'Input''s from Initial Design'!Y104</f>
        <v>0</v>
      </c>
      <c r="C535" s="24">
        <f t="shared" si="840"/>
        <v>0</v>
      </c>
      <c r="D535" s="24">
        <f t="shared" si="841"/>
        <v>0</v>
      </c>
      <c r="E535" s="24">
        <f t="shared" si="842"/>
        <v>0</v>
      </c>
      <c r="F535" s="24">
        <f t="shared" si="843"/>
        <v>0</v>
      </c>
      <c r="G535" s="24">
        <f t="shared" si="844"/>
        <v>0</v>
      </c>
      <c r="H535" s="24">
        <f t="shared" si="845"/>
        <v>0</v>
      </c>
      <c r="I535" s="24">
        <f t="shared" si="846"/>
        <v>0</v>
      </c>
      <c r="J535" s="24">
        <f t="shared" si="847"/>
        <v>0</v>
      </c>
      <c r="K535" s="24">
        <f t="shared" si="848"/>
        <v>0</v>
      </c>
      <c r="L535" s="24">
        <f t="shared" si="849"/>
        <v>0</v>
      </c>
      <c r="M535" s="24">
        <f t="shared" si="850"/>
        <v>0</v>
      </c>
      <c r="N535" s="33">
        <f t="shared" si="851"/>
        <v>0</v>
      </c>
      <c r="O535" s="21"/>
    </row>
    <row r="536" spans="1:15">
      <c r="A536" s="1968" t="s">
        <v>1145</v>
      </c>
      <c r="B536" s="42">
        <v>415</v>
      </c>
      <c r="C536" s="24">
        <f>+B536</f>
        <v>415</v>
      </c>
      <c r="D536" s="24">
        <f t="shared" ref="D536" si="852">+C536</f>
        <v>415</v>
      </c>
      <c r="E536" s="24">
        <f t="shared" ref="E536" si="853">+D536</f>
        <v>415</v>
      </c>
      <c r="F536" s="24">
        <f t="shared" ref="F536" si="854">+E536</f>
        <v>415</v>
      </c>
      <c r="G536" s="24">
        <f t="shared" ref="G536" si="855">+F536</f>
        <v>415</v>
      </c>
      <c r="H536" s="24">
        <f t="shared" ref="H536" si="856">+G536</f>
        <v>415</v>
      </c>
      <c r="I536" s="24">
        <f t="shared" ref="I536" si="857">+H536</f>
        <v>415</v>
      </c>
      <c r="J536" s="24">
        <f t="shared" ref="J536" si="858">+I536</f>
        <v>415</v>
      </c>
      <c r="K536" s="24">
        <f t="shared" ref="K536" si="859">+J536</f>
        <v>415</v>
      </c>
      <c r="L536" s="24">
        <f t="shared" ref="L536" si="860">+K536</f>
        <v>415</v>
      </c>
      <c r="M536" s="24">
        <f t="shared" ref="M536" si="861">+L536</f>
        <v>415</v>
      </c>
      <c r="N536" s="33">
        <f t="shared" ref="N536" si="862">+M536</f>
        <v>415</v>
      </c>
      <c r="O536" s="21"/>
    </row>
    <row r="537" spans="1:15">
      <c r="A537" s="1967" t="s">
        <v>1146</v>
      </c>
      <c r="B537" s="43"/>
      <c r="C537" s="25" t="e">
        <f t="shared" ref="C537:N537" si="863">1.732*C533*(C530/1000*1+C531/1000*0)*C534/C535</f>
        <v>#DIV/0!</v>
      </c>
      <c r="D537" s="25" t="e">
        <f t="shared" si="863"/>
        <v>#DIV/0!</v>
      </c>
      <c r="E537" s="25" t="e">
        <f t="shared" si="863"/>
        <v>#DIV/0!</v>
      </c>
      <c r="F537" s="25" t="e">
        <f t="shared" si="863"/>
        <v>#DIV/0!</v>
      </c>
      <c r="G537" s="25" t="e">
        <f t="shared" si="863"/>
        <v>#DIV/0!</v>
      </c>
      <c r="H537" s="25" t="e">
        <f t="shared" si="863"/>
        <v>#DIV/0!</v>
      </c>
      <c r="I537" s="25" t="e">
        <f t="shared" si="863"/>
        <v>#DIV/0!</v>
      </c>
      <c r="J537" s="25" t="e">
        <f t="shared" si="863"/>
        <v>#DIV/0!</v>
      </c>
      <c r="K537" s="25" t="e">
        <f t="shared" si="863"/>
        <v>#DIV/0!</v>
      </c>
      <c r="L537" s="25" t="e">
        <f t="shared" si="863"/>
        <v>#DIV/0!</v>
      </c>
      <c r="M537" s="25" t="e">
        <f t="shared" si="863"/>
        <v>#DIV/0!</v>
      </c>
      <c r="N537" s="34" t="e">
        <f t="shared" si="863"/>
        <v>#DIV/0!</v>
      </c>
      <c r="O537" s="21"/>
    </row>
    <row r="538" spans="1:15">
      <c r="A538" s="1967" t="s">
        <v>1147</v>
      </c>
      <c r="B538" s="43"/>
      <c r="C538" s="1965" t="e">
        <f>C537/C536</f>
        <v>#DIV/0!</v>
      </c>
      <c r="D538" s="1965" t="e">
        <f t="shared" ref="D538:N538" si="864">D537/D536</f>
        <v>#DIV/0!</v>
      </c>
      <c r="E538" s="1965" t="e">
        <f t="shared" si="864"/>
        <v>#DIV/0!</v>
      </c>
      <c r="F538" s="1965" t="e">
        <f t="shared" si="864"/>
        <v>#DIV/0!</v>
      </c>
      <c r="G538" s="1965" t="e">
        <f t="shared" si="864"/>
        <v>#DIV/0!</v>
      </c>
      <c r="H538" s="1965" t="e">
        <f t="shared" si="864"/>
        <v>#DIV/0!</v>
      </c>
      <c r="I538" s="1965" t="e">
        <f t="shared" si="864"/>
        <v>#DIV/0!</v>
      </c>
      <c r="J538" s="1965" t="e">
        <f t="shared" si="864"/>
        <v>#DIV/0!</v>
      </c>
      <c r="K538" s="1965" t="e">
        <f t="shared" si="864"/>
        <v>#DIV/0!</v>
      </c>
      <c r="L538" s="1965" t="e">
        <f t="shared" si="864"/>
        <v>#DIV/0!</v>
      </c>
      <c r="M538" s="1965" t="e">
        <f t="shared" si="864"/>
        <v>#DIV/0!</v>
      </c>
      <c r="N538" s="1969" t="e">
        <f t="shared" si="864"/>
        <v>#DIV/0!</v>
      </c>
      <c r="O538" s="21"/>
    </row>
    <row r="539" spans="1:15">
      <c r="A539" s="1968" t="s">
        <v>1148</v>
      </c>
      <c r="B539" s="1966">
        <v>0.02</v>
      </c>
      <c r="C539" s="24" t="e">
        <f>IF(AND((C533*1.25)&lt;(C527*C535),(C538&lt;$B$16)),"PASS","FAIL")</f>
        <v>#DIV/0!</v>
      </c>
      <c r="D539" s="24" t="e">
        <f>IF(AND((D533*1.25)&lt;(D527*D535),(D538&lt;$B$16)),"PASS","FAIL")</f>
        <v>#DIV/0!</v>
      </c>
      <c r="E539" s="24" t="e">
        <f>IF(AND((E533*1.25)&lt;(E527*E535),(E538&lt;$B$16)),"PASS","FAIL")</f>
        <v>#DIV/0!</v>
      </c>
      <c r="F539" s="24" t="e">
        <f>IF(AND((F533*1.25)&lt;(F527*F535),(F538&lt;$B$16)),"PASS","FAIL")</f>
        <v>#DIV/0!</v>
      </c>
      <c r="G539" s="24" t="e">
        <f>IF(AND((G533*1.25)&lt;(G527*G535),(G538&lt;$B$16)),"PASS","FAIL")</f>
        <v>#DIV/0!</v>
      </c>
      <c r="H539" s="24" t="e">
        <f>IF(AND((H533*1.1)&lt;(H527*H535),(H538&lt;$B$16)),"PASS","FAIL")</f>
        <v>#DIV/0!</v>
      </c>
      <c r="I539" s="24" t="e">
        <f t="shared" ref="I539:N539" si="865">IF(AND((I533*1.25)&lt;(I527*I535),(I538&lt;$B$16)),"PASS","FAIL")</f>
        <v>#DIV/0!</v>
      </c>
      <c r="J539" s="24" t="e">
        <f t="shared" si="865"/>
        <v>#DIV/0!</v>
      </c>
      <c r="K539" s="24" t="e">
        <f t="shared" si="865"/>
        <v>#DIV/0!</v>
      </c>
      <c r="L539" s="24" t="e">
        <f t="shared" si="865"/>
        <v>#DIV/0!</v>
      </c>
      <c r="M539" s="24" t="e">
        <f t="shared" si="865"/>
        <v>#DIV/0!</v>
      </c>
      <c r="N539" s="33" t="e">
        <f t="shared" si="865"/>
        <v>#DIV/0!</v>
      </c>
      <c r="O539" s="21"/>
    </row>
    <row r="540" spans="1:15" ht="18.600000000000001" thickBot="1">
      <c r="A540" s="1970" t="s">
        <v>1149</v>
      </c>
      <c r="B540" s="1971"/>
      <c r="C540" s="1972" t="e">
        <f t="shared" ref="C540:N540" si="866">IF(AND((C533*1.25)&lt;(C528*C535),(C538&lt;$B$16)),"PASS","FAIL")</f>
        <v>#DIV/0!</v>
      </c>
      <c r="D540" s="1972" t="e">
        <f t="shared" si="866"/>
        <v>#DIV/0!</v>
      </c>
      <c r="E540" s="1972" t="e">
        <f t="shared" si="866"/>
        <v>#DIV/0!</v>
      </c>
      <c r="F540" s="1972" t="e">
        <f t="shared" si="866"/>
        <v>#DIV/0!</v>
      </c>
      <c r="G540" s="1972" t="e">
        <f t="shared" si="866"/>
        <v>#DIV/0!</v>
      </c>
      <c r="H540" s="1972" t="e">
        <f t="shared" si="866"/>
        <v>#DIV/0!</v>
      </c>
      <c r="I540" s="1972" t="e">
        <f t="shared" si="866"/>
        <v>#DIV/0!</v>
      </c>
      <c r="J540" s="1972" t="e">
        <f t="shared" si="866"/>
        <v>#DIV/0!</v>
      </c>
      <c r="K540" s="1972" t="e">
        <f t="shared" si="866"/>
        <v>#DIV/0!</v>
      </c>
      <c r="L540" s="1972" t="e">
        <f t="shared" si="866"/>
        <v>#DIV/0!</v>
      </c>
      <c r="M540" s="1972" t="e">
        <f t="shared" si="866"/>
        <v>#DIV/0!</v>
      </c>
      <c r="N540" s="1973" t="e">
        <f t="shared" si="866"/>
        <v>#DIV/0!</v>
      </c>
      <c r="O540" s="21"/>
    </row>
    <row r="541" spans="1:15">
      <c r="A541" s="1963">
        <f>('Input''s from Initial Design'!W104*1000/(1.732*440*1))</f>
        <v>0</v>
      </c>
      <c r="B541" s="1964" t="s">
        <v>1150</v>
      </c>
      <c r="C541" s="26"/>
      <c r="D541" s="3213"/>
      <c r="E541" s="3213"/>
      <c r="F541" s="3213"/>
      <c r="G541" s="21"/>
      <c r="H541" s="21"/>
      <c r="I541" s="21"/>
      <c r="J541" s="21"/>
    </row>
    <row r="542" spans="1:15">
      <c r="A542" s="21"/>
      <c r="B542" s="21"/>
      <c r="C542" s="26"/>
      <c r="D542" s="21"/>
      <c r="E542" s="21">
        <v>23</v>
      </c>
      <c r="F542" s="21"/>
      <c r="G542" s="27"/>
      <c r="H542" s="21"/>
      <c r="I542" s="21"/>
      <c r="J542" s="21"/>
    </row>
    <row r="543" spans="1:15">
      <c r="A543" s="28" t="s">
        <v>1148</v>
      </c>
      <c r="B543" s="29" t="e">
        <f>IF(C539="FAIL",IF(D539="FAIL",IF(E539="FAIL",IF(F539="FAIL",IF(G539="FAIL",IF(H539="FAIL",IF(I539="FAIL",IF(J539="FAIL",IF(K539="FAIL",IF(L539="FAIL",IF(M539="FAIL","NO MATCH",$M$1),$L$1),$K$1),$J$1),$I$1),$H$1),$G$1),$F$1),$E$1),$D$1),$C$1)</f>
        <v>#DIV/0!</v>
      </c>
      <c r="C543" s="30" t="s">
        <v>1151</v>
      </c>
      <c r="D543" s="21"/>
      <c r="E543" s="21"/>
      <c r="F543" s="21"/>
      <c r="G543" s="21"/>
      <c r="H543" s="26"/>
      <c r="I543" s="21"/>
      <c r="J543" s="21"/>
      <c r="K543" s="21"/>
      <c r="L543" s="21"/>
      <c r="N543" s="21"/>
      <c r="O543" s="21"/>
    </row>
    <row r="544" spans="1:15">
      <c r="A544" s="28" t="s">
        <v>1149</v>
      </c>
      <c r="B544" s="29" t="e">
        <f>IF(C540="FAIL",IF(D540="FAIL",IF(E540="FAIL",IF(F540="FAIL",IF(G540="FAIL",IF(H540="FAIL",IF(I540="FAIL",IF(J540="FAIL",IF(K540="FAIL",IF(L540="FAIL",IF(M540="FAIL","NO MATCH",$M$1),$L$1),$K$1),$J$1),$I$1),$H$1),$G$1),$F$1),$E$1),$D$1),$C$1)</f>
        <v>#DIV/0!</v>
      </c>
      <c r="C544" s="30" t="s">
        <v>1151</v>
      </c>
      <c r="D544" s="21"/>
      <c r="E544" s="21"/>
      <c r="F544" s="21"/>
      <c r="G544" s="21"/>
      <c r="H544" s="26"/>
      <c r="I544" s="21"/>
      <c r="J544" s="21"/>
      <c r="K544" s="21"/>
      <c r="L544" s="21"/>
      <c r="N544" s="21"/>
      <c r="O544" s="21"/>
    </row>
    <row r="545" spans="1:15" ht="18.600000000000001" thickBot="1">
      <c r="A545" s="21"/>
      <c r="B545" s="21"/>
      <c r="C545" s="21"/>
      <c r="D545" s="21"/>
      <c r="E545" s="21"/>
      <c r="F545" s="21"/>
      <c r="G545" s="21"/>
      <c r="H545" s="26"/>
      <c r="I545" s="21"/>
      <c r="J545" s="21"/>
      <c r="K545" s="21"/>
      <c r="L545" s="21"/>
      <c r="N545" s="21"/>
      <c r="O545" s="21"/>
    </row>
    <row r="546" spans="1:15" s="23" customFormat="1">
      <c r="A546" s="3214" t="s">
        <v>1122</v>
      </c>
      <c r="B546" s="3216"/>
      <c r="C546" s="35">
        <v>16</v>
      </c>
      <c r="D546" s="36">
        <v>25</v>
      </c>
      <c r="E546" s="36">
        <v>35</v>
      </c>
      <c r="F546" s="36">
        <v>50</v>
      </c>
      <c r="G546" s="36">
        <v>70</v>
      </c>
      <c r="H546" s="36">
        <v>95</v>
      </c>
      <c r="I546" s="36">
        <v>120</v>
      </c>
      <c r="J546" s="36">
        <v>150</v>
      </c>
      <c r="K546" s="36">
        <v>185</v>
      </c>
      <c r="L546" s="36">
        <v>240</v>
      </c>
      <c r="M546" s="36">
        <v>300</v>
      </c>
      <c r="N546" s="37">
        <v>400</v>
      </c>
      <c r="O546" s="22"/>
    </row>
    <row r="547" spans="1:15" s="23" customFormat="1" ht="18.600000000000001" thickBot="1">
      <c r="A547" s="3215"/>
      <c r="B547" s="3217"/>
      <c r="C547" s="1978" t="s">
        <v>1123</v>
      </c>
      <c r="D547" s="1979" t="s">
        <v>1124</v>
      </c>
      <c r="E547" s="1979" t="s">
        <v>1125</v>
      </c>
      <c r="F547" s="1979" t="s">
        <v>1126</v>
      </c>
      <c r="G547" s="1979" t="s">
        <v>1127</v>
      </c>
      <c r="H547" s="1979" t="s">
        <v>1128</v>
      </c>
      <c r="I547" s="1979" t="s">
        <v>1129</v>
      </c>
      <c r="J547" s="1979" t="s">
        <v>1130</v>
      </c>
      <c r="K547" s="1979" t="s">
        <v>1131</v>
      </c>
      <c r="L547" s="1979" t="s">
        <v>1132</v>
      </c>
      <c r="M547" s="1979" t="s">
        <v>1133</v>
      </c>
      <c r="N547" s="1980" t="s">
        <v>1134</v>
      </c>
      <c r="O547" s="22"/>
    </row>
    <row r="548" spans="1:15">
      <c r="A548" s="1981" t="s">
        <v>1135</v>
      </c>
      <c r="B548" s="1982"/>
      <c r="C548" s="31">
        <v>74</v>
      </c>
      <c r="D548" s="31">
        <v>94</v>
      </c>
      <c r="E548" s="31">
        <v>113</v>
      </c>
      <c r="F548" s="31">
        <v>133</v>
      </c>
      <c r="G548" s="31">
        <v>164</v>
      </c>
      <c r="H548" s="31">
        <v>196</v>
      </c>
      <c r="I548" s="31">
        <v>223</v>
      </c>
      <c r="J548" s="31">
        <v>249</v>
      </c>
      <c r="K548" s="31">
        <v>282</v>
      </c>
      <c r="L548" s="31">
        <v>326</v>
      </c>
      <c r="M548" s="31">
        <v>367</v>
      </c>
      <c r="N548" s="32">
        <v>418</v>
      </c>
      <c r="O548" s="21"/>
    </row>
    <row r="549" spans="1:15">
      <c r="A549" s="1967" t="s">
        <v>1136</v>
      </c>
      <c r="B549" s="43"/>
      <c r="C549" s="24">
        <v>74</v>
      </c>
      <c r="D549" s="24">
        <v>96</v>
      </c>
      <c r="E549" s="24">
        <v>117</v>
      </c>
      <c r="F549" s="24">
        <v>142</v>
      </c>
      <c r="G549" s="24">
        <v>179</v>
      </c>
      <c r="H549" s="24">
        <v>221</v>
      </c>
      <c r="I549" s="24">
        <v>257</v>
      </c>
      <c r="J549" s="24">
        <v>292</v>
      </c>
      <c r="K549" s="24">
        <v>337</v>
      </c>
      <c r="L549" s="24">
        <v>399</v>
      </c>
      <c r="M549" s="24">
        <v>455</v>
      </c>
      <c r="N549" s="33">
        <v>530</v>
      </c>
      <c r="O549" s="21"/>
    </row>
    <row r="550" spans="1:15" ht="22.5" customHeight="1">
      <c r="A550" s="1967" t="s">
        <v>1137</v>
      </c>
      <c r="B550" s="42">
        <v>0.7</v>
      </c>
      <c r="C550" s="24">
        <f>B550</f>
        <v>0.7</v>
      </c>
      <c r="D550" s="24">
        <f>C550</f>
        <v>0.7</v>
      </c>
      <c r="E550" s="24">
        <f t="shared" ref="E550" si="867">D550</f>
        <v>0.7</v>
      </c>
      <c r="F550" s="24">
        <f t="shared" ref="F550" si="868">E550</f>
        <v>0.7</v>
      </c>
      <c r="G550" s="24">
        <f t="shared" ref="G550" si="869">F550</f>
        <v>0.7</v>
      </c>
      <c r="H550" s="24">
        <f t="shared" ref="H550" si="870">G550</f>
        <v>0.7</v>
      </c>
      <c r="I550" s="24">
        <f t="shared" ref="I550" si="871">H550</f>
        <v>0.7</v>
      </c>
      <c r="J550" s="24">
        <f t="shared" ref="J550" si="872">I550</f>
        <v>0.7</v>
      </c>
      <c r="K550" s="24">
        <f t="shared" ref="K550" si="873">J550</f>
        <v>0.7</v>
      </c>
      <c r="L550" s="24">
        <f t="shared" ref="L550" si="874">K550</f>
        <v>0.7</v>
      </c>
      <c r="M550" s="24">
        <f>L550</f>
        <v>0.7</v>
      </c>
      <c r="N550" s="33">
        <f>M550</f>
        <v>0.7</v>
      </c>
      <c r="O550" s="21"/>
    </row>
    <row r="551" spans="1:15">
      <c r="A551" s="1967" t="s">
        <v>1138</v>
      </c>
      <c r="B551" s="43"/>
      <c r="C551" s="24">
        <f>C548*C550</f>
        <v>51.8</v>
      </c>
      <c r="D551" s="24">
        <f t="shared" ref="D551:G551" si="875">D548*D550</f>
        <v>65.8</v>
      </c>
      <c r="E551" s="24">
        <f t="shared" si="875"/>
        <v>79.099999999999994</v>
      </c>
      <c r="F551" s="24">
        <f t="shared" si="875"/>
        <v>93.1</v>
      </c>
      <c r="G551" s="24">
        <f t="shared" si="875"/>
        <v>114.8</v>
      </c>
      <c r="H551" s="24">
        <f>H548*H550</f>
        <v>137.19999999999999</v>
      </c>
      <c r="I551" s="24">
        <f t="shared" ref="I551:N551" si="876">I548*I550</f>
        <v>156.1</v>
      </c>
      <c r="J551" s="24">
        <f t="shared" si="876"/>
        <v>174.29999999999998</v>
      </c>
      <c r="K551" s="24">
        <f t="shared" si="876"/>
        <v>197.39999999999998</v>
      </c>
      <c r="L551" s="24">
        <f t="shared" si="876"/>
        <v>228.2</v>
      </c>
      <c r="M551" s="24">
        <f t="shared" si="876"/>
        <v>256.89999999999998</v>
      </c>
      <c r="N551" s="33">
        <f t="shared" si="876"/>
        <v>292.59999999999997</v>
      </c>
      <c r="O551" s="21"/>
    </row>
    <row r="552" spans="1:15">
      <c r="A552" s="1967" t="s">
        <v>1139</v>
      </c>
      <c r="B552" s="43"/>
      <c r="C552" s="24">
        <f>C549*C550</f>
        <v>51.8</v>
      </c>
      <c r="D552" s="24">
        <f>D549*D550</f>
        <v>67.199999999999989</v>
      </c>
      <c r="E552" s="24">
        <f t="shared" ref="E552:G552" si="877">E549*E550</f>
        <v>81.899999999999991</v>
      </c>
      <c r="F552" s="24">
        <f t="shared" si="877"/>
        <v>99.399999999999991</v>
      </c>
      <c r="G552" s="24">
        <f t="shared" si="877"/>
        <v>125.3</v>
      </c>
      <c r="H552" s="24">
        <f>H549*H550</f>
        <v>154.69999999999999</v>
      </c>
      <c r="I552" s="24">
        <f t="shared" ref="I552:N552" si="878">I549*I550</f>
        <v>179.89999999999998</v>
      </c>
      <c r="J552" s="24">
        <f t="shared" si="878"/>
        <v>204.39999999999998</v>
      </c>
      <c r="K552" s="24">
        <f t="shared" si="878"/>
        <v>235.89999999999998</v>
      </c>
      <c r="L552" s="24">
        <f t="shared" si="878"/>
        <v>279.29999999999995</v>
      </c>
      <c r="M552" s="24">
        <f t="shared" si="878"/>
        <v>318.5</v>
      </c>
      <c r="N552" s="33">
        <f t="shared" si="878"/>
        <v>371</v>
      </c>
      <c r="O552" s="21"/>
    </row>
    <row r="553" spans="1:15">
      <c r="A553" s="1967"/>
      <c r="B553" s="43"/>
      <c r="C553" s="24"/>
      <c r="D553" s="24"/>
      <c r="E553" s="24"/>
      <c r="F553" s="24"/>
      <c r="G553" s="24"/>
      <c r="H553" s="24"/>
      <c r="I553" s="24"/>
      <c r="J553" s="24"/>
      <c r="K553" s="24"/>
      <c r="L553" s="24"/>
      <c r="M553" s="24"/>
      <c r="N553" s="33"/>
      <c r="O553" s="21"/>
    </row>
    <row r="554" spans="1:15">
      <c r="A554" s="1967" t="s">
        <v>1140</v>
      </c>
      <c r="B554" s="43"/>
      <c r="C554" s="24">
        <v>2.44</v>
      </c>
      <c r="D554" s="24">
        <v>1.54</v>
      </c>
      <c r="E554" s="24">
        <v>1.1100000000000001</v>
      </c>
      <c r="F554" s="24">
        <v>0.82</v>
      </c>
      <c r="G554" s="24">
        <v>0.56699999999999995</v>
      </c>
      <c r="H554" s="24">
        <v>0.41</v>
      </c>
      <c r="I554" s="24">
        <v>0.32400000000000001</v>
      </c>
      <c r="J554" s="24">
        <v>0.26400000000000001</v>
      </c>
      <c r="K554" s="24">
        <v>0.21</v>
      </c>
      <c r="L554" s="24">
        <v>0.16</v>
      </c>
      <c r="M554" s="24">
        <v>0.128</v>
      </c>
      <c r="N554" s="33">
        <v>0.1</v>
      </c>
      <c r="O554" s="21"/>
    </row>
    <row r="555" spans="1:15">
      <c r="A555" s="1967" t="s">
        <v>1141</v>
      </c>
      <c r="B555" s="43"/>
      <c r="C555" s="24">
        <v>8.0799999999999997E-2</v>
      </c>
      <c r="D555" s="24">
        <v>8.0500000000000002E-2</v>
      </c>
      <c r="E555" s="24">
        <v>7.8299999999999995E-2</v>
      </c>
      <c r="F555" s="24">
        <v>7.4999999999999997E-2</v>
      </c>
      <c r="G555" s="24">
        <v>7.3999999999999996E-2</v>
      </c>
      <c r="H555" s="24">
        <v>7.2400000000000006E-2</v>
      </c>
      <c r="I555" s="24">
        <v>7.1199999999999999E-2</v>
      </c>
      <c r="J555" s="24">
        <v>7.1599999999999997E-2</v>
      </c>
      <c r="K555" s="24">
        <v>7.1800000000000003E-2</v>
      </c>
      <c r="L555" s="24">
        <v>7.0999999999999994E-2</v>
      </c>
      <c r="M555" s="24">
        <v>7.0499999999999993E-2</v>
      </c>
      <c r="N555" s="33">
        <v>7.0400000000000004E-2</v>
      </c>
      <c r="O555" s="21"/>
    </row>
    <row r="556" spans="1:15">
      <c r="A556" s="1967"/>
      <c r="B556" s="43"/>
      <c r="C556" s="24"/>
      <c r="D556" s="24"/>
      <c r="E556" s="24"/>
      <c r="F556" s="24"/>
      <c r="G556" s="24"/>
      <c r="H556" s="24"/>
      <c r="I556" s="24"/>
      <c r="J556" s="24"/>
      <c r="K556" s="24"/>
      <c r="L556" s="24"/>
      <c r="M556" s="24"/>
      <c r="N556" s="33"/>
      <c r="O556" s="21"/>
    </row>
    <row r="557" spans="1:15" ht="24.75" customHeight="1">
      <c r="A557" s="1968" t="s">
        <v>1142</v>
      </c>
      <c r="B557" s="41">
        <f>A565</f>
        <v>0</v>
      </c>
      <c r="C557" s="24">
        <f t="shared" ref="C557:C559" si="879">B557</f>
        <v>0</v>
      </c>
      <c r="D557" s="24">
        <f t="shared" ref="D557:D559" si="880">C557</f>
        <v>0</v>
      </c>
      <c r="E557" s="24">
        <f t="shared" ref="E557:E559" si="881">D557</f>
        <v>0</v>
      </c>
      <c r="F557" s="24">
        <f t="shared" ref="F557:F559" si="882">E557</f>
        <v>0</v>
      </c>
      <c r="G557" s="24">
        <f t="shared" ref="G557:G559" si="883">F557</f>
        <v>0</v>
      </c>
      <c r="H557" s="24">
        <f t="shared" ref="H557:H559" si="884">G557</f>
        <v>0</v>
      </c>
      <c r="I557" s="24">
        <f t="shared" ref="I557:I559" si="885">H557</f>
        <v>0</v>
      </c>
      <c r="J557" s="24">
        <f t="shared" ref="J557:J559" si="886">I557</f>
        <v>0</v>
      </c>
      <c r="K557" s="24">
        <f t="shared" ref="K557:K559" si="887">J557</f>
        <v>0</v>
      </c>
      <c r="L557" s="24">
        <f t="shared" ref="L557:L559" si="888">K557</f>
        <v>0</v>
      </c>
      <c r="M557" s="24">
        <f t="shared" ref="M557:M559" si="889">L557</f>
        <v>0</v>
      </c>
      <c r="N557" s="33">
        <f t="shared" ref="N557:N559" si="890">M557</f>
        <v>0</v>
      </c>
      <c r="O557" s="21"/>
    </row>
    <row r="558" spans="1:15">
      <c r="A558" s="1968" t="s">
        <v>1143</v>
      </c>
      <c r="B558" s="42">
        <f>'Input''s from Initial Design'!X106</f>
        <v>0</v>
      </c>
      <c r="C558" s="24">
        <f t="shared" si="879"/>
        <v>0</v>
      </c>
      <c r="D558" s="24">
        <f t="shared" si="880"/>
        <v>0</v>
      </c>
      <c r="E558" s="24">
        <f t="shared" si="881"/>
        <v>0</v>
      </c>
      <c r="F558" s="24">
        <f t="shared" si="882"/>
        <v>0</v>
      </c>
      <c r="G558" s="24">
        <f t="shared" si="883"/>
        <v>0</v>
      </c>
      <c r="H558" s="24">
        <f t="shared" si="884"/>
        <v>0</v>
      </c>
      <c r="I558" s="24">
        <f t="shared" si="885"/>
        <v>0</v>
      </c>
      <c r="J558" s="24">
        <f t="shared" si="886"/>
        <v>0</v>
      </c>
      <c r="K558" s="24">
        <f t="shared" si="887"/>
        <v>0</v>
      </c>
      <c r="L558" s="24">
        <f t="shared" si="888"/>
        <v>0</v>
      </c>
      <c r="M558" s="24">
        <f t="shared" si="889"/>
        <v>0</v>
      </c>
      <c r="N558" s="33">
        <f t="shared" si="890"/>
        <v>0</v>
      </c>
      <c r="O558" s="21"/>
    </row>
    <row r="559" spans="1:15">
      <c r="A559" s="1968" t="s">
        <v>1144</v>
      </c>
      <c r="B559" s="42">
        <f>'Input''s from Initial Design'!Y106</f>
        <v>0</v>
      </c>
      <c r="C559" s="24">
        <f t="shared" si="879"/>
        <v>0</v>
      </c>
      <c r="D559" s="24">
        <f t="shared" si="880"/>
        <v>0</v>
      </c>
      <c r="E559" s="24">
        <f t="shared" si="881"/>
        <v>0</v>
      </c>
      <c r="F559" s="24">
        <f t="shared" si="882"/>
        <v>0</v>
      </c>
      <c r="G559" s="24">
        <f t="shared" si="883"/>
        <v>0</v>
      </c>
      <c r="H559" s="24">
        <f t="shared" si="884"/>
        <v>0</v>
      </c>
      <c r="I559" s="24">
        <f t="shared" si="885"/>
        <v>0</v>
      </c>
      <c r="J559" s="24">
        <f t="shared" si="886"/>
        <v>0</v>
      </c>
      <c r="K559" s="24">
        <f t="shared" si="887"/>
        <v>0</v>
      </c>
      <c r="L559" s="24">
        <f t="shared" si="888"/>
        <v>0</v>
      </c>
      <c r="M559" s="24">
        <f t="shared" si="889"/>
        <v>0</v>
      </c>
      <c r="N559" s="33">
        <f t="shared" si="890"/>
        <v>0</v>
      </c>
      <c r="O559" s="21"/>
    </row>
    <row r="560" spans="1:15">
      <c r="A560" s="1968" t="s">
        <v>1145</v>
      </c>
      <c r="B560" s="42">
        <v>415</v>
      </c>
      <c r="C560" s="24">
        <f>+B560</f>
        <v>415</v>
      </c>
      <c r="D560" s="24">
        <f t="shared" ref="D560" si="891">+C560</f>
        <v>415</v>
      </c>
      <c r="E560" s="24">
        <f t="shared" ref="E560" si="892">+D560</f>
        <v>415</v>
      </c>
      <c r="F560" s="24">
        <f t="shared" ref="F560" si="893">+E560</f>
        <v>415</v>
      </c>
      <c r="G560" s="24">
        <f t="shared" ref="G560" si="894">+F560</f>
        <v>415</v>
      </c>
      <c r="H560" s="24">
        <f t="shared" ref="H560" si="895">+G560</f>
        <v>415</v>
      </c>
      <c r="I560" s="24">
        <f t="shared" ref="I560" si="896">+H560</f>
        <v>415</v>
      </c>
      <c r="J560" s="24">
        <f t="shared" ref="J560" si="897">+I560</f>
        <v>415</v>
      </c>
      <c r="K560" s="24">
        <f t="shared" ref="K560" si="898">+J560</f>
        <v>415</v>
      </c>
      <c r="L560" s="24">
        <f t="shared" ref="L560" si="899">+K560</f>
        <v>415</v>
      </c>
      <c r="M560" s="24">
        <f t="shared" ref="M560" si="900">+L560</f>
        <v>415</v>
      </c>
      <c r="N560" s="33">
        <f t="shared" ref="N560" si="901">+M560</f>
        <v>415</v>
      </c>
      <c r="O560" s="21"/>
    </row>
    <row r="561" spans="1:15">
      <c r="A561" s="1967" t="s">
        <v>1146</v>
      </c>
      <c r="B561" s="43"/>
      <c r="C561" s="25" t="e">
        <f t="shared" ref="C561:N561" si="902">1.732*C557*(C554/1000*1+C555/1000*0)*C558/C559</f>
        <v>#DIV/0!</v>
      </c>
      <c r="D561" s="25" t="e">
        <f t="shared" si="902"/>
        <v>#DIV/0!</v>
      </c>
      <c r="E561" s="25" t="e">
        <f t="shared" si="902"/>
        <v>#DIV/0!</v>
      </c>
      <c r="F561" s="25" t="e">
        <f t="shared" si="902"/>
        <v>#DIV/0!</v>
      </c>
      <c r="G561" s="25" t="e">
        <f t="shared" si="902"/>
        <v>#DIV/0!</v>
      </c>
      <c r="H561" s="25" t="e">
        <f t="shared" si="902"/>
        <v>#DIV/0!</v>
      </c>
      <c r="I561" s="25" t="e">
        <f t="shared" si="902"/>
        <v>#DIV/0!</v>
      </c>
      <c r="J561" s="25" t="e">
        <f t="shared" si="902"/>
        <v>#DIV/0!</v>
      </c>
      <c r="K561" s="25" t="e">
        <f t="shared" si="902"/>
        <v>#DIV/0!</v>
      </c>
      <c r="L561" s="25" t="e">
        <f t="shared" si="902"/>
        <v>#DIV/0!</v>
      </c>
      <c r="M561" s="25" t="e">
        <f t="shared" si="902"/>
        <v>#DIV/0!</v>
      </c>
      <c r="N561" s="34" t="e">
        <f t="shared" si="902"/>
        <v>#DIV/0!</v>
      </c>
      <c r="O561" s="21"/>
    </row>
    <row r="562" spans="1:15">
      <c r="A562" s="1967" t="s">
        <v>1147</v>
      </c>
      <c r="B562" s="43"/>
      <c r="C562" s="1965" t="e">
        <f>C561/C560</f>
        <v>#DIV/0!</v>
      </c>
      <c r="D562" s="1965" t="e">
        <f t="shared" ref="D562:N562" si="903">D561/D560</f>
        <v>#DIV/0!</v>
      </c>
      <c r="E562" s="1965" t="e">
        <f t="shared" si="903"/>
        <v>#DIV/0!</v>
      </c>
      <c r="F562" s="1965" t="e">
        <f t="shared" si="903"/>
        <v>#DIV/0!</v>
      </c>
      <c r="G562" s="1965" t="e">
        <f t="shared" si="903"/>
        <v>#DIV/0!</v>
      </c>
      <c r="H562" s="1965" t="e">
        <f t="shared" si="903"/>
        <v>#DIV/0!</v>
      </c>
      <c r="I562" s="1965" t="e">
        <f t="shared" si="903"/>
        <v>#DIV/0!</v>
      </c>
      <c r="J562" s="1965" t="e">
        <f t="shared" si="903"/>
        <v>#DIV/0!</v>
      </c>
      <c r="K562" s="1965" t="e">
        <f t="shared" si="903"/>
        <v>#DIV/0!</v>
      </c>
      <c r="L562" s="1965" t="e">
        <f t="shared" si="903"/>
        <v>#DIV/0!</v>
      </c>
      <c r="M562" s="1965" t="e">
        <f t="shared" si="903"/>
        <v>#DIV/0!</v>
      </c>
      <c r="N562" s="1969" t="e">
        <f t="shared" si="903"/>
        <v>#DIV/0!</v>
      </c>
      <c r="O562" s="21"/>
    </row>
    <row r="563" spans="1:15">
      <c r="A563" s="1968" t="s">
        <v>1148</v>
      </c>
      <c r="B563" s="1966">
        <v>0.02</v>
      </c>
      <c r="C563" s="24" t="e">
        <f>IF(AND((C557*1.25)&lt;(C551*C559),(C562&lt;$B$16)),"PASS","FAIL")</f>
        <v>#DIV/0!</v>
      </c>
      <c r="D563" s="24" t="e">
        <f>IF(AND((D557*1.25)&lt;(D551*D559),(D562&lt;$B$16)),"PASS","FAIL")</f>
        <v>#DIV/0!</v>
      </c>
      <c r="E563" s="24" t="e">
        <f>IF(AND((E557*1.25)&lt;(E551*E559),(E562&lt;$B$16)),"PASS","FAIL")</f>
        <v>#DIV/0!</v>
      </c>
      <c r="F563" s="24" t="e">
        <f>IF(AND((F557*1.25)&lt;(F551*F559),(F562&lt;$B$16)),"PASS","FAIL")</f>
        <v>#DIV/0!</v>
      </c>
      <c r="G563" s="24" t="e">
        <f>IF(AND((G557*1.25)&lt;(G551*G559),(G562&lt;$B$16)),"PASS","FAIL")</f>
        <v>#DIV/0!</v>
      </c>
      <c r="H563" s="24" t="e">
        <f>IF(AND((H557*1.1)&lt;(H551*H559),(H562&lt;$B$16)),"PASS","FAIL")</f>
        <v>#DIV/0!</v>
      </c>
      <c r="I563" s="24" t="e">
        <f t="shared" ref="I563:N563" si="904">IF(AND((I557*1.25)&lt;(I551*I559),(I562&lt;$B$16)),"PASS","FAIL")</f>
        <v>#DIV/0!</v>
      </c>
      <c r="J563" s="24" t="e">
        <f t="shared" si="904"/>
        <v>#DIV/0!</v>
      </c>
      <c r="K563" s="24" t="e">
        <f t="shared" si="904"/>
        <v>#DIV/0!</v>
      </c>
      <c r="L563" s="24" t="e">
        <f t="shared" si="904"/>
        <v>#DIV/0!</v>
      </c>
      <c r="M563" s="24" t="e">
        <f t="shared" si="904"/>
        <v>#DIV/0!</v>
      </c>
      <c r="N563" s="33" t="e">
        <f t="shared" si="904"/>
        <v>#DIV/0!</v>
      </c>
      <c r="O563" s="21"/>
    </row>
    <row r="564" spans="1:15" ht="18.600000000000001" thickBot="1">
      <c r="A564" s="1970" t="s">
        <v>1149</v>
      </c>
      <c r="B564" s="1971"/>
      <c r="C564" s="1972" t="e">
        <f t="shared" ref="C564:N564" si="905">IF(AND((C557*1.25)&lt;(C552*C559),(C562&lt;$B$16)),"PASS","FAIL")</f>
        <v>#DIV/0!</v>
      </c>
      <c r="D564" s="1972" t="e">
        <f t="shared" si="905"/>
        <v>#DIV/0!</v>
      </c>
      <c r="E564" s="1972" t="e">
        <f t="shared" si="905"/>
        <v>#DIV/0!</v>
      </c>
      <c r="F564" s="1972" t="e">
        <f t="shared" si="905"/>
        <v>#DIV/0!</v>
      </c>
      <c r="G564" s="1972" t="e">
        <f t="shared" si="905"/>
        <v>#DIV/0!</v>
      </c>
      <c r="H564" s="1972" t="e">
        <f t="shared" si="905"/>
        <v>#DIV/0!</v>
      </c>
      <c r="I564" s="1972" t="e">
        <f t="shared" si="905"/>
        <v>#DIV/0!</v>
      </c>
      <c r="J564" s="1972" t="e">
        <f t="shared" si="905"/>
        <v>#DIV/0!</v>
      </c>
      <c r="K564" s="1972" t="e">
        <f t="shared" si="905"/>
        <v>#DIV/0!</v>
      </c>
      <c r="L564" s="1972" t="e">
        <f t="shared" si="905"/>
        <v>#DIV/0!</v>
      </c>
      <c r="M564" s="1972" t="e">
        <f t="shared" si="905"/>
        <v>#DIV/0!</v>
      </c>
      <c r="N564" s="1973" t="e">
        <f t="shared" si="905"/>
        <v>#DIV/0!</v>
      </c>
      <c r="O564" s="21"/>
    </row>
    <row r="565" spans="1:15">
      <c r="A565" s="1963">
        <f>('Input''s from Initial Design'!W106*1000/(1.732*440*1))</f>
        <v>0</v>
      </c>
      <c r="B565" s="1964" t="s">
        <v>1150</v>
      </c>
      <c r="C565" s="26"/>
      <c r="D565" s="3213"/>
      <c r="E565" s="3213"/>
      <c r="F565" s="3213"/>
      <c r="G565" s="21"/>
      <c r="H565" s="21"/>
      <c r="I565" s="21"/>
      <c r="J565" s="21"/>
    </row>
    <row r="566" spans="1:15">
      <c r="A566" s="21"/>
      <c r="B566" s="21"/>
      <c r="C566" s="26"/>
      <c r="D566" s="21"/>
      <c r="E566" s="21">
        <v>24</v>
      </c>
      <c r="F566" s="21"/>
      <c r="G566" s="27"/>
      <c r="H566" s="21"/>
      <c r="I566" s="21"/>
      <c r="J566" s="21"/>
    </row>
    <row r="567" spans="1:15">
      <c r="A567" s="28" t="s">
        <v>1148</v>
      </c>
      <c r="B567" s="29" t="e">
        <f>IF(C563="FAIL",IF(D563="FAIL",IF(E563="FAIL",IF(F563="FAIL",IF(G563="FAIL",IF(H563="FAIL",IF(I563="FAIL",IF(J563="FAIL",IF(K563="FAIL",IF(L563="FAIL",IF(M563="FAIL","NO MATCH",$M$1),$L$1),$K$1),$J$1),$I$1),$H$1),$G$1),$F$1),$E$1),$D$1),$C$1)</f>
        <v>#DIV/0!</v>
      </c>
      <c r="C567" s="30" t="s">
        <v>1151</v>
      </c>
      <c r="D567" s="21"/>
      <c r="E567" s="21"/>
      <c r="F567" s="21"/>
      <c r="G567" s="21"/>
      <c r="H567" s="26"/>
      <c r="I567" s="21"/>
      <c r="J567" s="21"/>
      <c r="K567" s="21"/>
      <c r="L567" s="21"/>
      <c r="N567" s="21"/>
      <c r="O567" s="21"/>
    </row>
    <row r="568" spans="1:15">
      <c r="A568" s="28" t="s">
        <v>1149</v>
      </c>
      <c r="B568" s="29" t="e">
        <f>IF(C564="FAIL",IF(D564="FAIL",IF(E564="FAIL",IF(F564="FAIL",IF(G564="FAIL",IF(H564="FAIL",IF(I564="FAIL",IF(J564="FAIL",IF(K564="FAIL",IF(L564="FAIL",IF(M564="FAIL","NO MATCH",$M$1),$L$1),$K$1),$J$1),$I$1),$H$1),$G$1),$F$1),$E$1),$D$1),$C$1)</f>
        <v>#DIV/0!</v>
      </c>
      <c r="C568" s="30" t="s">
        <v>1151</v>
      </c>
      <c r="D568" s="21"/>
      <c r="E568" s="21"/>
      <c r="F568" s="21"/>
      <c r="G568" s="21"/>
      <c r="H568" s="26"/>
      <c r="I568" s="21"/>
      <c r="J568" s="21"/>
      <c r="K568" s="21"/>
      <c r="L568" s="21"/>
      <c r="N568" s="21"/>
      <c r="O568" s="21"/>
    </row>
    <row r="569" spans="1:15" ht="18.600000000000001" thickBot="1"/>
    <row r="570" spans="1:15" s="23" customFormat="1">
      <c r="A570" s="3214" t="s">
        <v>1122</v>
      </c>
      <c r="B570" s="3216"/>
      <c r="C570" s="35">
        <v>16</v>
      </c>
      <c r="D570" s="36">
        <v>25</v>
      </c>
      <c r="E570" s="36">
        <v>35</v>
      </c>
      <c r="F570" s="36">
        <v>50</v>
      </c>
      <c r="G570" s="36">
        <v>70</v>
      </c>
      <c r="H570" s="36">
        <v>95</v>
      </c>
      <c r="I570" s="36">
        <v>120</v>
      </c>
      <c r="J570" s="36">
        <v>150</v>
      </c>
      <c r="K570" s="36">
        <v>185</v>
      </c>
      <c r="L570" s="36">
        <v>240</v>
      </c>
      <c r="M570" s="36">
        <v>300</v>
      </c>
      <c r="N570" s="37">
        <v>400</v>
      </c>
      <c r="O570" s="22"/>
    </row>
    <row r="571" spans="1:15" s="23" customFormat="1" ht="18.600000000000001" thickBot="1">
      <c r="A571" s="3215"/>
      <c r="B571" s="3217"/>
      <c r="C571" s="1978" t="s">
        <v>1123</v>
      </c>
      <c r="D571" s="1979" t="s">
        <v>1124</v>
      </c>
      <c r="E571" s="1979" t="s">
        <v>1125</v>
      </c>
      <c r="F571" s="1979" t="s">
        <v>1126</v>
      </c>
      <c r="G571" s="1979" t="s">
        <v>1127</v>
      </c>
      <c r="H571" s="1979" t="s">
        <v>1128</v>
      </c>
      <c r="I571" s="1979" t="s">
        <v>1129</v>
      </c>
      <c r="J571" s="1979" t="s">
        <v>1130</v>
      </c>
      <c r="K571" s="1979" t="s">
        <v>1131</v>
      </c>
      <c r="L571" s="1979" t="s">
        <v>1132</v>
      </c>
      <c r="M571" s="1979" t="s">
        <v>1133</v>
      </c>
      <c r="N571" s="1980" t="s">
        <v>1134</v>
      </c>
      <c r="O571" s="22"/>
    </row>
    <row r="572" spans="1:15">
      <c r="A572" s="1981" t="s">
        <v>1135</v>
      </c>
      <c r="B572" s="1982"/>
      <c r="C572" s="31">
        <v>74</v>
      </c>
      <c r="D572" s="31">
        <v>94</v>
      </c>
      <c r="E572" s="31">
        <v>113</v>
      </c>
      <c r="F572" s="31">
        <v>133</v>
      </c>
      <c r="G572" s="31">
        <v>164</v>
      </c>
      <c r="H572" s="31">
        <v>196</v>
      </c>
      <c r="I572" s="31">
        <v>223</v>
      </c>
      <c r="J572" s="31">
        <v>249</v>
      </c>
      <c r="K572" s="31">
        <v>282</v>
      </c>
      <c r="L572" s="31">
        <v>326</v>
      </c>
      <c r="M572" s="31">
        <v>367</v>
      </c>
      <c r="N572" s="32">
        <v>418</v>
      </c>
      <c r="O572" s="21"/>
    </row>
    <row r="573" spans="1:15">
      <c r="A573" s="1967" t="s">
        <v>1136</v>
      </c>
      <c r="B573" s="43"/>
      <c r="C573" s="24">
        <v>74</v>
      </c>
      <c r="D573" s="24">
        <v>96</v>
      </c>
      <c r="E573" s="24">
        <v>117</v>
      </c>
      <c r="F573" s="24">
        <v>142</v>
      </c>
      <c r="G573" s="24">
        <v>179</v>
      </c>
      <c r="H573" s="24">
        <v>221</v>
      </c>
      <c r="I573" s="24">
        <v>257</v>
      </c>
      <c r="J573" s="24">
        <v>292</v>
      </c>
      <c r="K573" s="24">
        <v>337</v>
      </c>
      <c r="L573" s="24">
        <v>399</v>
      </c>
      <c r="M573" s="24">
        <v>455</v>
      </c>
      <c r="N573" s="33">
        <v>530</v>
      </c>
      <c r="O573" s="21"/>
    </row>
    <row r="574" spans="1:15" ht="22.5" customHeight="1">
      <c r="A574" s="1967" t="s">
        <v>1137</v>
      </c>
      <c r="B574" s="42">
        <v>0.7</v>
      </c>
      <c r="C574" s="24">
        <f>B574</f>
        <v>0.7</v>
      </c>
      <c r="D574" s="24">
        <f>C574</f>
        <v>0.7</v>
      </c>
      <c r="E574" s="24">
        <f t="shared" ref="E574" si="906">D574</f>
        <v>0.7</v>
      </c>
      <c r="F574" s="24">
        <f t="shared" ref="F574" si="907">E574</f>
        <v>0.7</v>
      </c>
      <c r="G574" s="24">
        <f t="shared" ref="G574" si="908">F574</f>
        <v>0.7</v>
      </c>
      <c r="H574" s="24">
        <f t="shared" ref="H574" si="909">G574</f>
        <v>0.7</v>
      </c>
      <c r="I574" s="24">
        <f t="shared" ref="I574" si="910">H574</f>
        <v>0.7</v>
      </c>
      <c r="J574" s="24">
        <f t="shared" ref="J574" si="911">I574</f>
        <v>0.7</v>
      </c>
      <c r="K574" s="24">
        <f t="shared" ref="K574" si="912">J574</f>
        <v>0.7</v>
      </c>
      <c r="L574" s="24">
        <f t="shared" ref="L574" si="913">K574</f>
        <v>0.7</v>
      </c>
      <c r="M574" s="24">
        <f>L574</f>
        <v>0.7</v>
      </c>
      <c r="N574" s="33">
        <f>M574</f>
        <v>0.7</v>
      </c>
      <c r="O574" s="21"/>
    </row>
    <row r="575" spans="1:15">
      <c r="A575" s="1967" t="s">
        <v>1138</v>
      </c>
      <c r="B575" s="43"/>
      <c r="C575" s="24">
        <f>C572*C574</f>
        <v>51.8</v>
      </c>
      <c r="D575" s="24">
        <f t="shared" ref="D575:G575" si="914">D572*D574</f>
        <v>65.8</v>
      </c>
      <c r="E575" s="24">
        <f t="shared" si="914"/>
        <v>79.099999999999994</v>
      </c>
      <c r="F575" s="24">
        <f t="shared" si="914"/>
        <v>93.1</v>
      </c>
      <c r="G575" s="24">
        <f t="shared" si="914"/>
        <v>114.8</v>
      </c>
      <c r="H575" s="24">
        <f>H572*H574</f>
        <v>137.19999999999999</v>
      </c>
      <c r="I575" s="24">
        <f t="shared" ref="I575:N575" si="915">I572*I574</f>
        <v>156.1</v>
      </c>
      <c r="J575" s="24">
        <f t="shared" si="915"/>
        <v>174.29999999999998</v>
      </c>
      <c r="K575" s="24">
        <f t="shared" si="915"/>
        <v>197.39999999999998</v>
      </c>
      <c r="L575" s="24">
        <f t="shared" si="915"/>
        <v>228.2</v>
      </c>
      <c r="M575" s="24">
        <f t="shared" si="915"/>
        <v>256.89999999999998</v>
      </c>
      <c r="N575" s="33">
        <f t="shared" si="915"/>
        <v>292.59999999999997</v>
      </c>
      <c r="O575" s="21"/>
    </row>
    <row r="576" spans="1:15">
      <c r="A576" s="1967" t="s">
        <v>1139</v>
      </c>
      <c r="B576" s="43"/>
      <c r="C576" s="24">
        <f>C573*C574</f>
        <v>51.8</v>
      </c>
      <c r="D576" s="24">
        <f>D573*D574</f>
        <v>67.199999999999989</v>
      </c>
      <c r="E576" s="24">
        <f t="shared" ref="E576:G576" si="916">E573*E574</f>
        <v>81.899999999999991</v>
      </c>
      <c r="F576" s="24">
        <f t="shared" si="916"/>
        <v>99.399999999999991</v>
      </c>
      <c r="G576" s="24">
        <f t="shared" si="916"/>
        <v>125.3</v>
      </c>
      <c r="H576" s="24">
        <f>H573*H574</f>
        <v>154.69999999999999</v>
      </c>
      <c r="I576" s="24">
        <f t="shared" ref="I576:N576" si="917">I573*I574</f>
        <v>179.89999999999998</v>
      </c>
      <c r="J576" s="24">
        <f t="shared" si="917"/>
        <v>204.39999999999998</v>
      </c>
      <c r="K576" s="24">
        <f t="shared" si="917"/>
        <v>235.89999999999998</v>
      </c>
      <c r="L576" s="24">
        <f t="shared" si="917"/>
        <v>279.29999999999995</v>
      </c>
      <c r="M576" s="24">
        <f t="shared" si="917"/>
        <v>318.5</v>
      </c>
      <c r="N576" s="33">
        <f t="shared" si="917"/>
        <v>371</v>
      </c>
      <c r="O576" s="21"/>
    </row>
    <row r="577" spans="1:15">
      <c r="A577" s="1967"/>
      <c r="B577" s="43"/>
      <c r="C577" s="24"/>
      <c r="D577" s="24"/>
      <c r="E577" s="24"/>
      <c r="F577" s="24"/>
      <c r="G577" s="24"/>
      <c r="H577" s="24"/>
      <c r="I577" s="24"/>
      <c r="J577" s="24"/>
      <c r="K577" s="24"/>
      <c r="L577" s="24"/>
      <c r="M577" s="24"/>
      <c r="N577" s="33"/>
      <c r="O577" s="21"/>
    </row>
    <row r="578" spans="1:15">
      <c r="A578" s="1967" t="s">
        <v>1140</v>
      </c>
      <c r="B578" s="43"/>
      <c r="C578" s="24">
        <v>2.44</v>
      </c>
      <c r="D578" s="24">
        <v>1.54</v>
      </c>
      <c r="E578" s="24">
        <v>1.1100000000000001</v>
      </c>
      <c r="F578" s="24">
        <v>0.82</v>
      </c>
      <c r="G578" s="24">
        <v>0.56699999999999995</v>
      </c>
      <c r="H578" s="24">
        <v>0.41</v>
      </c>
      <c r="I578" s="24">
        <v>0.32400000000000001</v>
      </c>
      <c r="J578" s="24">
        <v>0.26400000000000001</v>
      </c>
      <c r="K578" s="24">
        <v>0.21</v>
      </c>
      <c r="L578" s="24">
        <v>0.16</v>
      </c>
      <c r="M578" s="24">
        <v>0.128</v>
      </c>
      <c r="N578" s="33">
        <v>0.1</v>
      </c>
      <c r="O578" s="21"/>
    </row>
    <row r="579" spans="1:15">
      <c r="A579" s="1967" t="s">
        <v>1141</v>
      </c>
      <c r="B579" s="43"/>
      <c r="C579" s="24">
        <v>8.0799999999999997E-2</v>
      </c>
      <c r="D579" s="24">
        <v>8.0500000000000002E-2</v>
      </c>
      <c r="E579" s="24">
        <v>7.8299999999999995E-2</v>
      </c>
      <c r="F579" s="24">
        <v>7.4999999999999997E-2</v>
      </c>
      <c r="G579" s="24">
        <v>7.3999999999999996E-2</v>
      </c>
      <c r="H579" s="24">
        <v>7.2400000000000006E-2</v>
      </c>
      <c r="I579" s="24">
        <v>7.1199999999999999E-2</v>
      </c>
      <c r="J579" s="24">
        <v>7.1599999999999997E-2</v>
      </c>
      <c r="K579" s="24">
        <v>7.1800000000000003E-2</v>
      </c>
      <c r="L579" s="24">
        <v>7.0999999999999994E-2</v>
      </c>
      <c r="M579" s="24">
        <v>7.0499999999999993E-2</v>
      </c>
      <c r="N579" s="33">
        <v>7.0400000000000004E-2</v>
      </c>
      <c r="O579" s="21"/>
    </row>
    <row r="580" spans="1:15">
      <c r="A580" s="1967"/>
      <c r="B580" s="43"/>
      <c r="C580" s="24"/>
      <c r="D580" s="24"/>
      <c r="E580" s="24"/>
      <c r="F580" s="24"/>
      <c r="G580" s="24"/>
      <c r="H580" s="24"/>
      <c r="I580" s="24"/>
      <c r="J580" s="24"/>
      <c r="K580" s="24"/>
      <c r="L580" s="24"/>
      <c r="M580" s="24"/>
      <c r="N580" s="33"/>
      <c r="O580" s="21"/>
    </row>
    <row r="581" spans="1:15" ht="24.75" customHeight="1">
      <c r="A581" s="1968" t="s">
        <v>1142</v>
      </c>
      <c r="B581" s="41">
        <f>A589</f>
        <v>0</v>
      </c>
      <c r="C581" s="24">
        <f t="shared" ref="C581:C583" si="918">B581</f>
        <v>0</v>
      </c>
      <c r="D581" s="24">
        <f t="shared" ref="D581:D583" si="919">C581</f>
        <v>0</v>
      </c>
      <c r="E581" s="24">
        <f t="shared" ref="E581:E583" si="920">D581</f>
        <v>0</v>
      </c>
      <c r="F581" s="24">
        <f t="shared" ref="F581:F583" si="921">E581</f>
        <v>0</v>
      </c>
      <c r="G581" s="24">
        <f t="shared" ref="G581:G583" si="922">F581</f>
        <v>0</v>
      </c>
      <c r="H581" s="24">
        <f t="shared" ref="H581:H583" si="923">G581</f>
        <v>0</v>
      </c>
      <c r="I581" s="24">
        <f t="shared" ref="I581:I583" si="924">H581</f>
        <v>0</v>
      </c>
      <c r="J581" s="24">
        <f t="shared" ref="J581:J583" si="925">I581</f>
        <v>0</v>
      </c>
      <c r="K581" s="24">
        <f t="shared" ref="K581:K583" si="926">J581</f>
        <v>0</v>
      </c>
      <c r="L581" s="24">
        <f t="shared" ref="L581:L583" si="927">K581</f>
        <v>0</v>
      </c>
      <c r="M581" s="24">
        <f t="shared" ref="M581:M583" si="928">L581</f>
        <v>0</v>
      </c>
      <c r="N581" s="33">
        <f t="shared" ref="N581:N583" si="929">M581</f>
        <v>0</v>
      </c>
      <c r="O581" s="21"/>
    </row>
    <row r="582" spans="1:15">
      <c r="A582" s="1968" t="s">
        <v>1143</v>
      </c>
      <c r="B582" s="42">
        <f>'Input''s from Initial Design'!X108</f>
        <v>0</v>
      </c>
      <c r="C582" s="24">
        <f t="shared" si="918"/>
        <v>0</v>
      </c>
      <c r="D582" s="24">
        <f t="shared" si="919"/>
        <v>0</v>
      </c>
      <c r="E582" s="24">
        <f t="shared" si="920"/>
        <v>0</v>
      </c>
      <c r="F582" s="24">
        <f t="shared" si="921"/>
        <v>0</v>
      </c>
      <c r="G582" s="24">
        <f t="shared" si="922"/>
        <v>0</v>
      </c>
      <c r="H582" s="24">
        <f t="shared" si="923"/>
        <v>0</v>
      </c>
      <c r="I582" s="24">
        <f t="shared" si="924"/>
        <v>0</v>
      </c>
      <c r="J582" s="24">
        <f t="shared" si="925"/>
        <v>0</v>
      </c>
      <c r="K582" s="24">
        <f t="shared" si="926"/>
        <v>0</v>
      </c>
      <c r="L582" s="24">
        <f t="shared" si="927"/>
        <v>0</v>
      </c>
      <c r="M582" s="24">
        <f t="shared" si="928"/>
        <v>0</v>
      </c>
      <c r="N582" s="33">
        <f t="shared" si="929"/>
        <v>0</v>
      </c>
      <c r="O582" s="21"/>
    </row>
    <row r="583" spans="1:15">
      <c r="A583" s="1968" t="s">
        <v>1144</v>
      </c>
      <c r="B583" s="42">
        <f>'Input''s from Initial Design'!Y108</f>
        <v>0</v>
      </c>
      <c r="C583" s="24">
        <f t="shared" si="918"/>
        <v>0</v>
      </c>
      <c r="D583" s="24">
        <f t="shared" si="919"/>
        <v>0</v>
      </c>
      <c r="E583" s="24">
        <f t="shared" si="920"/>
        <v>0</v>
      </c>
      <c r="F583" s="24">
        <f t="shared" si="921"/>
        <v>0</v>
      </c>
      <c r="G583" s="24">
        <f t="shared" si="922"/>
        <v>0</v>
      </c>
      <c r="H583" s="24">
        <f t="shared" si="923"/>
        <v>0</v>
      </c>
      <c r="I583" s="24">
        <f t="shared" si="924"/>
        <v>0</v>
      </c>
      <c r="J583" s="24">
        <f t="shared" si="925"/>
        <v>0</v>
      </c>
      <c r="K583" s="24">
        <f t="shared" si="926"/>
        <v>0</v>
      </c>
      <c r="L583" s="24">
        <f t="shared" si="927"/>
        <v>0</v>
      </c>
      <c r="M583" s="24">
        <f t="shared" si="928"/>
        <v>0</v>
      </c>
      <c r="N583" s="33">
        <f t="shared" si="929"/>
        <v>0</v>
      </c>
      <c r="O583" s="21"/>
    </row>
    <row r="584" spans="1:15">
      <c r="A584" s="1968" t="s">
        <v>1145</v>
      </c>
      <c r="B584" s="42">
        <v>415</v>
      </c>
      <c r="C584" s="24">
        <f>+B584</f>
        <v>415</v>
      </c>
      <c r="D584" s="24">
        <f t="shared" ref="D584" si="930">+C584</f>
        <v>415</v>
      </c>
      <c r="E584" s="24">
        <f t="shared" ref="E584" si="931">+D584</f>
        <v>415</v>
      </c>
      <c r="F584" s="24">
        <f t="shared" ref="F584" si="932">+E584</f>
        <v>415</v>
      </c>
      <c r="G584" s="24">
        <f t="shared" ref="G584" si="933">+F584</f>
        <v>415</v>
      </c>
      <c r="H584" s="24">
        <f t="shared" ref="H584" si="934">+G584</f>
        <v>415</v>
      </c>
      <c r="I584" s="24">
        <f t="shared" ref="I584" si="935">+H584</f>
        <v>415</v>
      </c>
      <c r="J584" s="24">
        <f t="shared" ref="J584" si="936">+I584</f>
        <v>415</v>
      </c>
      <c r="K584" s="24">
        <f t="shared" ref="K584" si="937">+J584</f>
        <v>415</v>
      </c>
      <c r="L584" s="24">
        <f t="shared" ref="L584" si="938">+K584</f>
        <v>415</v>
      </c>
      <c r="M584" s="24">
        <f t="shared" ref="M584" si="939">+L584</f>
        <v>415</v>
      </c>
      <c r="N584" s="33">
        <f t="shared" ref="N584" si="940">+M584</f>
        <v>415</v>
      </c>
      <c r="O584" s="21"/>
    </row>
    <row r="585" spans="1:15">
      <c r="A585" s="1967" t="s">
        <v>1146</v>
      </c>
      <c r="B585" s="43"/>
      <c r="C585" s="25" t="e">
        <f t="shared" ref="C585:N585" si="941">1.732*C581*(C578/1000*1+C579/1000*0)*C582/C583</f>
        <v>#DIV/0!</v>
      </c>
      <c r="D585" s="25" t="e">
        <f t="shared" si="941"/>
        <v>#DIV/0!</v>
      </c>
      <c r="E585" s="25" t="e">
        <f t="shared" si="941"/>
        <v>#DIV/0!</v>
      </c>
      <c r="F585" s="25" t="e">
        <f t="shared" si="941"/>
        <v>#DIV/0!</v>
      </c>
      <c r="G585" s="25" t="e">
        <f t="shared" si="941"/>
        <v>#DIV/0!</v>
      </c>
      <c r="H585" s="25" t="e">
        <f t="shared" si="941"/>
        <v>#DIV/0!</v>
      </c>
      <c r="I585" s="25" t="e">
        <f t="shared" si="941"/>
        <v>#DIV/0!</v>
      </c>
      <c r="J585" s="25" t="e">
        <f t="shared" si="941"/>
        <v>#DIV/0!</v>
      </c>
      <c r="K585" s="25" t="e">
        <f t="shared" si="941"/>
        <v>#DIV/0!</v>
      </c>
      <c r="L585" s="25" t="e">
        <f t="shared" si="941"/>
        <v>#DIV/0!</v>
      </c>
      <c r="M585" s="25" t="e">
        <f t="shared" si="941"/>
        <v>#DIV/0!</v>
      </c>
      <c r="N585" s="34" t="e">
        <f t="shared" si="941"/>
        <v>#DIV/0!</v>
      </c>
      <c r="O585" s="21"/>
    </row>
    <row r="586" spans="1:15">
      <c r="A586" s="1967" t="s">
        <v>1147</v>
      </c>
      <c r="B586" s="43"/>
      <c r="C586" s="1965" t="e">
        <f>C585/C584</f>
        <v>#DIV/0!</v>
      </c>
      <c r="D586" s="1965" t="e">
        <f t="shared" ref="D586:N586" si="942">D585/D584</f>
        <v>#DIV/0!</v>
      </c>
      <c r="E586" s="1965" t="e">
        <f t="shared" si="942"/>
        <v>#DIV/0!</v>
      </c>
      <c r="F586" s="1965" t="e">
        <f t="shared" si="942"/>
        <v>#DIV/0!</v>
      </c>
      <c r="G586" s="1965" t="e">
        <f t="shared" si="942"/>
        <v>#DIV/0!</v>
      </c>
      <c r="H586" s="1965" t="e">
        <f t="shared" si="942"/>
        <v>#DIV/0!</v>
      </c>
      <c r="I586" s="1965" t="e">
        <f t="shared" si="942"/>
        <v>#DIV/0!</v>
      </c>
      <c r="J586" s="1965" t="e">
        <f t="shared" si="942"/>
        <v>#DIV/0!</v>
      </c>
      <c r="K586" s="1965" t="e">
        <f t="shared" si="942"/>
        <v>#DIV/0!</v>
      </c>
      <c r="L586" s="1965" t="e">
        <f t="shared" si="942"/>
        <v>#DIV/0!</v>
      </c>
      <c r="M586" s="1965" t="e">
        <f t="shared" si="942"/>
        <v>#DIV/0!</v>
      </c>
      <c r="N586" s="1969" t="e">
        <f t="shared" si="942"/>
        <v>#DIV/0!</v>
      </c>
      <c r="O586" s="21"/>
    </row>
    <row r="587" spans="1:15">
      <c r="A587" s="1968" t="s">
        <v>1148</v>
      </c>
      <c r="B587" s="1966">
        <v>0.02</v>
      </c>
      <c r="C587" s="24" t="e">
        <f>IF(AND((C581*1.25)&lt;(C575*C583),(C586&lt;$B$16)),"PASS","FAIL")</f>
        <v>#DIV/0!</v>
      </c>
      <c r="D587" s="24" t="e">
        <f>IF(AND((D581*1.25)&lt;(D575*D583),(D586&lt;$B$16)),"PASS","FAIL")</f>
        <v>#DIV/0!</v>
      </c>
      <c r="E587" s="24" t="e">
        <f>IF(AND((E581*1.25)&lt;(E575*E583),(E586&lt;$B$16)),"PASS","FAIL")</f>
        <v>#DIV/0!</v>
      </c>
      <c r="F587" s="24" t="e">
        <f>IF(AND((F581*1.25)&lt;(F575*F583),(F586&lt;$B$16)),"PASS","FAIL")</f>
        <v>#DIV/0!</v>
      </c>
      <c r="G587" s="24" t="e">
        <f>IF(AND((G581*1.25)&lt;(G575*G583),(G586&lt;$B$16)),"PASS","FAIL")</f>
        <v>#DIV/0!</v>
      </c>
      <c r="H587" s="24" t="e">
        <f>IF(AND((H581*1.1)&lt;(H575*H583),(H586&lt;$B$16)),"PASS","FAIL")</f>
        <v>#DIV/0!</v>
      </c>
      <c r="I587" s="24" t="e">
        <f t="shared" ref="I587:N587" si="943">IF(AND((I581*1.25)&lt;(I575*I583),(I586&lt;$B$16)),"PASS","FAIL")</f>
        <v>#DIV/0!</v>
      </c>
      <c r="J587" s="24" t="e">
        <f t="shared" si="943"/>
        <v>#DIV/0!</v>
      </c>
      <c r="K587" s="24" t="e">
        <f t="shared" si="943"/>
        <v>#DIV/0!</v>
      </c>
      <c r="L587" s="24" t="e">
        <f t="shared" si="943"/>
        <v>#DIV/0!</v>
      </c>
      <c r="M587" s="24" t="e">
        <f t="shared" si="943"/>
        <v>#DIV/0!</v>
      </c>
      <c r="N587" s="33" t="e">
        <f t="shared" si="943"/>
        <v>#DIV/0!</v>
      </c>
      <c r="O587" s="21"/>
    </row>
    <row r="588" spans="1:15" ht="18.600000000000001" thickBot="1">
      <c r="A588" s="1970" t="s">
        <v>1149</v>
      </c>
      <c r="B588" s="1971"/>
      <c r="C588" s="1972" t="e">
        <f t="shared" ref="C588:N588" si="944">IF(AND((C581*1.25)&lt;(C576*C583),(C586&lt;$B$16)),"PASS","FAIL")</f>
        <v>#DIV/0!</v>
      </c>
      <c r="D588" s="1972" t="e">
        <f t="shared" si="944"/>
        <v>#DIV/0!</v>
      </c>
      <c r="E588" s="1972" t="e">
        <f t="shared" si="944"/>
        <v>#DIV/0!</v>
      </c>
      <c r="F588" s="1972" t="e">
        <f t="shared" si="944"/>
        <v>#DIV/0!</v>
      </c>
      <c r="G588" s="1972" t="e">
        <f t="shared" si="944"/>
        <v>#DIV/0!</v>
      </c>
      <c r="H588" s="1972" t="e">
        <f t="shared" si="944"/>
        <v>#DIV/0!</v>
      </c>
      <c r="I588" s="1972" t="e">
        <f t="shared" si="944"/>
        <v>#DIV/0!</v>
      </c>
      <c r="J588" s="1972" t="e">
        <f t="shared" si="944"/>
        <v>#DIV/0!</v>
      </c>
      <c r="K588" s="1972" t="e">
        <f t="shared" si="944"/>
        <v>#DIV/0!</v>
      </c>
      <c r="L588" s="1972" t="e">
        <f t="shared" si="944"/>
        <v>#DIV/0!</v>
      </c>
      <c r="M588" s="1972" t="e">
        <f t="shared" si="944"/>
        <v>#DIV/0!</v>
      </c>
      <c r="N588" s="1973" t="e">
        <f t="shared" si="944"/>
        <v>#DIV/0!</v>
      </c>
      <c r="O588" s="21"/>
    </row>
    <row r="589" spans="1:15">
      <c r="A589" s="1963">
        <f>('Input''s from Initial Design'!W108*1000/(1.732*440*1))</f>
        <v>0</v>
      </c>
      <c r="B589" s="1964" t="s">
        <v>1150</v>
      </c>
      <c r="C589" s="26"/>
      <c r="D589" s="3213"/>
      <c r="E589" s="3213"/>
      <c r="F589" s="3213"/>
      <c r="G589" s="21"/>
      <c r="H589" s="21"/>
      <c r="I589" s="21"/>
      <c r="J589" s="21"/>
    </row>
    <row r="590" spans="1:15">
      <c r="A590" s="21"/>
      <c r="B590" s="21"/>
      <c r="C590" s="26"/>
      <c r="D590" s="21"/>
      <c r="E590" s="21">
        <v>25</v>
      </c>
      <c r="F590" s="21"/>
      <c r="G590" s="27"/>
      <c r="H590" s="21"/>
      <c r="I590" s="21"/>
      <c r="J590" s="21"/>
    </row>
    <row r="591" spans="1:15">
      <c r="A591" s="28" t="s">
        <v>1148</v>
      </c>
      <c r="B591" s="29" t="e">
        <f>IF(C587="FAIL",IF(D587="FAIL",IF(E587="FAIL",IF(F587="FAIL",IF(G587="FAIL",IF(H587="FAIL",IF(I587="FAIL",IF(J587="FAIL",IF(K587="FAIL",IF(L587="FAIL",IF(M587="FAIL","NO MATCH",$M$1),$L$1),$K$1),$J$1),$I$1),$H$1),$G$1),$F$1),$E$1),$D$1),$C$1)</f>
        <v>#DIV/0!</v>
      </c>
      <c r="C591" s="30" t="s">
        <v>1151</v>
      </c>
      <c r="D591" s="21"/>
      <c r="E591" s="21"/>
      <c r="F591" s="21"/>
      <c r="G591" s="21"/>
      <c r="H591" s="26"/>
      <c r="I591" s="21"/>
      <c r="J591" s="21"/>
      <c r="K591" s="21"/>
      <c r="L591" s="21"/>
      <c r="N591" s="21"/>
      <c r="O591" s="21"/>
    </row>
    <row r="592" spans="1:15">
      <c r="A592" s="28" t="s">
        <v>1149</v>
      </c>
      <c r="B592" s="29" t="e">
        <f>IF(C588="FAIL",IF(D588="FAIL",IF(E588="FAIL",IF(F588="FAIL",IF(G588="FAIL",IF(H588="FAIL",IF(I588="FAIL",IF(J588="FAIL",IF(K588="FAIL",IF(L588="FAIL",IF(M588="FAIL","NO MATCH",$M$1),$L$1),$K$1),$J$1),$I$1),$H$1),$G$1),$F$1),$E$1),$D$1),$C$1)</f>
        <v>#DIV/0!</v>
      </c>
      <c r="C592" s="30" t="s">
        <v>1151</v>
      </c>
      <c r="D592" s="21"/>
      <c r="E592" s="21"/>
      <c r="F592" s="21"/>
      <c r="G592" s="21"/>
      <c r="H592" s="26"/>
      <c r="I592" s="21"/>
      <c r="J592" s="21"/>
      <c r="K592" s="21"/>
      <c r="L592" s="21"/>
      <c r="N592" s="21"/>
      <c r="O592" s="21"/>
    </row>
    <row r="593" spans="1:15" ht="18.600000000000001" thickBot="1"/>
    <row r="594" spans="1:15" s="23" customFormat="1">
      <c r="A594" s="3214" t="s">
        <v>1122</v>
      </c>
      <c r="B594" s="3216"/>
      <c r="C594" s="35">
        <v>16</v>
      </c>
      <c r="D594" s="36">
        <v>25</v>
      </c>
      <c r="E594" s="36">
        <v>35</v>
      </c>
      <c r="F594" s="36">
        <v>50</v>
      </c>
      <c r="G594" s="36">
        <v>70</v>
      </c>
      <c r="H594" s="36">
        <v>95</v>
      </c>
      <c r="I594" s="36">
        <v>120</v>
      </c>
      <c r="J594" s="36">
        <v>150</v>
      </c>
      <c r="K594" s="36">
        <v>185</v>
      </c>
      <c r="L594" s="36">
        <v>240</v>
      </c>
      <c r="M594" s="36">
        <v>300</v>
      </c>
      <c r="N594" s="37">
        <v>400</v>
      </c>
      <c r="O594" s="22"/>
    </row>
    <row r="595" spans="1:15" s="23" customFormat="1" ht="18.600000000000001" thickBot="1">
      <c r="A595" s="3215"/>
      <c r="B595" s="3217"/>
      <c r="C595" s="1978" t="s">
        <v>1123</v>
      </c>
      <c r="D595" s="1979" t="s">
        <v>1124</v>
      </c>
      <c r="E595" s="1979" t="s">
        <v>1125</v>
      </c>
      <c r="F595" s="1979" t="s">
        <v>1126</v>
      </c>
      <c r="G595" s="1979" t="s">
        <v>1127</v>
      </c>
      <c r="H595" s="1979" t="s">
        <v>1128</v>
      </c>
      <c r="I595" s="1979" t="s">
        <v>1129</v>
      </c>
      <c r="J595" s="1979" t="s">
        <v>1130</v>
      </c>
      <c r="K595" s="1979" t="s">
        <v>1131</v>
      </c>
      <c r="L595" s="1979" t="s">
        <v>1132</v>
      </c>
      <c r="M595" s="1979" t="s">
        <v>1133</v>
      </c>
      <c r="N595" s="1980" t="s">
        <v>1134</v>
      </c>
      <c r="O595" s="22"/>
    </row>
    <row r="596" spans="1:15">
      <c r="A596" s="1981" t="s">
        <v>1135</v>
      </c>
      <c r="B596" s="1982"/>
      <c r="C596" s="31">
        <v>74</v>
      </c>
      <c r="D596" s="31">
        <v>94</v>
      </c>
      <c r="E596" s="31">
        <v>113</v>
      </c>
      <c r="F596" s="31">
        <v>133</v>
      </c>
      <c r="G596" s="31">
        <v>164</v>
      </c>
      <c r="H596" s="31">
        <v>196</v>
      </c>
      <c r="I596" s="31">
        <v>223</v>
      </c>
      <c r="J596" s="31">
        <v>249</v>
      </c>
      <c r="K596" s="31">
        <v>282</v>
      </c>
      <c r="L596" s="31">
        <v>326</v>
      </c>
      <c r="M596" s="31">
        <v>367</v>
      </c>
      <c r="N596" s="32">
        <v>418</v>
      </c>
      <c r="O596" s="21"/>
    </row>
    <row r="597" spans="1:15">
      <c r="A597" s="1967" t="s">
        <v>1136</v>
      </c>
      <c r="B597" s="43"/>
      <c r="C597" s="24">
        <v>74</v>
      </c>
      <c r="D597" s="24">
        <v>96</v>
      </c>
      <c r="E597" s="24">
        <v>117</v>
      </c>
      <c r="F597" s="24">
        <v>142</v>
      </c>
      <c r="G597" s="24">
        <v>179</v>
      </c>
      <c r="H597" s="24">
        <v>221</v>
      </c>
      <c r="I597" s="24">
        <v>257</v>
      </c>
      <c r="J597" s="24">
        <v>292</v>
      </c>
      <c r="K597" s="24">
        <v>337</v>
      </c>
      <c r="L597" s="24">
        <v>399</v>
      </c>
      <c r="M597" s="24">
        <v>455</v>
      </c>
      <c r="N597" s="33">
        <v>530</v>
      </c>
      <c r="O597" s="21"/>
    </row>
    <row r="598" spans="1:15" ht="22.5" customHeight="1">
      <c r="A598" s="1967" t="s">
        <v>1137</v>
      </c>
      <c r="B598" s="42">
        <v>0.7</v>
      </c>
      <c r="C598" s="24">
        <f>B598</f>
        <v>0.7</v>
      </c>
      <c r="D598" s="24">
        <f>C598</f>
        <v>0.7</v>
      </c>
      <c r="E598" s="24">
        <f t="shared" ref="E598" si="945">D598</f>
        <v>0.7</v>
      </c>
      <c r="F598" s="24">
        <f t="shared" ref="F598" si="946">E598</f>
        <v>0.7</v>
      </c>
      <c r="G598" s="24">
        <f t="shared" ref="G598" si="947">F598</f>
        <v>0.7</v>
      </c>
      <c r="H598" s="24">
        <f t="shared" ref="H598" si="948">G598</f>
        <v>0.7</v>
      </c>
      <c r="I598" s="24">
        <f t="shared" ref="I598" si="949">H598</f>
        <v>0.7</v>
      </c>
      <c r="J598" s="24">
        <f t="shared" ref="J598" si="950">I598</f>
        <v>0.7</v>
      </c>
      <c r="K598" s="24">
        <f t="shared" ref="K598" si="951">J598</f>
        <v>0.7</v>
      </c>
      <c r="L598" s="24">
        <f t="shared" ref="L598" si="952">K598</f>
        <v>0.7</v>
      </c>
      <c r="M598" s="24">
        <f>L598</f>
        <v>0.7</v>
      </c>
      <c r="N598" s="33">
        <f>M598</f>
        <v>0.7</v>
      </c>
      <c r="O598" s="21"/>
    </row>
    <row r="599" spans="1:15">
      <c r="A599" s="1967" t="s">
        <v>1138</v>
      </c>
      <c r="B599" s="43"/>
      <c r="C599" s="24">
        <f>C596*C598</f>
        <v>51.8</v>
      </c>
      <c r="D599" s="24">
        <f t="shared" ref="D599:G599" si="953">D596*D598</f>
        <v>65.8</v>
      </c>
      <c r="E599" s="24">
        <f t="shared" si="953"/>
        <v>79.099999999999994</v>
      </c>
      <c r="F599" s="24">
        <f t="shared" si="953"/>
        <v>93.1</v>
      </c>
      <c r="G599" s="24">
        <f t="shared" si="953"/>
        <v>114.8</v>
      </c>
      <c r="H599" s="24">
        <f>H596*H598</f>
        <v>137.19999999999999</v>
      </c>
      <c r="I599" s="24">
        <f t="shared" ref="I599:N599" si="954">I596*I598</f>
        <v>156.1</v>
      </c>
      <c r="J599" s="24">
        <f t="shared" si="954"/>
        <v>174.29999999999998</v>
      </c>
      <c r="K599" s="24">
        <f t="shared" si="954"/>
        <v>197.39999999999998</v>
      </c>
      <c r="L599" s="24">
        <f t="shared" si="954"/>
        <v>228.2</v>
      </c>
      <c r="M599" s="24">
        <f t="shared" si="954"/>
        <v>256.89999999999998</v>
      </c>
      <c r="N599" s="33">
        <f t="shared" si="954"/>
        <v>292.59999999999997</v>
      </c>
      <c r="O599" s="21"/>
    </row>
    <row r="600" spans="1:15">
      <c r="A600" s="1967" t="s">
        <v>1139</v>
      </c>
      <c r="B600" s="43"/>
      <c r="C600" s="24">
        <f>C597*C598</f>
        <v>51.8</v>
      </c>
      <c r="D600" s="24">
        <f>D597*D598</f>
        <v>67.199999999999989</v>
      </c>
      <c r="E600" s="24">
        <f t="shared" ref="E600:G600" si="955">E597*E598</f>
        <v>81.899999999999991</v>
      </c>
      <c r="F600" s="24">
        <f t="shared" si="955"/>
        <v>99.399999999999991</v>
      </c>
      <c r="G600" s="24">
        <f t="shared" si="955"/>
        <v>125.3</v>
      </c>
      <c r="H600" s="24">
        <f>H597*H598</f>
        <v>154.69999999999999</v>
      </c>
      <c r="I600" s="24">
        <f t="shared" ref="I600:N600" si="956">I597*I598</f>
        <v>179.89999999999998</v>
      </c>
      <c r="J600" s="24">
        <f t="shared" si="956"/>
        <v>204.39999999999998</v>
      </c>
      <c r="K600" s="24">
        <f t="shared" si="956"/>
        <v>235.89999999999998</v>
      </c>
      <c r="L600" s="24">
        <f t="shared" si="956"/>
        <v>279.29999999999995</v>
      </c>
      <c r="M600" s="24">
        <f t="shared" si="956"/>
        <v>318.5</v>
      </c>
      <c r="N600" s="33">
        <f t="shared" si="956"/>
        <v>371</v>
      </c>
      <c r="O600" s="21"/>
    </row>
    <row r="601" spans="1:15">
      <c r="A601" s="1967"/>
      <c r="B601" s="43"/>
      <c r="C601" s="24"/>
      <c r="D601" s="24"/>
      <c r="E601" s="24"/>
      <c r="F601" s="24"/>
      <c r="G601" s="24"/>
      <c r="H601" s="24"/>
      <c r="I601" s="24"/>
      <c r="J601" s="24"/>
      <c r="K601" s="24"/>
      <c r="L601" s="24"/>
      <c r="M601" s="24"/>
      <c r="N601" s="33"/>
      <c r="O601" s="21"/>
    </row>
    <row r="602" spans="1:15">
      <c r="A602" s="1967" t="s">
        <v>1140</v>
      </c>
      <c r="B602" s="43"/>
      <c r="C602" s="24">
        <v>2.44</v>
      </c>
      <c r="D602" s="24">
        <v>1.54</v>
      </c>
      <c r="E602" s="24">
        <v>1.1100000000000001</v>
      </c>
      <c r="F602" s="24">
        <v>0.82</v>
      </c>
      <c r="G602" s="24">
        <v>0.56699999999999995</v>
      </c>
      <c r="H602" s="24">
        <v>0.41</v>
      </c>
      <c r="I602" s="24">
        <v>0.32400000000000001</v>
      </c>
      <c r="J602" s="24">
        <v>0.26400000000000001</v>
      </c>
      <c r="K602" s="24">
        <v>0.21</v>
      </c>
      <c r="L602" s="24">
        <v>0.16</v>
      </c>
      <c r="M602" s="24">
        <v>0.128</v>
      </c>
      <c r="N602" s="33">
        <v>0.1</v>
      </c>
      <c r="O602" s="21"/>
    </row>
    <row r="603" spans="1:15">
      <c r="A603" s="1967" t="s">
        <v>1141</v>
      </c>
      <c r="B603" s="43"/>
      <c r="C603" s="24">
        <v>8.0799999999999997E-2</v>
      </c>
      <c r="D603" s="24">
        <v>8.0500000000000002E-2</v>
      </c>
      <c r="E603" s="24">
        <v>7.8299999999999995E-2</v>
      </c>
      <c r="F603" s="24">
        <v>7.4999999999999997E-2</v>
      </c>
      <c r="G603" s="24">
        <v>7.3999999999999996E-2</v>
      </c>
      <c r="H603" s="24">
        <v>7.2400000000000006E-2</v>
      </c>
      <c r="I603" s="24">
        <v>7.1199999999999999E-2</v>
      </c>
      <c r="J603" s="24">
        <v>7.1599999999999997E-2</v>
      </c>
      <c r="K603" s="24">
        <v>7.1800000000000003E-2</v>
      </c>
      <c r="L603" s="24">
        <v>7.0999999999999994E-2</v>
      </c>
      <c r="M603" s="24">
        <v>7.0499999999999993E-2</v>
      </c>
      <c r="N603" s="33">
        <v>7.0400000000000004E-2</v>
      </c>
      <c r="O603" s="21"/>
    </row>
    <row r="604" spans="1:15">
      <c r="A604" s="1967"/>
      <c r="B604" s="43"/>
      <c r="C604" s="24"/>
      <c r="D604" s="24"/>
      <c r="E604" s="24"/>
      <c r="F604" s="24"/>
      <c r="G604" s="24"/>
      <c r="H604" s="24"/>
      <c r="I604" s="24"/>
      <c r="J604" s="24"/>
      <c r="K604" s="24"/>
      <c r="L604" s="24"/>
      <c r="M604" s="24"/>
      <c r="N604" s="33"/>
      <c r="O604" s="21"/>
    </row>
    <row r="605" spans="1:15" ht="24.75" customHeight="1">
      <c r="A605" s="1968" t="s">
        <v>1142</v>
      </c>
      <c r="B605" s="41">
        <f>A613</f>
        <v>0</v>
      </c>
      <c r="C605" s="24">
        <f t="shared" ref="C605:C607" si="957">B605</f>
        <v>0</v>
      </c>
      <c r="D605" s="24">
        <f t="shared" ref="D605:D607" si="958">C605</f>
        <v>0</v>
      </c>
      <c r="E605" s="24">
        <f t="shared" ref="E605:E607" si="959">D605</f>
        <v>0</v>
      </c>
      <c r="F605" s="24">
        <f t="shared" ref="F605:F607" si="960">E605</f>
        <v>0</v>
      </c>
      <c r="G605" s="24">
        <f t="shared" ref="G605:G607" si="961">F605</f>
        <v>0</v>
      </c>
      <c r="H605" s="24">
        <f t="shared" ref="H605:H607" si="962">G605</f>
        <v>0</v>
      </c>
      <c r="I605" s="24">
        <f t="shared" ref="I605:I607" si="963">H605</f>
        <v>0</v>
      </c>
      <c r="J605" s="24">
        <f t="shared" ref="J605:J607" si="964">I605</f>
        <v>0</v>
      </c>
      <c r="K605" s="24">
        <f t="shared" ref="K605:K607" si="965">J605</f>
        <v>0</v>
      </c>
      <c r="L605" s="24">
        <f t="shared" ref="L605:L607" si="966">K605</f>
        <v>0</v>
      </c>
      <c r="M605" s="24">
        <f t="shared" ref="M605:M607" si="967">L605</f>
        <v>0</v>
      </c>
      <c r="N605" s="33">
        <f t="shared" ref="N605:N607" si="968">M605</f>
        <v>0</v>
      </c>
      <c r="O605" s="21"/>
    </row>
    <row r="606" spans="1:15">
      <c r="A606" s="1968" t="s">
        <v>1143</v>
      </c>
      <c r="B606" s="42">
        <f>'Input''s from Initial Design'!X110</f>
        <v>0</v>
      </c>
      <c r="C606" s="24">
        <f t="shared" si="957"/>
        <v>0</v>
      </c>
      <c r="D606" s="24">
        <f t="shared" si="958"/>
        <v>0</v>
      </c>
      <c r="E606" s="24">
        <f t="shared" si="959"/>
        <v>0</v>
      </c>
      <c r="F606" s="24">
        <f t="shared" si="960"/>
        <v>0</v>
      </c>
      <c r="G606" s="24">
        <f t="shared" si="961"/>
        <v>0</v>
      </c>
      <c r="H606" s="24">
        <f t="shared" si="962"/>
        <v>0</v>
      </c>
      <c r="I606" s="24">
        <f t="shared" si="963"/>
        <v>0</v>
      </c>
      <c r="J606" s="24">
        <f t="shared" si="964"/>
        <v>0</v>
      </c>
      <c r="K606" s="24">
        <f t="shared" si="965"/>
        <v>0</v>
      </c>
      <c r="L606" s="24">
        <f t="shared" si="966"/>
        <v>0</v>
      </c>
      <c r="M606" s="24">
        <f t="shared" si="967"/>
        <v>0</v>
      </c>
      <c r="N606" s="33">
        <f t="shared" si="968"/>
        <v>0</v>
      </c>
      <c r="O606" s="21"/>
    </row>
    <row r="607" spans="1:15">
      <c r="A607" s="1968" t="s">
        <v>1144</v>
      </c>
      <c r="B607" s="42">
        <f>'Input''s from Initial Design'!Y110</f>
        <v>0</v>
      </c>
      <c r="C607" s="24">
        <f t="shared" si="957"/>
        <v>0</v>
      </c>
      <c r="D607" s="24">
        <f t="shared" si="958"/>
        <v>0</v>
      </c>
      <c r="E607" s="24">
        <f t="shared" si="959"/>
        <v>0</v>
      </c>
      <c r="F607" s="24">
        <f t="shared" si="960"/>
        <v>0</v>
      </c>
      <c r="G607" s="24">
        <f t="shared" si="961"/>
        <v>0</v>
      </c>
      <c r="H607" s="24">
        <f t="shared" si="962"/>
        <v>0</v>
      </c>
      <c r="I607" s="24">
        <f t="shared" si="963"/>
        <v>0</v>
      </c>
      <c r="J607" s="24">
        <f t="shared" si="964"/>
        <v>0</v>
      </c>
      <c r="K607" s="24">
        <f t="shared" si="965"/>
        <v>0</v>
      </c>
      <c r="L607" s="24">
        <f t="shared" si="966"/>
        <v>0</v>
      </c>
      <c r="M607" s="24">
        <f t="shared" si="967"/>
        <v>0</v>
      </c>
      <c r="N607" s="33">
        <f t="shared" si="968"/>
        <v>0</v>
      </c>
      <c r="O607" s="21"/>
    </row>
    <row r="608" spans="1:15">
      <c r="A608" s="1968" t="s">
        <v>1145</v>
      </c>
      <c r="B608" s="42">
        <v>415</v>
      </c>
      <c r="C608" s="24">
        <f>+B608</f>
        <v>415</v>
      </c>
      <c r="D608" s="24">
        <f t="shared" ref="D608" si="969">+C608</f>
        <v>415</v>
      </c>
      <c r="E608" s="24">
        <f t="shared" ref="E608" si="970">+D608</f>
        <v>415</v>
      </c>
      <c r="F608" s="24">
        <f t="shared" ref="F608" si="971">+E608</f>
        <v>415</v>
      </c>
      <c r="G608" s="24">
        <f t="shared" ref="G608" si="972">+F608</f>
        <v>415</v>
      </c>
      <c r="H608" s="24">
        <f t="shared" ref="H608" si="973">+G608</f>
        <v>415</v>
      </c>
      <c r="I608" s="24">
        <f t="shared" ref="I608" si="974">+H608</f>
        <v>415</v>
      </c>
      <c r="J608" s="24">
        <f t="shared" ref="J608" si="975">+I608</f>
        <v>415</v>
      </c>
      <c r="K608" s="24">
        <f t="shared" ref="K608" si="976">+J608</f>
        <v>415</v>
      </c>
      <c r="L608" s="24">
        <f t="shared" ref="L608" si="977">+K608</f>
        <v>415</v>
      </c>
      <c r="M608" s="24">
        <f t="shared" ref="M608" si="978">+L608</f>
        <v>415</v>
      </c>
      <c r="N608" s="33">
        <f t="shared" ref="N608" si="979">+M608</f>
        <v>415</v>
      </c>
      <c r="O608" s="21"/>
    </row>
    <row r="609" spans="1:15">
      <c r="A609" s="1967" t="s">
        <v>1146</v>
      </c>
      <c r="B609" s="43"/>
      <c r="C609" s="25" t="e">
        <f t="shared" ref="C609:N609" si="980">1.732*C605*(C602/1000*1+C603/1000*0)*C606/C607</f>
        <v>#DIV/0!</v>
      </c>
      <c r="D609" s="25" t="e">
        <f t="shared" si="980"/>
        <v>#DIV/0!</v>
      </c>
      <c r="E609" s="25" t="e">
        <f t="shared" si="980"/>
        <v>#DIV/0!</v>
      </c>
      <c r="F609" s="25" t="e">
        <f t="shared" si="980"/>
        <v>#DIV/0!</v>
      </c>
      <c r="G609" s="25" t="e">
        <f t="shared" si="980"/>
        <v>#DIV/0!</v>
      </c>
      <c r="H609" s="25" t="e">
        <f t="shared" si="980"/>
        <v>#DIV/0!</v>
      </c>
      <c r="I609" s="25" t="e">
        <f t="shared" si="980"/>
        <v>#DIV/0!</v>
      </c>
      <c r="J609" s="25" t="e">
        <f t="shared" si="980"/>
        <v>#DIV/0!</v>
      </c>
      <c r="K609" s="25" t="e">
        <f t="shared" si="980"/>
        <v>#DIV/0!</v>
      </c>
      <c r="L609" s="25" t="e">
        <f t="shared" si="980"/>
        <v>#DIV/0!</v>
      </c>
      <c r="M609" s="25" t="e">
        <f t="shared" si="980"/>
        <v>#DIV/0!</v>
      </c>
      <c r="N609" s="34" t="e">
        <f t="shared" si="980"/>
        <v>#DIV/0!</v>
      </c>
      <c r="O609" s="21"/>
    </row>
    <row r="610" spans="1:15">
      <c r="A610" s="1967" t="s">
        <v>1147</v>
      </c>
      <c r="B610" s="43"/>
      <c r="C610" s="1965" t="e">
        <f>C609/C608</f>
        <v>#DIV/0!</v>
      </c>
      <c r="D610" s="1965" t="e">
        <f t="shared" ref="D610:N610" si="981">D609/D608</f>
        <v>#DIV/0!</v>
      </c>
      <c r="E610" s="1965" t="e">
        <f t="shared" si="981"/>
        <v>#DIV/0!</v>
      </c>
      <c r="F610" s="1965" t="e">
        <f t="shared" si="981"/>
        <v>#DIV/0!</v>
      </c>
      <c r="G610" s="1965" t="e">
        <f t="shared" si="981"/>
        <v>#DIV/0!</v>
      </c>
      <c r="H610" s="1965" t="e">
        <f t="shared" si="981"/>
        <v>#DIV/0!</v>
      </c>
      <c r="I610" s="1965" t="e">
        <f t="shared" si="981"/>
        <v>#DIV/0!</v>
      </c>
      <c r="J610" s="1965" t="e">
        <f t="shared" si="981"/>
        <v>#DIV/0!</v>
      </c>
      <c r="K610" s="1965" t="e">
        <f t="shared" si="981"/>
        <v>#DIV/0!</v>
      </c>
      <c r="L610" s="1965" t="e">
        <f t="shared" si="981"/>
        <v>#DIV/0!</v>
      </c>
      <c r="M610" s="1965" t="e">
        <f t="shared" si="981"/>
        <v>#DIV/0!</v>
      </c>
      <c r="N610" s="1969" t="e">
        <f t="shared" si="981"/>
        <v>#DIV/0!</v>
      </c>
      <c r="O610" s="21"/>
    </row>
    <row r="611" spans="1:15">
      <c r="A611" s="1968" t="s">
        <v>1148</v>
      </c>
      <c r="B611" s="1966">
        <v>0.02</v>
      </c>
      <c r="C611" s="24" t="e">
        <f>IF(AND((C605*1.25)&lt;(C599*C607),(C610&lt;$B$16)),"PASS","FAIL")</f>
        <v>#DIV/0!</v>
      </c>
      <c r="D611" s="24" t="e">
        <f>IF(AND((D605*1.25)&lt;(D599*D607),(D610&lt;$B$16)),"PASS","FAIL")</f>
        <v>#DIV/0!</v>
      </c>
      <c r="E611" s="24" t="e">
        <f>IF(AND((E605*1.25)&lt;(E599*E607),(E610&lt;$B$16)),"PASS","FAIL")</f>
        <v>#DIV/0!</v>
      </c>
      <c r="F611" s="24" t="e">
        <f>IF(AND((F605*1.25)&lt;(F599*F607),(F610&lt;$B$16)),"PASS","FAIL")</f>
        <v>#DIV/0!</v>
      </c>
      <c r="G611" s="24" t="e">
        <f>IF(AND((G605*1.25)&lt;(G599*G607),(G610&lt;$B$16)),"PASS","FAIL")</f>
        <v>#DIV/0!</v>
      </c>
      <c r="H611" s="24" t="e">
        <f>IF(AND((H605*1.1)&lt;(H599*H607),(H610&lt;$B$16)),"PASS","FAIL")</f>
        <v>#DIV/0!</v>
      </c>
      <c r="I611" s="24" t="e">
        <f t="shared" ref="I611:N611" si="982">IF(AND((I605*1.25)&lt;(I599*I607),(I610&lt;$B$16)),"PASS","FAIL")</f>
        <v>#DIV/0!</v>
      </c>
      <c r="J611" s="24" t="e">
        <f t="shared" si="982"/>
        <v>#DIV/0!</v>
      </c>
      <c r="K611" s="24" t="e">
        <f t="shared" si="982"/>
        <v>#DIV/0!</v>
      </c>
      <c r="L611" s="24" t="e">
        <f t="shared" si="982"/>
        <v>#DIV/0!</v>
      </c>
      <c r="M611" s="24" t="e">
        <f t="shared" si="982"/>
        <v>#DIV/0!</v>
      </c>
      <c r="N611" s="33" t="e">
        <f t="shared" si="982"/>
        <v>#DIV/0!</v>
      </c>
      <c r="O611" s="21"/>
    </row>
    <row r="612" spans="1:15" ht="18.600000000000001" thickBot="1">
      <c r="A612" s="1970" t="s">
        <v>1149</v>
      </c>
      <c r="B612" s="1971"/>
      <c r="C612" s="1972" t="e">
        <f t="shared" ref="C612:N612" si="983">IF(AND((C605*1.25)&lt;(C600*C607),(C610&lt;$B$16)),"PASS","FAIL")</f>
        <v>#DIV/0!</v>
      </c>
      <c r="D612" s="1972" t="e">
        <f t="shared" si="983"/>
        <v>#DIV/0!</v>
      </c>
      <c r="E612" s="1972" t="e">
        <f t="shared" si="983"/>
        <v>#DIV/0!</v>
      </c>
      <c r="F612" s="1972" t="e">
        <f t="shared" si="983"/>
        <v>#DIV/0!</v>
      </c>
      <c r="G612" s="1972" t="e">
        <f t="shared" si="983"/>
        <v>#DIV/0!</v>
      </c>
      <c r="H612" s="1972" t="e">
        <f t="shared" si="983"/>
        <v>#DIV/0!</v>
      </c>
      <c r="I612" s="1972" t="e">
        <f t="shared" si="983"/>
        <v>#DIV/0!</v>
      </c>
      <c r="J612" s="1972" t="e">
        <f t="shared" si="983"/>
        <v>#DIV/0!</v>
      </c>
      <c r="K612" s="1972" t="e">
        <f t="shared" si="983"/>
        <v>#DIV/0!</v>
      </c>
      <c r="L612" s="1972" t="e">
        <f t="shared" si="983"/>
        <v>#DIV/0!</v>
      </c>
      <c r="M612" s="1972" t="e">
        <f t="shared" si="983"/>
        <v>#DIV/0!</v>
      </c>
      <c r="N612" s="1973" t="e">
        <f t="shared" si="983"/>
        <v>#DIV/0!</v>
      </c>
      <c r="O612" s="21"/>
    </row>
    <row r="613" spans="1:15">
      <c r="A613" s="1963">
        <f>('Input''s from Initial Design'!W110*1000/(1.732*440*1))</f>
        <v>0</v>
      </c>
      <c r="B613" s="1964" t="s">
        <v>1150</v>
      </c>
      <c r="C613" s="26"/>
      <c r="D613" s="3213"/>
      <c r="E613" s="3213"/>
      <c r="F613" s="3213"/>
      <c r="G613" s="21"/>
      <c r="H613" s="21"/>
      <c r="I613" s="21"/>
      <c r="J613" s="21"/>
    </row>
    <row r="614" spans="1:15">
      <c r="A614" s="21"/>
      <c r="B614" s="21"/>
      <c r="C614" s="26"/>
      <c r="D614" s="21"/>
      <c r="E614" s="21">
        <v>26</v>
      </c>
      <c r="F614" s="21"/>
      <c r="G614" s="27"/>
      <c r="H614" s="21"/>
      <c r="I614" s="21"/>
      <c r="J614" s="21"/>
    </row>
    <row r="615" spans="1:15">
      <c r="A615" s="28" t="s">
        <v>1148</v>
      </c>
      <c r="B615" s="29" t="e">
        <f>IF(C611="FAIL",IF(D611="FAIL",IF(E611="FAIL",IF(F611="FAIL",IF(G611="FAIL",IF(H611="FAIL",IF(I611="FAIL",IF(J611="FAIL",IF(K611="FAIL",IF(L611="FAIL",IF(M611="FAIL","NO MATCH",$M$1),$L$1),$K$1),$J$1),$I$1),$H$1),$G$1),$F$1),$E$1),$D$1),$C$1)</f>
        <v>#DIV/0!</v>
      </c>
      <c r="C615" s="30" t="s">
        <v>1151</v>
      </c>
      <c r="D615" s="21"/>
      <c r="E615" s="21"/>
      <c r="F615" s="21"/>
      <c r="G615" s="21"/>
      <c r="H615" s="26"/>
      <c r="I615" s="21"/>
      <c r="J615" s="21"/>
      <c r="K615" s="21"/>
      <c r="L615" s="21"/>
      <c r="N615" s="21"/>
      <c r="O615" s="21"/>
    </row>
    <row r="616" spans="1:15">
      <c r="A616" s="28" t="s">
        <v>1149</v>
      </c>
      <c r="B616" s="29" t="e">
        <f>IF(C612="FAIL",IF(D612="FAIL",IF(E612="FAIL",IF(F612="FAIL",IF(G612="FAIL",IF(H612="FAIL",IF(I612="FAIL",IF(J612="FAIL",IF(K612="FAIL",IF(L612="FAIL",IF(M612="FAIL","NO MATCH",$M$1),$L$1),$K$1),$J$1),$I$1),$H$1),$G$1),$F$1),$E$1),$D$1),$C$1)</f>
        <v>#DIV/0!</v>
      </c>
      <c r="C616" s="30" t="s">
        <v>1151</v>
      </c>
      <c r="D616" s="21"/>
      <c r="E616" s="21"/>
      <c r="F616" s="21"/>
      <c r="G616" s="21"/>
      <c r="H616" s="26"/>
      <c r="I616" s="21"/>
      <c r="J616" s="21"/>
      <c r="K616" s="21"/>
      <c r="L616" s="21"/>
      <c r="N616" s="21"/>
      <c r="O616" s="21"/>
    </row>
    <row r="617" spans="1:15" ht="18.600000000000001" thickBot="1"/>
    <row r="618" spans="1:15" s="23" customFormat="1">
      <c r="A618" s="3214" t="s">
        <v>1122</v>
      </c>
      <c r="B618" s="3216"/>
      <c r="C618" s="35">
        <v>16</v>
      </c>
      <c r="D618" s="36">
        <v>25</v>
      </c>
      <c r="E618" s="36">
        <v>35</v>
      </c>
      <c r="F618" s="36">
        <v>50</v>
      </c>
      <c r="G618" s="36">
        <v>70</v>
      </c>
      <c r="H618" s="36">
        <v>95</v>
      </c>
      <c r="I618" s="36">
        <v>120</v>
      </c>
      <c r="J618" s="36">
        <v>150</v>
      </c>
      <c r="K618" s="36">
        <v>185</v>
      </c>
      <c r="L618" s="36">
        <v>240</v>
      </c>
      <c r="M618" s="36">
        <v>300</v>
      </c>
      <c r="N618" s="37">
        <v>400</v>
      </c>
      <c r="O618" s="22"/>
    </row>
    <row r="619" spans="1:15" s="23" customFormat="1" ht="18.600000000000001" thickBot="1">
      <c r="A619" s="3215"/>
      <c r="B619" s="3217"/>
      <c r="C619" s="1978" t="s">
        <v>1123</v>
      </c>
      <c r="D619" s="1979" t="s">
        <v>1124</v>
      </c>
      <c r="E619" s="1979" t="s">
        <v>1125</v>
      </c>
      <c r="F619" s="1979" t="s">
        <v>1126</v>
      </c>
      <c r="G619" s="1979" t="s">
        <v>1127</v>
      </c>
      <c r="H619" s="1979" t="s">
        <v>1128</v>
      </c>
      <c r="I619" s="1979" t="s">
        <v>1129</v>
      </c>
      <c r="J619" s="1979" t="s">
        <v>1130</v>
      </c>
      <c r="K619" s="1979" t="s">
        <v>1131</v>
      </c>
      <c r="L619" s="1979" t="s">
        <v>1132</v>
      </c>
      <c r="M619" s="1979" t="s">
        <v>1133</v>
      </c>
      <c r="N619" s="1980" t="s">
        <v>1134</v>
      </c>
      <c r="O619" s="22"/>
    </row>
    <row r="620" spans="1:15">
      <c r="A620" s="1981" t="s">
        <v>1135</v>
      </c>
      <c r="B620" s="1982"/>
      <c r="C620" s="31">
        <v>74</v>
      </c>
      <c r="D620" s="31">
        <v>94</v>
      </c>
      <c r="E620" s="31">
        <v>113</v>
      </c>
      <c r="F620" s="31">
        <v>133</v>
      </c>
      <c r="G620" s="31">
        <v>164</v>
      </c>
      <c r="H620" s="31">
        <v>196</v>
      </c>
      <c r="I620" s="31">
        <v>223</v>
      </c>
      <c r="J620" s="31">
        <v>249</v>
      </c>
      <c r="K620" s="31">
        <v>282</v>
      </c>
      <c r="L620" s="31">
        <v>326</v>
      </c>
      <c r="M620" s="31">
        <v>367</v>
      </c>
      <c r="N620" s="32">
        <v>418</v>
      </c>
      <c r="O620" s="21"/>
    </row>
    <row r="621" spans="1:15">
      <c r="A621" s="1967" t="s">
        <v>1136</v>
      </c>
      <c r="B621" s="43"/>
      <c r="C621" s="24">
        <v>74</v>
      </c>
      <c r="D621" s="24">
        <v>96</v>
      </c>
      <c r="E621" s="24">
        <v>117</v>
      </c>
      <c r="F621" s="24">
        <v>142</v>
      </c>
      <c r="G621" s="24">
        <v>179</v>
      </c>
      <c r="H621" s="24">
        <v>221</v>
      </c>
      <c r="I621" s="24">
        <v>257</v>
      </c>
      <c r="J621" s="24">
        <v>292</v>
      </c>
      <c r="K621" s="24">
        <v>337</v>
      </c>
      <c r="L621" s="24">
        <v>399</v>
      </c>
      <c r="M621" s="24">
        <v>455</v>
      </c>
      <c r="N621" s="33">
        <v>530</v>
      </c>
      <c r="O621" s="21"/>
    </row>
    <row r="622" spans="1:15" ht="22.5" customHeight="1">
      <c r="A622" s="1967" t="s">
        <v>1137</v>
      </c>
      <c r="B622" s="42">
        <v>0.7</v>
      </c>
      <c r="C622" s="24">
        <f>B622</f>
        <v>0.7</v>
      </c>
      <c r="D622" s="24">
        <f>C622</f>
        <v>0.7</v>
      </c>
      <c r="E622" s="24">
        <f t="shared" ref="E622" si="984">D622</f>
        <v>0.7</v>
      </c>
      <c r="F622" s="24">
        <f t="shared" ref="F622" si="985">E622</f>
        <v>0.7</v>
      </c>
      <c r="G622" s="24">
        <f t="shared" ref="G622" si="986">F622</f>
        <v>0.7</v>
      </c>
      <c r="H622" s="24">
        <f t="shared" ref="H622" si="987">G622</f>
        <v>0.7</v>
      </c>
      <c r="I622" s="24">
        <f t="shared" ref="I622" si="988">H622</f>
        <v>0.7</v>
      </c>
      <c r="J622" s="24">
        <f t="shared" ref="J622" si="989">I622</f>
        <v>0.7</v>
      </c>
      <c r="K622" s="24">
        <f t="shared" ref="K622" si="990">J622</f>
        <v>0.7</v>
      </c>
      <c r="L622" s="24">
        <f t="shared" ref="L622" si="991">K622</f>
        <v>0.7</v>
      </c>
      <c r="M622" s="24">
        <f>L622</f>
        <v>0.7</v>
      </c>
      <c r="N622" s="33">
        <f>M622</f>
        <v>0.7</v>
      </c>
      <c r="O622" s="21"/>
    </row>
    <row r="623" spans="1:15">
      <c r="A623" s="1967" t="s">
        <v>1138</v>
      </c>
      <c r="B623" s="43"/>
      <c r="C623" s="24">
        <f>C620*C622</f>
        <v>51.8</v>
      </c>
      <c r="D623" s="24">
        <f t="shared" ref="D623:G623" si="992">D620*D622</f>
        <v>65.8</v>
      </c>
      <c r="E623" s="24">
        <f t="shared" si="992"/>
        <v>79.099999999999994</v>
      </c>
      <c r="F623" s="24">
        <f t="shared" si="992"/>
        <v>93.1</v>
      </c>
      <c r="G623" s="24">
        <f t="shared" si="992"/>
        <v>114.8</v>
      </c>
      <c r="H623" s="24">
        <f>H620*H622</f>
        <v>137.19999999999999</v>
      </c>
      <c r="I623" s="24">
        <f t="shared" ref="I623:N623" si="993">I620*I622</f>
        <v>156.1</v>
      </c>
      <c r="J623" s="24">
        <f t="shared" si="993"/>
        <v>174.29999999999998</v>
      </c>
      <c r="K623" s="24">
        <f t="shared" si="993"/>
        <v>197.39999999999998</v>
      </c>
      <c r="L623" s="24">
        <f t="shared" si="993"/>
        <v>228.2</v>
      </c>
      <c r="M623" s="24">
        <f t="shared" si="993"/>
        <v>256.89999999999998</v>
      </c>
      <c r="N623" s="33">
        <f t="shared" si="993"/>
        <v>292.59999999999997</v>
      </c>
      <c r="O623" s="21"/>
    </row>
    <row r="624" spans="1:15">
      <c r="A624" s="1967" t="s">
        <v>1139</v>
      </c>
      <c r="B624" s="43"/>
      <c r="C624" s="24">
        <f>C621*C622</f>
        <v>51.8</v>
      </c>
      <c r="D624" s="24">
        <f>D621*D622</f>
        <v>67.199999999999989</v>
      </c>
      <c r="E624" s="24">
        <f t="shared" ref="E624:G624" si="994">E621*E622</f>
        <v>81.899999999999991</v>
      </c>
      <c r="F624" s="24">
        <f t="shared" si="994"/>
        <v>99.399999999999991</v>
      </c>
      <c r="G624" s="24">
        <f t="shared" si="994"/>
        <v>125.3</v>
      </c>
      <c r="H624" s="24">
        <f>H621*H622</f>
        <v>154.69999999999999</v>
      </c>
      <c r="I624" s="24">
        <f t="shared" ref="I624:N624" si="995">I621*I622</f>
        <v>179.89999999999998</v>
      </c>
      <c r="J624" s="24">
        <f t="shared" si="995"/>
        <v>204.39999999999998</v>
      </c>
      <c r="K624" s="24">
        <f t="shared" si="995"/>
        <v>235.89999999999998</v>
      </c>
      <c r="L624" s="24">
        <f t="shared" si="995"/>
        <v>279.29999999999995</v>
      </c>
      <c r="M624" s="24">
        <f t="shared" si="995"/>
        <v>318.5</v>
      </c>
      <c r="N624" s="33">
        <f t="shared" si="995"/>
        <v>371</v>
      </c>
      <c r="O624" s="21"/>
    </row>
    <row r="625" spans="1:15">
      <c r="A625" s="1967"/>
      <c r="B625" s="43"/>
      <c r="C625" s="24"/>
      <c r="D625" s="24"/>
      <c r="E625" s="24"/>
      <c r="F625" s="24"/>
      <c r="G625" s="24"/>
      <c r="H625" s="24"/>
      <c r="I625" s="24"/>
      <c r="J625" s="24"/>
      <c r="K625" s="24"/>
      <c r="L625" s="24"/>
      <c r="M625" s="24"/>
      <c r="N625" s="33"/>
      <c r="O625" s="21"/>
    </row>
    <row r="626" spans="1:15">
      <c r="A626" s="1967" t="s">
        <v>1140</v>
      </c>
      <c r="B626" s="43"/>
      <c r="C626" s="24">
        <v>2.44</v>
      </c>
      <c r="D626" s="24">
        <v>1.54</v>
      </c>
      <c r="E626" s="24">
        <v>1.1100000000000001</v>
      </c>
      <c r="F626" s="24">
        <v>0.82</v>
      </c>
      <c r="G626" s="24">
        <v>0.56699999999999995</v>
      </c>
      <c r="H626" s="24">
        <v>0.41</v>
      </c>
      <c r="I626" s="24">
        <v>0.32400000000000001</v>
      </c>
      <c r="J626" s="24">
        <v>0.26400000000000001</v>
      </c>
      <c r="K626" s="24">
        <v>0.21</v>
      </c>
      <c r="L626" s="24">
        <v>0.16</v>
      </c>
      <c r="M626" s="24">
        <v>0.128</v>
      </c>
      <c r="N626" s="33">
        <v>0.1</v>
      </c>
      <c r="O626" s="21"/>
    </row>
    <row r="627" spans="1:15">
      <c r="A627" s="1967" t="s">
        <v>1141</v>
      </c>
      <c r="B627" s="43"/>
      <c r="C627" s="24">
        <v>8.0799999999999997E-2</v>
      </c>
      <c r="D627" s="24">
        <v>8.0500000000000002E-2</v>
      </c>
      <c r="E627" s="24">
        <v>7.8299999999999995E-2</v>
      </c>
      <c r="F627" s="24">
        <v>7.4999999999999997E-2</v>
      </c>
      <c r="G627" s="24">
        <v>7.3999999999999996E-2</v>
      </c>
      <c r="H627" s="24">
        <v>7.2400000000000006E-2</v>
      </c>
      <c r="I627" s="24">
        <v>7.1199999999999999E-2</v>
      </c>
      <c r="J627" s="24">
        <v>7.1599999999999997E-2</v>
      </c>
      <c r="K627" s="24">
        <v>7.1800000000000003E-2</v>
      </c>
      <c r="L627" s="24">
        <v>7.0999999999999994E-2</v>
      </c>
      <c r="M627" s="24">
        <v>7.0499999999999993E-2</v>
      </c>
      <c r="N627" s="33">
        <v>7.0400000000000004E-2</v>
      </c>
      <c r="O627" s="21"/>
    </row>
    <row r="628" spans="1:15">
      <c r="A628" s="1967"/>
      <c r="B628" s="43"/>
      <c r="C628" s="24"/>
      <c r="D628" s="24"/>
      <c r="E628" s="24"/>
      <c r="F628" s="24"/>
      <c r="G628" s="24"/>
      <c r="H628" s="24"/>
      <c r="I628" s="24"/>
      <c r="J628" s="24"/>
      <c r="K628" s="24"/>
      <c r="L628" s="24"/>
      <c r="M628" s="24"/>
      <c r="N628" s="33"/>
      <c r="O628" s="21"/>
    </row>
    <row r="629" spans="1:15" ht="24.75" customHeight="1">
      <c r="A629" s="1968" t="s">
        <v>1142</v>
      </c>
      <c r="B629" s="41">
        <f>A637</f>
        <v>0</v>
      </c>
      <c r="C629" s="24">
        <f t="shared" ref="C629:C631" si="996">B629</f>
        <v>0</v>
      </c>
      <c r="D629" s="24">
        <f t="shared" ref="D629:D631" si="997">C629</f>
        <v>0</v>
      </c>
      <c r="E629" s="24">
        <f t="shared" ref="E629:E631" si="998">D629</f>
        <v>0</v>
      </c>
      <c r="F629" s="24">
        <f t="shared" ref="F629:F631" si="999">E629</f>
        <v>0</v>
      </c>
      <c r="G629" s="24">
        <f t="shared" ref="G629:G631" si="1000">F629</f>
        <v>0</v>
      </c>
      <c r="H629" s="24">
        <f t="shared" ref="H629:H631" si="1001">G629</f>
        <v>0</v>
      </c>
      <c r="I629" s="24">
        <f t="shared" ref="I629:I631" si="1002">H629</f>
        <v>0</v>
      </c>
      <c r="J629" s="24">
        <f t="shared" ref="J629:J631" si="1003">I629</f>
        <v>0</v>
      </c>
      <c r="K629" s="24">
        <f t="shared" ref="K629:K631" si="1004">J629</f>
        <v>0</v>
      </c>
      <c r="L629" s="24">
        <f t="shared" ref="L629:L631" si="1005">K629</f>
        <v>0</v>
      </c>
      <c r="M629" s="24">
        <f t="shared" ref="M629:M631" si="1006">L629</f>
        <v>0</v>
      </c>
      <c r="N629" s="33">
        <f t="shared" ref="N629:N631" si="1007">M629</f>
        <v>0</v>
      </c>
      <c r="O629" s="21"/>
    </row>
    <row r="630" spans="1:15">
      <c r="A630" s="1968" t="s">
        <v>1143</v>
      </c>
      <c r="B630" s="42">
        <f>'Input''s from Initial Design'!X112</f>
        <v>0</v>
      </c>
      <c r="C630" s="24">
        <f t="shared" si="996"/>
        <v>0</v>
      </c>
      <c r="D630" s="24">
        <f t="shared" si="997"/>
        <v>0</v>
      </c>
      <c r="E630" s="24">
        <f t="shared" si="998"/>
        <v>0</v>
      </c>
      <c r="F630" s="24">
        <f t="shared" si="999"/>
        <v>0</v>
      </c>
      <c r="G630" s="24">
        <f t="shared" si="1000"/>
        <v>0</v>
      </c>
      <c r="H630" s="24">
        <f t="shared" si="1001"/>
        <v>0</v>
      </c>
      <c r="I630" s="24">
        <f t="shared" si="1002"/>
        <v>0</v>
      </c>
      <c r="J630" s="24">
        <f t="shared" si="1003"/>
        <v>0</v>
      </c>
      <c r="K630" s="24">
        <f t="shared" si="1004"/>
        <v>0</v>
      </c>
      <c r="L630" s="24">
        <f t="shared" si="1005"/>
        <v>0</v>
      </c>
      <c r="M630" s="24">
        <f t="shared" si="1006"/>
        <v>0</v>
      </c>
      <c r="N630" s="33">
        <f t="shared" si="1007"/>
        <v>0</v>
      </c>
      <c r="O630" s="21"/>
    </row>
    <row r="631" spans="1:15">
      <c r="A631" s="1968" t="s">
        <v>1144</v>
      </c>
      <c r="B631" s="42">
        <f>'Input''s from Initial Design'!Y112</f>
        <v>0</v>
      </c>
      <c r="C631" s="24">
        <f t="shared" si="996"/>
        <v>0</v>
      </c>
      <c r="D631" s="24">
        <f t="shared" si="997"/>
        <v>0</v>
      </c>
      <c r="E631" s="24">
        <f t="shared" si="998"/>
        <v>0</v>
      </c>
      <c r="F631" s="24">
        <f t="shared" si="999"/>
        <v>0</v>
      </c>
      <c r="G631" s="24">
        <f t="shared" si="1000"/>
        <v>0</v>
      </c>
      <c r="H631" s="24">
        <f t="shared" si="1001"/>
        <v>0</v>
      </c>
      <c r="I631" s="24">
        <f t="shared" si="1002"/>
        <v>0</v>
      </c>
      <c r="J631" s="24">
        <f t="shared" si="1003"/>
        <v>0</v>
      </c>
      <c r="K631" s="24">
        <f t="shared" si="1004"/>
        <v>0</v>
      </c>
      <c r="L631" s="24">
        <f t="shared" si="1005"/>
        <v>0</v>
      </c>
      <c r="M631" s="24">
        <f t="shared" si="1006"/>
        <v>0</v>
      </c>
      <c r="N631" s="33">
        <f t="shared" si="1007"/>
        <v>0</v>
      </c>
      <c r="O631" s="21"/>
    </row>
    <row r="632" spans="1:15">
      <c r="A632" s="1968" t="s">
        <v>1145</v>
      </c>
      <c r="B632" s="42">
        <v>415</v>
      </c>
      <c r="C632" s="24">
        <f>+B632</f>
        <v>415</v>
      </c>
      <c r="D632" s="24">
        <f t="shared" ref="D632" si="1008">+C632</f>
        <v>415</v>
      </c>
      <c r="E632" s="24">
        <f t="shared" ref="E632" si="1009">+D632</f>
        <v>415</v>
      </c>
      <c r="F632" s="24">
        <f t="shared" ref="F632" si="1010">+E632</f>
        <v>415</v>
      </c>
      <c r="G632" s="24">
        <f t="shared" ref="G632" si="1011">+F632</f>
        <v>415</v>
      </c>
      <c r="H632" s="24">
        <f t="shared" ref="H632" si="1012">+G632</f>
        <v>415</v>
      </c>
      <c r="I632" s="24">
        <f t="shared" ref="I632" si="1013">+H632</f>
        <v>415</v>
      </c>
      <c r="J632" s="24">
        <f t="shared" ref="J632" si="1014">+I632</f>
        <v>415</v>
      </c>
      <c r="K632" s="24">
        <f t="shared" ref="K632" si="1015">+J632</f>
        <v>415</v>
      </c>
      <c r="L632" s="24">
        <f t="shared" ref="L632" si="1016">+K632</f>
        <v>415</v>
      </c>
      <c r="M632" s="24">
        <f t="shared" ref="M632" si="1017">+L632</f>
        <v>415</v>
      </c>
      <c r="N632" s="33">
        <f t="shared" ref="N632" si="1018">+M632</f>
        <v>415</v>
      </c>
      <c r="O632" s="21"/>
    </row>
    <row r="633" spans="1:15">
      <c r="A633" s="1967" t="s">
        <v>1146</v>
      </c>
      <c r="B633" s="43"/>
      <c r="C633" s="25" t="e">
        <f t="shared" ref="C633:N633" si="1019">1.732*C629*(C626/1000*1+C627/1000*0)*C630/C631</f>
        <v>#DIV/0!</v>
      </c>
      <c r="D633" s="25" t="e">
        <f t="shared" si="1019"/>
        <v>#DIV/0!</v>
      </c>
      <c r="E633" s="25" t="e">
        <f t="shared" si="1019"/>
        <v>#DIV/0!</v>
      </c>
      <c r="F633" s="25" t="e">
        <f t="shared" si="1019"/>
        <v>#DIV/0!</v>
      </c>
      <c r="G633" s="25" t="e">
        <f t="shared" si="1019"/>
        <v>#DIV/0!</v>
      </c>
      <c r="H633" s="25" t="e">
        <f t="shared" si="1019"/>
        <v>#DIV/0!</v>
      </c>
      <c r="I633" s="25" t="e">
        <f t="shared" si="1019"/>
        <v>#DIV/0!</v>
      </c>
      <c r="J633" s="25" t="e">
        <f t="shared" si="1019"/>
        <v>#DIV/0!</v>
      </c>
      <c r="K633" s="25" t="e">
        <f t="shared" si="1019"/>
        <v>#DIV/0!</v>
      </c>
      <c r="L633" s="25" t="e">
        <f t="shared" si="1019"/>
        <v>#DIV/0!</v>
      </c>
      <c r="M633" s="25" t="e">
        <f t="shared" si="1019"/>
        <v>#DIV/0!</v>
      </c>
      <c r="N633" s="34" t="e">
        <f t="shared" si="1019"/>
        <v>#DIV/0!</v>
      </c>
      <c r="O633" s="21"/>
    </row>
    <row r="634" spans="1:15">
      <c r="A634" s="1967" t="s">
        <v>1147</v>
      </c>
      <c r="B634" s="43"/>
      <c r="C634" s="1965" t="e">
        <f>C633/C632</f>
        <v>#DIV/0!</v>
      </c>
      <c r="D634" s="1965" t="e">
        <f t="shared" ref="D634:N634" si="1020">D633/D632</f>
        <v>#DIV/0!</v>
      </c>
      <c r="E634" s="1965" t="e">
        <f t="shared" si="1020"/>
        <v>#DIV/0!</v>
      </c>
      <c r="F634" s="1965" t="e">
        <f t="shared" si="1020"/>
        <v>#DIV/0!</v>
      </c>
      <c r="G634" s="1965" t="e">
        <f t="shared" si="1020"/>
        <v>#DIV/0!</v>
      </c>
      <c r="H634" s="1965" t="e">
        <f t="shared" si="1020"/>
        <v>#DIV/0!</v>
      </c>
      <c r="I634" s="1965" t="e">
        <f t="shared" si="1020"/>
        <v>#DIV/0!</v>
      </c>
      <c r="J634" s="1965" t="e">
        <f t="shared" si="1020"/>
        <v>#DIV/0!</v>
      </c>
      <c r="K634" s="1965" t="e">
        <f t="shared" si="1020"/>
        <v>#DIV/0!</v>
      </c>
      <c r="L634" s="1965" t="e">
        <f t="shared" si="1020"/>
        <v>#DIV/0!</v>
      </c>
      <c r="M634" s="1965" t="e">
        <f t="shared" si="1020"/>
        <v>#DIV/0!</v>
      </c>
      <c r="N634" s="1969" t="e">
        <f t="shared" si="1020"/>
        <v>#DIV/0!</v>
      </c>
      <c r="O634" s="21"/>
    </row>
    <row r="635" spans="1:15">
      <c r="A635" s="1968" t="s">
        <v>1148</v>
      </c>
      <c r="B635" s="1966">
        <v>0.02</v>
      </c>
      <c r="C635" s="24" t="e">
        <f>IF(AND((C629*1.25)&lt;(C623*C631),(C634&lt;$B$16)),"PASS","FAIL")</f>
        <v>#DIV/0!</v>
      </c>
      <c r="D635" s="24" t="e">
        <f>IF(AND((D629*1.25)&lt;(D623*D631),(D634&lt;$B$16)),"PASS","FAIL")</f>
        <v>#DIV/0!</v>
      </c>
      <c r="E635" s="24" t="e">
        <f>IF(AND((E629*1.25)&lt;(E623*E631),(E634&lt;$B$16)),"PASS","FAIL")</f>
        <v>#DIV/0!</v>
      </c>
      <c r="F635" s="24" t="e">
        <f>IF(AND((F629*1.25)&lt;(F623*F631),(F634&lt;$B$16)),"PASS","FAIL")</f>
        <v>#DIV/0!</v>
      </c>
      <c r="G635" s="24" t="e">
        <f>IF(AND((G629*1.25)&lt;(G623*G631),(G634&lt;$B$16)),"PASS","FAIL")</f>
        <v>#DIV/0!</v>
      </c>
      <c r="H635" s="24" t="e">
        <f>IF(AND((H629*1.1)&lt;(H623*H631),(H634&lt;$B$16)),"PASS","FAIL")</f>
        <v>#DIV/0!</v>
      </c>
      <c r="I635" s="24" t="e">
        <f t="shared" ref="I635:N635" si="1021">IF(AND((I629*1.25)&lt;(I623*I631),(I634&lt;$B$16)),"PASS","FAIL")</f>
        <v>#DIV/0!</v>
      </c>
      <c r="J635" s="24" t="e">
        <f t="shared" si="1021"/>
        <v>#DIV/0!</v>
      </c>
      <c r="K635" s="24" t="e">
        <f t="shared" si="1021"/>
        <v>#DIV/0!</v>
      </c>
      <c r="L635" s="24" t="e">
        <f t="shared" si="1021"/>
        <v>#DIV/0!</v>
      </c>
      <c r="M635" s="24" t="e">
        <f t="shared" si="1021"/>
        <v>#DIV/0!</v>
      </c>
      <c r="N635" s="33" t="e">
        <f t="shared" si="1021"/>
        <v>#DIV/0!</v>
      </c>
      <c r="O635" s="21"/>
    </row>
    <row r="636" spans="1:15" ht="18.600000000000001" thickBot="1">
      <c r="A636" s="1970" t="s">
        <v>1149</v>
      </c>
      <c r="B636" s="1971"/>
      <c r="C636" s="1972" t="e">
        <f t="shared" ref="C636:N636" si="1022">IF(AND((C629*1.25)&lt;(C624*C631),(C634&lt;$B$16)),"PASS","FAIL")</f>
        <v>#DIV/0!</v>
      </c>
      <c r="D636" s="1972" t="e">
        <f t="shared" si="1022"/>
        <v>#DIV/0!</v>
      </c>
      <c r="E636" s="1972" t="e">
        <f t="shared" si="1022"/>
        <v>#DIV/0!</v>
      </c>
      <c r="F636" s="1972" t="e">
        <f t="shared" si="1022"/>
        <v>#DIV/0!</v>
      </c>
      <c r="G636" s="1972" t="e">
        <f t="shared" si="1022"/>
        <v>#DIV/0!</v>
      </c>
      <c r="H636" s="1972" t="e">
        <f t="shared" si="1022"/>
        <v>#DIV/0!</v>
      </c>
      <c r="I636" s="1972" t="e">
        <f t="shared" si="1022"/>
        <v>#DIV/0!</v>
      </c>
      <c r="J636" s="1972" t="e">
        <f t="shared" si="1022"/>
        <v>#DIV/0!</v>
      </c>
      <c r="K636" s="1972" t="e">
        <f t="shared" si="1022"/>
        <v>#DIV/0!</v>
      </c>
      <c r="L636" s="1972" t="e">
        <f t="shared" si="1022"/>
        <v>#DIV/0!</v>
      </c>
      <c r="M636" s="1972" t="e">
        <f t="shared" si="1022"/>
        <v>#DIV/0!</v>
      </c>
      <c r="N636" s="1973" t="e">
        <f t="shared" si="1022"/>
        <v>#DIV/0!</v>
      </c>
      <c r="O636" s="21"/>
    </row>
    <row r="637" spans="1:15">
      <c r="A637" s="1963">
        <f>('Input''s from Initial Design'!W112*1000/(1.732*440*1))</f>
        <v>0</v>
      </c>
      <c r="B637" s="1964" t="s">
        <v>1150</v>
      </c>
      <c r="C637" s="26"/>
      <c r="D637" s="3213"/>
      <c r="E637" s="3213"/>
      <c r="F637" s="3213"/>
      <c r="G637" s="21"/>
      <c r="H637" s="21"/>
      <c r="I637" s="21"/>
      <c r="J637" s="21"/>
    </row>
    <row r="638" spans="1:15">
      <c r="A638" s="21"/>
      <c r="B638" s="21"/>
      <c r="C638" s="26"/>
      <c r="D638" s="21"/>
      <c r="E638" s="21">
        <v>27</v>
      </c>
      <c r="F638" s="21"/>
      <c r="G638" s="27"/>
      <c r="H638" s="21"/>
      <c r="I638" s="21"/>
      <c r="J638" s="21"/>
    </row>
    <row r="639" spans="1:15">
      <c r="A639" s="28" t="s">
        <v>1148</v>
      </c>
      <c r="B639" s="29" t="e">
        <f>IF(C635="FAIL",IF(D635="FAIL",IF(E635="FAIL",IF(F635="FAIL",IF(G635="FAIL",IF(H635="FAIL",IF(I635="FAIL",IF(J635="FAIL",IF(K635="FAIL",IF(L635="FAIL",IF(M635="FAIL","NO MATCH",$M$1),$L$1),$K$1),$J$1),$I$1),$H$1),$G$1),$F$1),$E$1),$D$1),$C$1)</f>
        <v>#DIV/0!</v>
      </c>
      <c r="C639" s="30" t="s">
        <v>1151</v>
      </c>
      <c r="D639" s="21"/>
      <c r="E639" s="21"/>
      <c r="F639" s="21"/>
      <c r="G639" s="21"/>
      <c r="H639" s="26"/>
      <c r="I639" s="21"/>
      <c r="J639" s="21"/>
      <c r="K639" s="21"/>
      <c r="L639" s="21"/>
      <c r="N639" s="21"/>
      <c r="O639" s="21"/>
    </row>
    <row r="640" spans="1:15">
      <c r="A640" s="28" t="s">
        <v>1149</v>
      </c>
      <c r="B640" s="29" t="e">
        <f>IF(C636="FAIL",IF(D636="FAIL",IF(E636="FAIL",IF(F636="FAIL",IF(G636="FAIL",IF(H636="FAIL",IF(I636="FAIL",IF(J636="FAIL",IF(K636="FAIL",IF(L636="FAIL",IF(M636="FAIL","NO MATCH",$M$1),$L$1),$K$1),$J$1),$I$1),$H$1),$G$1),$F$1),$E$1),$D$1),$C$1)</f>
        <v>#DIV/0!</v>
      </c>
      <c r="C640" s="30" t="s">
        <v>1151</v>
      </c>
      <c r="D640" s="21"/>
      <c r="E640" s="21"/>
      <c r="F640" s="21"/>
      <c r="G640" s="21"/>
      <c r="H640" s="26"/>
      <c r="I640" s="21"/>
      <c r="J640" s="21"/>
      <c r="K640" s="21"/>
      <c r="L640" s="21"/>
      <c r="N640" s="21"/>
      <c r="O640" s="21"/>
    </row>
    <row r="641" spans="1:15" ht="18.600000000000001" thickBot="1"/>
    <row r="642" spans="1:15" s="23" customFormat="1">
      <c r="A642" s="3214" t="s">
        <v>1122</v>
      </c>
      <c r="B642" s="3216"/>
      <c r="C642" s="35">
        <v>16</v>
      </c>
      <c r="D642" s="36">
        <v>25</v>
      </c>
      <c r="E642" s="36">
        <v>35</v>
      </c>
      <c r="F642" s="36">
        <v>50</v>
      </c>
      <c r="G642" s="36">
        <v>70</v>
      </c>
      <c r="H642" s="36">
        <v>95</v>
      </c>
      <c r="I642" s="36">
        <v>120</v>
      </c>
      <c r="J642" s="36">
        <v>150</v>
      </c>
      <c r="K642" s="36">
        <v>185</v>
      </c>
      <c r="L642" s="36">
        <v>240</v>
      </c>
      <c r="M642" s="36">
        <v>300</v>
      </c>
      <c r="N642" s="37">
        <v>400</v>
      </c>
      <c r="O642" s="22"/>
    </row>
    <row r="643" spans="1:15" s="23" customFormat="1" ht="18.600000000000001" thickBot="1">
      <c r="A643" s="3215"/>
      <c r="B643" s="3217"/>
      <c r="C643" s="1978" t="s">
        <v>1123</v>
      </c>
      <c r="D643" s="1979" t="s">
        <v>1124</v>
      </c>
      <c r="E643" s="1979" t="s">
        <v>1125</v>
      </c>
      <c r="F643" s="1979" t="s">
        <v>1126</v>
      </c>
      <c r="G643" s="1979" t="s">
        <v>1127</v>
      </c>
      <c r="H643" s="1979" t="s">
        <v>1128</v>
      </c>
      <c r="I643" s="1979" t="s">
        <v>1129</v>
      </c>
      <c r="J643" s="1979" t="s">
        <v>1130</v>
      </c>
      <c r="K643" s="1979" t="s">
        <v>1131</v>
      </c>
      <c r="L643" s="1979" t="s">
        <v>1132</v>
      </c>
      <c r="M643" s="1979" t="s">
        <v>1133</v>
      </c>
      <c r="N643" s="1980" t="s">
        <v>1134</v>
      </c>
      <c r="O643" s="22"/>
    </row>
    <row r="644" spans="1:15">
      <c r="A644" s="1981" t="s">
        <v>1135</v>
      </c>
      <c r="B644" s="1982"/>
      <c r="C644" s="31">
        <v>74</v>
      </c>
      <c r="D644" s="31">
        <v>94</v>
      </c>
      <c r="E644" s="31">
        <v>113</v>
      </c>
      <c r="F644" s="31">
        <v>133</v>
      </c>
      <c r="G644" s="31">
        <v>164</v>
      </c>
      <c r="H644" s="31">
        <v>196</v>
      </c>
      <c r="I644" s="31">
        <v>223</v>
      </c>
      <c r="J644" s="31">
        <v>249</v>
      </c>
      <c r="K644" s="31">
        <v>282</v>
      </c>
      <c r="L644" s="31">
        <v>326</v>
      </c>
      <c r="M644" s="31">
        <v>367</v>
      </c>
      <c r="N644" s="32">
        <v>418</v>
      </c>
      <c r="O644" s="21"/>
    </row>
    <row r="645" spans="1:15">
      <c r="A645" s="1967" t="s">
        <v>1136</v>
      </c>
      <c r="B645" s="43"/>
      <c r="C645" s="24">
        <v>74</v>
      </c>
      <c r="D645" s="24">
        <v>96</v>
      </c>
      <c r="E645" s="24">
        <v>117</v>
      </c>
      <c r="F645" s="24">
        <v>142</v>
      </c>
      <c r="G645" s="24">
        <v>179</v>
      </c>
      <c r="H645" s="24">
        <v>221</v>
      </c>
      <c r="I645" s="24">
        <v>257</v>
      </c>
      <c r="J645" s="24">
        <v>292</v>
      </c>
      <c r="K645" s="24">
        <v>337</v>
      </c>
      <c r="L645" s="24">
        <v>399</v>
      </c>
      <c r="M645" s="24">
        <v>455</v>
      </c>
      <c r="N645" s="33">
        <v>530</v>
      </c>
      <c r="O645" s="21"/>
    </row>
    <row r="646" spans="1:15" ht="22.5" customHeight="1">
      <c r="A646" s="1967" t="s">
        <v>1137</v>
      </c>
      <c r="B646" s="42">
        <v>0.7</v>
      </c>
      <c r="C646" s="24">
        <f>B646</f>
        <v>0.7</v>
      </c>
      <c r="D646" s="24">
        <f>C646</f>
        <v>0.7</v>
      </c>
      <c r="E646" s="24">
        <f t="shared" ref="E646" si="1023">D646</f>
        <v>0.7</v>
      </c>
      <c r="F646" s="24">
        <f t="shared" ref="F646" si="1024">E646</f>
        <v>0.7</v>
      </c>
      <c r="G646" s="24">
        <f t="shared" ref="G646" si="1025">F646</f>
        <v>0.7</v>
      </c>
      <c r="H646" s="24">
        <f t="shared" ref="H646" si="1026">G646</f>
        <v>0.7</v>
      </c>
      <c r="I646" s="24">
        <f t="shared" ref="I646" si="1027">H646</f>
        <v>0.7</v>
      </c>
      <c r="J646" s="24">
        <f t="shared" ref="J646" si="1028">I646</f>
        <v>0.7</v>
      </c>
      <c r="K646" s="24">
        <f t="shared" ref="K646" si="1029">J646</f>
        <v>0.7</v>
      </c>
      <c r="L646" s="24">
        <f t="shared" ref="L646" si="1030">K646</f>
        <v>0.7</v>
      </c>
      <c r="M646" s="24">
        <f>L646</f>
        <v>0.7</v>
      </c>
      <c r="N646" s="33">
        <f>M646</f>
        <v>0.7</v>
      </c>
      <c r="O646" s="21"/>
    </row>
    <row r="647" spans="1:15">
      <c r="A647" s="1967" t="s">
        <v>1138</v>
      </c>
      <c r="B647" s="43"/>
      <c r="C647" s="24">
        <f>C644*C646</f>
        <v>51.8</v>
      </c>
      <c r="D647" s="24">
        <f t="shared" ref="D647:G647" si="1031">D644*D646</f>
        <v>65.8</v>
      </c>
      <c r="E647" s="24">
        <f t="shared" si="1031"/>
        <v>79.099999999999994</v>
      </c>
      <c r="F647" s="24">
        <f t="shared" si="1031"/>
        <v>93.1</v>
      </c>
      <c r="G647" s="24">
        <f t="shared" si="1031"/>
        <v>114.8</v>
      </c>
      <c r="H647" s="24">
        <f>H644*H646</f>
        <v>137.19999999999999</v>
      </c>
      <c r="I647" s="24">
        <f t="shared" ref="I647:N647" si="1032">I644*I646</f>
        <v>156.1</v>
      </c>
      <c r="J647" s="24">
        <f t="shared" si="1032"/>
        <v>174.29999999999998</v>
      </c>
      <c r="K647" s="24">
        <f t="shared" si="1032"/>
        <v>197.39999999999998</v>
      </c>
      <c r="L647" s="24">
        <f t="shared" si="1032"/>
        <v>228.2</v>
      </c>
      <c r="M647" s="24">
        <f t="shared" si="1032"/>
        <v>256.89999999999998</v>
      </c>
      <c r="N647" s="33">
        <f t="shared" si="1032"/>
        <v>292.59999999999997</v>
      </c>
      <c r="O647" s="21"/>
    </row>
    <row r="648" spans="1:15">
      <c r="A648" s="1967" t="s">
        <v>1139</v>
      </c>
      <c r="B648" s="43"/>
      <c r="C648" s="24">
        <f>C645*C646</f>
        <v>51.8</v>
      </c>
      <c r="D648" s="24">
        <f>D645*D646</f>
        <v>67.199999999999989</v>
      </c>
      <c r="E648" s="24">
        <f t="shared" ref="E648:G648" si="1033">E645*E646</f>
        <v>81.899999999999991</v>
      </c>
      <c r="F648" s="24">
        <f t="shared" si="1033"/>
        <v>99.399999999999991</v>
      </c>
      <c r="G648" s="24">
        <f t="shared" si="1033"/>
        <v>125.3</v>
      </c>
      <c r="H648" s="24">
        <f>H645*H646</f>
        <v>154.69999999999999</v>
      </c>
      <c r="I648" s="24">
        <f t="shared" ref="I648:N648" si="1034">I645*I646</f>
        <v>179.89999999999998</v>
      </c>
      <c r="J648" s="24">
        <f t="shared" si="1034"/>
        <v>204.39999999999998</v>
      </c>
      <c r="K648" s="24">
        <f t="shared" si="1034"/>
        <v>235.89999999999998</v>
      </c>
      <c r="L648" s="24">
        <f t="shared" si="1034"/>
        <v>279.29999999999995</v>
      </c>
      <c r="M648" s="24">
        <f t="shared" si="1034"/>
        <v>318.5</v>
      </c>
      <c r="N648" s="33">
        <f t="shared" si="1034"/>
        <v>371</v>
      </c>
      <c r="O648" s="21"/>
    </row>
    <row r="649" spans="1:15">
      <c r="A649" s="1967"/>
      <c r="B649" s="43"/>
      <c r="C649" s="24"/>
      <c r="D649" s="24"/>
      <c r="E649" s="24"/>
      <c r="F649" s="24"/>
      <c r="G649" s="24"/>
      <c r="H649" s="24"/>
      <c r="I649" s="24"/>
      <c r="J649" s="24"/>
      <c r="K649" s="24"/>
      <c r="L649" s="24"/>
      <c r="M649" s="24"/>
      <c r="N649" s="33"/>
      <c r="O649" s="21"/>
    </row>
    <row r="650" spans="1:15">
      <c r="A650" s="1967" t="s">
        <v>1140</v>
      </c>
      <c r="B650" s="43"/>
      <c r="C650" s="24">
        <v>2.44</v>
      </c>
      <c r="D650" s="24">
        <v>1.54</v>
      </c>
      <c r="E650" s="24">
        <v>1.1100000000000001</v>
      </c>
      <c r="F650" s="24">
        <v>0.82</v>
      </c>
      <c r="G650" s="24">
        <v>0.56699999999999995</v>
      </c>
      <c r="H650" s="24">
        <v>0.41</v>
      </c>
      <c r="I650" s="24">
        <v>0.32400000000000001</v>
      </c>
      <c r="J650" s="24">
        <v>0.26400000000000001</v>
      </c>
      <c r="K650" s="24">
        <v>0.21</v>
      </c>
      <c r="L650" s="24">
        <v>0.16</v>
      </c>
      <c r="M650" s="24">
        <v>0.128</v>
      </c>
      <c r="N650" s="33">
        <v>0.1</v>
      </c>
      <c r="O650" s="21"/>
    </row>
    <row r="651" spans="1:15">
      <c r="A651" s="1967" t="s">
        <v>1141</v>
      </c>
      <c r="B651" s="43"/>
      <c r="C651" s="24">
        <v>8.0799999999999997E-2</v>
      </c>
      <c r="D651" s="24">
        <v>8.0500000000000002E-2</v>
      </c>
      <c r="E651" s="24">
        <v>7.8299999999999995E-2</v>
      </c>
      <c r="F651" s="24">
        <v>7.4999999999999997E-2</v>
      </c>
      <c r="G651" s="24">
        <v>7.3999999999999996E-2</v>
      </c>
      <c r="H651" s="24">
        <v>7.2400000000000006E-2</v>
      </c>
      <c r="I651" s="24">
        <v>7.1199999999999999E-2</v>
      </c>
      <c r="J651" s="24">
        <v>7.1599999999999997E-2</v>
      </c>
      <c r="K651" s="24">
        <v>7.1800000000000003E-2</v>
      </c>
      <c r="L651" s="24">
        <v>7.0999999999999994E-2</v>
      </c>
      <c r="M651" s="24">
        <v>7.0499999999999993E-2</v>
      </c>
      <c r="N651" s="33">
        <v>7.0400000000000004E-2</v>
      </c>
      <c r="O651" s="21"/>
    </row>
    <row r="652" spans="1:15">
      <c r="A652" s="1967"/>
      <c r="B652" s="43"/>
      <c r="C652" s="24"/>
      <c r="D652" s="24"/>
      <c r="E652" s="24"/>
      <c r="F652" s="24"/>
      <c r="G652" s="24"/>
      <c r="H652" s="24"/>
      <c r="I652" s="24"/>
      <c r="J652" s="24"/>
      <c r="K652" s="24"/>
      <c r="L652" s="24"/>
      <c r="M652" s="24"/>
      <c r="N652" s="33"/>
      <c r="O652" s="21"/>
    </row>
    <row r="653" spans="1:15" ht="24.75" customHeight="1">
      <c r="A653" s="1968" t="s">
        <v>1142</v>
      </c>
      <c r="B653" s="41">
        <f>A661</f>
        <v>0</v>
      </c>
      <c r="C653" s="24">
        <f t="shared" ref="C653:C655" si="1035">B653</f>
        <v>0</v>
      </c>
      <c r="D653" s="24">
        <f t="shared" ref="D653:D655" si="1036">C653</f>
        <v>0</v>
      </c>
      <c r="E653" s="24">
        <f t="shared" ref="E653:E655" si="1037">D653</f>
        <v>0</v>
      </c>
      <c r="F653" s="24">
        <f t="shared" ref="F653:F655" si="1038">E653</f>
        <v>0</v>
      </c>
      <c r="G653" s="24">
        <f t="shared" ref="G653:G655" si="1039">F653</f>
        <v>0</v>
      </c>
      <c r="H653" s="24">
        <f t="shared" ref="H653:H655" si="1040">G653</f>
        <v>0</v>
      </c>
      <c r="I653" s="24">
        <f t="shared" ref="I653:I655" si="1041">H653</f>
        <v>0</v>
      </c>
      <c r="J653" s="24">
        <f t="shared" ref="J653:J655" si="1042">I653</f>
        <v>0</v>
      </c>
      <c r="K653" s="24">
        <f t="shared" ref="K653:K655" si="1043">J653</f>
        <v>0</v>
      </c>
      <c r="L653" s="24">
        <f t="shared" ref="L653:L655" si="1044">K653</f>
        <v>0</v>
      </c>
      <c r="M653" s="24">
        <f t="shared" ref="M653:M655" si="1045">L653</f>
        <v>0</v>
      </c>
      <c r="N653" s="33">
        <f t="shared" ref="N653:N655" si="1046">M653</f>
        <v>0</v>
      </c>
      <c r="O653" s="21"/>
    </row>
    <row r="654" spans="1:15">
      <c r="A654" s="1968" t="s">
        <v>1143</v>
      </c>
      <c r="B654" s="42">
        <f>'Input''s from Initial Design'!X114</f>
        <v>0</v>
      </c>
      <c r="C654" s="24">
        <f t="shared" si="1035"/>
        <v>0</v>
      </c>
      <c r="D654" s="24">
        <f t="shared" si="1036"/>
        <v>0</v>
      </c>
      <c r="E654" s="24">
        <f t="shared" si="1037"/>
        <v>0</v>
      </c>
      <c r="F654" s="24">
        <f t="shared" si="1038"/>
        <v>0</v>
      </c>
      <c r="G654" s="24">
        <f t="shared" si="1039"/>
        <v>0</v>
      </c>
      <c r="H654" s="24">
        <f t="shared" si="1040"/>
        <v>0</v>
      </c>
      <c r="I654" s="24">
        <f t="shared" si="1041"/>
        <v>0</v>
      </c>
      <c r="J654" s="24">
        <f t="shared" si="1042"/>
        <v>0</v>
      </c>
      <c r="K654" s="24">
        <f t="shared" si="1043"/>
        <v>0</v>
      </c>
      <c r="L654" s="24">
        <f t="shared" si="1044"/>
        <v>0</v>
      </c>
      <c r="M654" s="24">
        <f t="shared" si="1045"/>
        <v>0</v>
      </c>
      <c r="N654" s="33">
        <f t="shared" si="1046"/>
        <v>0</v>
      </c>
      <c r="O654" s="21"/>
    </row>
    <row r="655" spans="1:15">
      <c r="A655" s="1968" t="s">
        <v>1144</v>
      </c>
      <c r="B655" s="42">
        <f>'Input''s from Initial Design'!Y114</f>
        <v>0</v>
      </c>
      <c r="C655" s="24">
        <f t="shared" si="1035"/>
        <v>0</v>
      </c>
      <c r="D655" s="24">
        <f t="shared" si="1036"/>
        <v>0</v>
      </c>
      <c r="E655" s="24">
        <f t="shared" si="1037"/>
        <v>0</v>
      </c>
      <c r="F655" s="24">
        <f t="shared" si="1038"/>
        <v>0</v>
      </c>
      <c r="G655" s="24">
        <f t="shared" si="1039"/>
        <v>0</v>
      </c>
      <c r="H655" s="24">
        <f t="shared" si="1040"/>
        <v>0</v>
      </c>
      <c r="I655" s="24">
        <f t="shared" si="1041"/>
        <v>0</v>
      </c>
      <c r="J655" s="24">
        <f t="shared" si="1042"/>
        <v>0</v>
      </c>
      <c r="K655" s="24">
        <f t="shared" si="1043"/>
        <v>0</v>
      </c>
      <c r="L655" s="24">
        <f t="shared" si="1044"/>
        <v>0</v>
      </c>
      <c r="M655" s="24">
        <f t="shared" si="1045"/>
        <v>0</v>
      </c>
      <c r="N655" s="33">
        <f t="shared" si="1046"/>
        <v>0</v>
      </c>
      <c r="O655" s="21"/>
    </row>
    <row r="656" spans="1:15">
      <c r="A656" s="1968" t="s">
        <v>1145</v>
      </c>
      <c r="B656" s="42">
        <v>415</v>
      </c>
      <c r="C656" s="24">
        <f>+B656</f>
        <v>415</v>
      </c>
      <c r="D656" s="24">
        <f t="shared" ref="D656" si="1047">+C656</f>
        <v>415</v>
      </c>
      <c r="E656" s="24">
        <f t="shared" ref="E656" si="1048">+D656</f>
        <v>415</v>
      </c>
      <c r="F656" s="24">
        <f t="shared" ref="F656" si="1049">+E656</f>
        <v>415</v>
      </c>
      <c r="G656" s="24">
        <f t="shared" ref="G656" si="1050">+F656</f>
        <v>415</v>
      </c>
      <c r="H656" s="24">
        <f t="shared" ref="H656" si="1051">+G656</f>
        <v>415</v>
      </c>
      <c r="I656" s="24">
        <f t="shared" ref="I656" si="1052">+H656</f>
        <v>415</v>
      </c>
      <c r="J656" s="24">
        <f t="shared" ref="J656" si="1053">+I656</f>
        <v>415</v>
      </c>
      <c r="K656" s="24">
        <f t="shared" ref="K656" si="1054">+J656</f>
        <v>415</v>
      </c>
      <c r="L656" s="24">
        <f t="shared" ref="L656" si="1055">+K656</f>
        <v>415</v>
      </c>
      <c r="M656" s="24">
        <f t="shared" ref="M656" si="1056">+L656</f>
        <v>415</v>
      </c>
      <c r="N656" s="33">
        <f t="shared" ref="N656" si="1057">+M656</f>
        <v>415</v>
      </c>
      <c r="O656" s="21"/>
    </row>
    <row r="657" spans="1:15">
      <c r="A657" s="1967" t="s">
        <v>1146</v>
      </c>
      <c r="B657" s="43"/>
      <c r="C657" s="25" t="e">
        <f t="shared" ref="C657:N657" si="1058">1.732*C653*(C650/1000*1+C651/1000*0)*C654/C655</f>
        <v>#DIV/0!</v>
      </c>
      <c r="D657" s="25" t="e">
        <f t="shared" si="1058"/>
        <v>#DIV/0!</v>
      </c>
      <c r="E657" s="25" t="e">
        <f t="shared" si="1058"/>
        <v>#DIV/0!</v>
      </c>
      <c r="F657" s="25" t="e">
        <f t="shared" si="1058"/>
        <v>#DIV/0!</v>
      </c>
      <c r="G657" s="25" t="e">
        <f t="shared" si="1058"/>
        <v>#DIV/0!</v>
      </c>
      <c r="H657" s="25" t="e">
        <f t="shared" si="1058"/>
        <v>#DIV/0!</v>
      </c>
      <c r="I657" s="25" t="e">
        <f t="shared" si="1058"/>
        <v>#DIV/0!</v>
      </c>
      <c r="J657" s="25" t="e">
        <f t="shared" si="1058"/>
        <v>#DIV/0!</v>
      </c>
      <c r="K657" s="25" t="e">
        <f t="shared" si="1058"/>
        <v>#DIV/0!</v>
      </c>
      <c r="L657" s="25" t="e">
        <f t="shared" si="1058"/>
        <v>#DIV/0!</v>
      </c>
      <c r="M657" s="25" t="e">
        <f t="shared" si="1058"/>
        <v>#DIV/0!</v>
      </c>
      <c r="N657" s="34" t="e">
        <f t="shared" si="1058"/>
        <v>#DIV/0!</v>
      </c>
      <c r="O657" s="21"/>
    </row>
    <row r="658" spans="1:15">
      <c r="A658" s="1967" t="s">
        <v>1147</v>
      </c>
      <c r="B658" s="43"/>
      <c r="C658" s="1965" t="e">
        <f>C657/C656</f>
        <v>#DIV/0!</v>
      </c>
      <c r="D658" s="1965" t="e">
        <f t="shared" ref="D658:N658" si="1059">D657/D656</f>
        <v>#DIV/0!</v>
      </c>
      <c r="E658" s="1965" t="e">
        <f t="shared" si="1059"/>
        <v>#DIV/0!</v>
      </c>
      <c r="F658" s="1965" t="e">
        <f t="shared" si="1059"/>
        <v>#DIV/0!</v>
      </c>
      <c r="G658" s="1965" t="e">
        <f t="shared" si="1059"/>
        <v>#DIV/0!</v>
      </c>
      <c r="H658" s="1965" t="e">
        <f t="shared" si="1059"/>
        <v>#DIV/0!</v>
      </c>
      <c r="I658" s="1965" t="e">
        <f t="shared" si="1059"/>
        <v>#DIV/0!</v>
      </c>
      <c r="J658" s="1965" t="e">
        <f t="shared" si="1059"/>
        <v>#DIV/0!</v>
      </c>
      <c r="K658" s="1965" t="e">
        <f t="shared" si="1059"/>
        <v>#DIV/0!</v>
      </c>
      <c r="L658" s="1965" t="e">
        <f t="shared" si="1059"/>
        <v>#DIV/0!</v>
      </c>
      <c r="M658" s="1965" t="e">
        <f t="shared" si="1059"/>
        <v>#DIV/0!</v>
      </c>
      <c r="N658" s="1969" t="e">
        <f t="shared" si="1059"/>
        <v>#DIV/0!</v>
      </c>
      <c r="O658" s="21"/>
    </row>
    <row r="659" spans="1:15">
      <c r="A659" s="1968" t="s">
        <v>1148</v>
      </c>
      <c r="B659" s="1966">
        <v>0.02</v>
      </c>
      <c r="C659" s="24" t="e">
        <f>IF(AND((C653*1.25)&lt;(C647*C655),(C658&lt;$B$16)),"PASS","FAIL")</f>
        <v>#DIV/0!</v>
      </c>
      <c r="D659" s="24" t="e">
        <f>IF(AND((D653*1.25)&lt;(D647*D655),(D658&lt;$B$16)),"PASS","FAIL")</f>
        <v>#DIV/0!</v>
      </c>
      <c r="E659" s="24" t="e">
        <f>IF(AND((E653*1.25)&lt;(E647*E655),(E658&lt;$B$16)),"PASS","FAIL")</f>
        <v>#DIV/0!</v>
      </c>
      <c r="F659" s="24" t="e">
        <f>IF(AND((F653*1.25)&lt;(F647*F655),(F658&lt;$B$16)),"PASS","FAIL")</f>
        <v>#DIV/0!</v>
      </c>
      <c r="G659" s="24" t="e">
        <f>IF(AND((G653*1.25)&lt;(G647*G655),(G658&lt;$B$16)),"PASS","FAIL")</f>
        <v>#DIV/0!</v>
      </c>
      <c r="H659" s="24" t="e">
        <f>IF(AND((H653*1.1)&lt;(H647*H655),(H658&lt;$B$16)),"PASS","FAIL")</f>
        <v>#DIV/0!</v>
      </c>
      <c r="I659" s="24" t="e">
        <f t="shared" ref="I659:N659" si="1060">IF(AND((I653*1.25)&lt;(I647*I655),(I658&lt;$B$16)),"PASS","FAIL")</f>
        <v>#DIV/0!</v>
      </c>
      <c r="J659" s="24" t="e">
        <f t="shared" si="1060"/>
        <v>#DIV/0!</v>
      </c>
      <c r="K659" s="24" t="e">
        <f t="shared" si="1060"/>
        <v>#DIV/0!</v>
      </c>
      <c r="L659" s="24" t="e">
        <f t="shared" si="1060"/>
        <v>#DIV/0!</v>
      </c>
      <c r="M659" s="24" t="e">
        <f t="shared" si="1060"/>
        <v>#DIV/0!</v>
      </c>
      <c r="N659" s="33" t="e">
        <f t="shared" si="1060"/>
        <v>#DIV/0!</v>
      </c>
      <c r="O659" s="21"/>
    </row>
    <row r="660" spans="1:15" ht="18.600000000000001" thickBot="1">
      <c r="A660" s="1970" t="s">
        <v>1149</v>
      </c>
      <c r="B660" s="1971"/>
      <c r="C660" s="1972" t="e">
        <f t="shared" ref="C660:N660" si="1061">IF(AND((C653*1.25)&lt;(C648*C655),(C658&lt;$B$16)),"PASS","FAIL")</f>
        <v>#DIV/0!</v>
      </c>
      <c r="D660" s="1972" t="e">
        <f t="shared" si="1061"/>
        <v>#DIV/0!</v>
      </c>
      <c r="E660" s="1972" t="e">
        <f t="shared" si="1061"/>
        <v>#DIV/0!</v>
      </c>
      <c r="F660" s="1972" t="e">
        <f t="shared" si="1061"/>
        <v>#DIV/0!</v>
      </c>
      <c r="G660" s="1972" t="e">
        <f t="shared" si="1061"/>
        <v>#DIV/0!</v>
      </c>
      <c r="H660" s="1972" t="e">
        <f t="shared" si="1061"/>
        <v>#DIV/0!</v>
      </c>
      <c r="I660" s="1972" t="e">
        <f t="shared" si="1061"/>
        <v>#DIV/0!</v>
      </c>
      <c r="J660" s="1972" t="e">
        <f t="shared" si="1061"/>
        <v>#DIV/0!</v>
      </c>
      <c r="K660" s="1972" t="e">
        <f t="shared" si="1061"/>
        <v>#DIV/0!</v>
      </c>
      <c r="L660" s="1972" t="e">
        <f t="shared" si="1061"/>
        <v>#DIV/0!</v>
      </c>
      <c r="M660" s="1972" t="e">
        <f t="shared" si="1061"/>
        <v>#DIV/0!</v>
      </c>
      <c r="N660" s="1973" t="e">
        <f t="shared" si="1061"/>
        <v>#DIV/0!</v>
      </c>
      <c r="O660" s="21"/>
    </row>
    <row r="661" spans="1:15">
      <c r="A661" s="1963">
        <f>('Input''s from Initial Design'!W114*1000/(1.732*440*1))</f>
        <v>0</v>
      </c>
      <c r="B661" s="1964" t="s">
        <v>1150</v>
      </c>
      <c r="C661" s="26"/>
      <c r="D661" s="3213"/>
      <c r="E661" s="3213"/>
      <c r="F661" s="3213"/>
      <c r="G661" s="21"/>
      <c r="H661" s="21"/>
      <c r="I661" s="21"/>
      <c r="J661" s="21"/>
    </row>
    <row r="662" spans="1:15">
      <c r="A662" s="21"/>
      <c r="B662" s="21"/>
      <c r="C662" s="26"/>
      <c r="D662" s="21"/>
      <c r="E662" s="21">
        <v>28</v>
      </c>
      <c r="F662" s="21"/>
      <c r="G662" s="27"/>
      <c r="H662" s="21"/>
      <c r="I662" s="21"/>
      <c r="J662" s="21"/>
    </row>
    <row r="663" spans="1:15">
      <c r="A663" s="28" t="s">
        <v>1148</v>
      </c>
      <c r="B663" s="29" t="e">
        <f>IF(C659="FAIL",IF(D659="FAIL",IF(E659="FAIL",IF(F659="FAIL",IF(G659="FAIL",IF(H659="FAIL",IF(I659="FAIL",IF(J659="FAIL",IF(K659="FAIL",IF(L659="FAIL",IF(M659="FAIL","NO MATCH",$M$1),$L$1),$K$1),$J$1),$I$1),$H$1),$G$1),$F$1),$E$1),$D$1),$C$1)</f>
        <v>#DIV/0!</v>
      </c>
      <c r="C663" s="30" t="s">
        <v>1151</v>
      </c>
      <c r="D663" s="21"/>
      <c r="E663" s="21"/>
      <c r="F663" s="21"/>
      <c r="G663" s="21"/>
      <c r="H663" s="26"/>
      <c r="I663" s="21"/>
      <c r="J663" s="21"/>
      <c r="K663" s="21"/>
      <c r="L663" s="21"/>
      <c r="N663" s="21"/>
      <c r="O663" s="21"/>
    </row>
    <row r="664" spans="1:15">
      <c r="A664" s="28" t="s">
        <v>1149</v>
      </c>
      <c r="B664" s="29" t="e">
        <f>IF(C660="FAIL",IF(D660="FAIL",IF(E660="FAIL",IF(F660="FAIL",IF(G660="FAIL",IF(H660="FAIL",IF(I660="FAIL",IF(J660="FAIL",IF(K660="FAIL",IF(L660="FAIL",IF(M660="FAIL","NO MATCH",$M$1),$L$1),$K$1),$J$1),$I$1),$H$1),$G$1),$F$1),$E$1),$D$1),$C$1)</f>
        <v>#DIV/0!</v>
      </c>
      <c r="C664" s="30" t="s">
        <v>1151</v>
      </c>
      <c r="D664" s="21"/>
      <c r="E664" s="21"/>
      <c r="F664" s="21"/>
      <c r="G664" s="21"/>
      <c r="H664" s="26"/>
      <c r="I664" s="21"/>
      <c r="J664" s="21"/>
      <c r="K664" s="21"/>
      <c r="L664" s="21"/>
      <c r="N664" s="21"/>
      <c r="O664" s="21"/>
    </row>
    <row r="665" spans="1:15" ht="18.600000000000001" thickBot="1"/>
    <row r="666" spans="1:15" s="23" customFormat="1">
      <c r="A666" s="3214" t="s">
        <v>1122</v>
      </c>
      <c r="B666" s="3216"/>
      <c r="C666" s="35">
        <v>16</v>
      </c>
      <c r="D666" s="36">
        <v>25</v>
      </c>
      <c r="E666" s="36">
        <v>35</v>
      </c>
      <c r="F666" s="36">
        <v>50</v>
      </c>
      <c r="G666" s="36">
        <v>70</v>
      </c>
      <c r="H666" s="36">
        <v>95</v>
      </c>
      <c r="I666" s="36">
        <v>120</v>
      </c>
      <c r="J666" s="36">
        <v>150</v>
      </c>
      <c r="K666" s="36">
        <v>185</v>
      </c>
      <c r="L666" s="36">
        <v>240</v>
      </c>
      <c r="M666" s="36">
        <v>300</v>
      </c>
      <c r="N666" s="37">
        <v>400</v>
      </c>
      <c r="O666" s="22"/>
    </row>
    <row r="667" spans="1:15" s="23" customFormat="1" ht="18.600000000000001" thickBot="1">
      <c r="A667" s="3218"/>
      <c r="B667" s="3219"/>
      <c r="C667" s="38" t="s">
        <v>1123</v>
      </c>
      <c r="D667" s="39" t="s">
        <v>1124</v>
      </c>
      <c r="E667" s="39" t="s">
        <v>1125</v>
      </c>
      <c r="F667" s="39" t="s">
        <v>1126</v>
      </c>
      <c r="G667" s="39" t="s">
        <v>1127</v>
      </c>
      <c r="H667" s="39" t="s">
        <v>1128</v>
      </c>
      <c r="I667" s="39" t="s">
        <v>1129</v>
      </c>
      <c r="J667" s="39" t="s">
        <v>1130</v>
      </c>
      <c r="K667" s="39" t="s">
        <v>1131</v>
      </c>
      <c r="L667" s="39" t="s">
        <v>1132</v>
      </c>
      <c r="M667" s="39" t="s">
        <v>1133</v>
      </c>
      <c r="N667" s="40" t="s">
        <v>1134</v>
      </c>
      <c r="O667" s="22"/>
    </row>
    <row r="668" spans="1:15">
      <c r="A668" s="1967" t="s">
        <v>1135</v>
      </c>
      <c r="B668" s="43"/>
      <c r="C668" s="24">
        <v>74</v>
      </c>
      <c r="D668" s="24">
        <v>94</v>
      </c>
      <c r="E668" s="24">
        <v>113</v>
      </c>
      <c r="F668" s="24">
        <v>133</v>
      </c>
      <c r="G668" s="24">
        <v>164</v>
      </c>
      <c r="H668" s="24">
        <v>196</v>
      </c>
      <c r="I668" s="24">
        <v>223</v>
      </c>
      <c r="J668" s="24">
        <v>249</v>
      </c>
      <c r="K668" s="24">
        <v>282</v>
      </c>
      <c r="L668" s="24">
        <v>326</v>
      </c>
      <c r="M668" s="24">
        <v>367</v>
      </c>
      <c r="N668" s="33">
        <v>418</v>
      </c>
      <c r="O668" s="21"/>
    </row>
    <row r="669" spans="1:15">
      <c r="A669" s="1967" t="s">
        <v>1136</v>
      </c>
      <c r="B669" s="43"/>
      <c r="C669" s="24">
        <v>74</v>
      </c>
      <c r="D669" s="24">
        <v>96</v>
      </c>
      <c r="E669" s="24">
        <v>117</v>
      </c>
      <c r="F669" s="24">
        <v>142</v>
      </c>
      <c r="G669" s="24">
        <v>179</v>
      </c>
      <c r="H669" s="24">
        <v>221</v>
      </c>
      <c r="I669" s="24">
        <v>257</v>
      </c>
      <c r="J669" s="24">
        <v>292</v>
      </c>
      <c r="K669" s="24">
        <v>337</v>
      </c>
      <c r="L669" s="24">
        <v>399</v>
      </c>
      <c r="M669" s="24">
        <v>455</v>
      </c>
      <c r="N669" s="33">
        <v>530</v>
      </c>
      <c r="O669" s="21"/>
    </row>
    <row r="670" spans="1:15" ht="22.5" customHeight="1">
      <c r="A670" s="1967" t="s">
        <v>1137</v>
      </c>
      <c r="B670" s="42">
        <v>0.7</v>
      </c>
      <c r="C670" s="24">
        <f>B670</f>
        <v>0.7</v>
      </c>
      <c r="D670" s="24">
        <f>C670</f>
        <v>0.7</v>
      </c>
      <c r="E670" s="24">
        <f t="shared" ref="E670" si="1062">D670</f>
        <v>0.7</v>
      </c>
      <c r="F670" s="24">
        <f t="shared" ref="F670" si="1063">E670</f>
        <v>0.7</v>
      </c>
      <c r="G670" s="24">
        <f t="shared" ref="G670" si="1064">F670</f>
        <v>0.7</v>
      </c>
      <c r="H670" s="24">
        <f t="shared" ref="H670" si="1065">G670</f>
        <v>0.7</v>
      </c>
      <c r="I670" s="24">
        <f t="shared" ref="I670" si="1066">H670</f>
        <v>0.7</v>
      </c>
      <c r="J670" s="24">
        <f t="shared" ref="J670" si="1067">I670</f>
        <v>0.7</v>
      </c>
      <c r="K670" s="24">
        <f t="shared" ref="K670" si="1068">J670</f>
        <v>0.7</v>
      </c>
      <c r="L670" s="24">
        <f t="shared" ref="L670" si="1069">K670</f>
        <v>0.7</v>
      </c>
      <c r="M670" s="24">
        <f>L670</f>
        <v>0.7</v>
      </c>
      <c r="N670" s="33">
        <f>M670</f>
        <v>0.7</v>
      </c>
      <c r="O670" s="21"/>
    </row>
    <row r="671" spans="1:15">
      <c r="A671" s="1967" t="s">
        <v>1138</v>
      </c>
      <c r="B671" s="43"/>
      <c r="C671" s="24">
        <f>C668*C670</f>
        <v>51.8</v>
      </c>
      <c r="D671" s="24">
        <f t="shared" ref="D671:G671" si="1070">D668*D670</f>
        <v>65.8</v>
      </c>
      <c r="E671" s="24">
        <f t="shared" si="1070"/>
        <v>79.099999999999994</v>
      </c>
      <c r="F671" s="24">
        <f t="shared" si="1070"/>
        <v>93.1</v>
      </c>
      <c r="G671" s="24">
        <f t="shared" si="1070"/>
        <v>114.8</v>
      </c>
      <c r="H671" s="24">
        <f>H668*H670</f>
        <v>137.19999999999999</v>
      </c>
      <c r="I671" s="24">
        <f t="shared" ref="I671:N671" si="1071">I668*I670</f>
        <v>156.1</v>
      </c>
      <c r="J671" s="24">
        <f t="shared" si="1071"/>
        <v>174.29999999999998</v>
      </c>
      <c r="K671" s="24">
        <f t="shared" si="1071"/>
        <v>197.39999999999998</v>
      </c>
      <c r="L671" s="24">
        <f t="shared" si="1071"/>
        <v>228.2</v>
      </c>
      <c r="M671" s="24">
        <f t="shared" si="1071"/>
        <v>256.89999999999998</v>
      </c>
      <c r="N671" s="33">
        <f t="shared" si="1071"/>
        <v>292.59999999999997</v>
      </c>
      <c r="O671" s="21"/>
    </row>
    <row r="672" spans="1:15">
      <c r="A672" s="1967" t="s">
        <v>1139</v>
      </c>
      <c r="B672" s="43"/>
      <c r="C672" s="24">
        <f>C669*C670</f>
        <v>51.8</v>
      </c>
      <c r="D672" s="24">
        <f>D669*D670</f>
        <v>67.199999999999989</v>
      </c>
      <c r="E672" s="24">
        <f t="shared" ref="E672:G672" si="1072">E669*E670</f>
        <v>81.899999999999991</v>
      </c>
      <c r="F672" s="24">
        <f t="shared" si="1072"/>
        <v>99.399999999999991</v>
      </c>
      <c r="G672" s="24">
        <f t="shared" si="1072"/>
        <v>125.3</v>
      </c>
      <c r="H672" s="24">
        <f>H669*H670</f>
        <v>154.69999999999999</v>
      </c>
      <c r="I672" s="24">
        <f t="shared" ref="I672:N672" si="1073">I669*I670</f>
        <v>179.89999999999998</v>
      </c>
      <c r="J672" s="24">
        <f t="shared" si="1073"/>
        <v>204.39999999999998</v>
      </c>
      <c r="K672" s="24">
        <f t="shared" si="1073"/>
        <v>235.89999999999998</v>
      </c>
      <c r="L672" s="24">
        <f t="shared" si="1073"/>
        <v>279.29999999999995</v>
      </c>
      <c r="M672" s="24">
        <f t="shared" si="1073"/>
        <v>318.5</v>
      </c>
      <c r="N672" s="33">
        <f t="shared" si="1073"/>
        <v>371</v>
      </c>
      <c r="O672" s="21"/>
    </row>
    <row r="673" spans="1:15">
      <c r="A673" s="1967"/>
      <c r="B673" s="43"/>
      <c r="C673" s="24"/>
      <c r="D673" s="24"/>
      <c r="E673" s="24"/>
      <c r="F673" s="24"/>
      <c r="G673" s="24"/>
      <c r="H673" s="24"/>
      <c r="I673" s="24"/>
      <c r="J673" s="24"/>
      <c r="K673" s="24"/>
      <c r="L673" s="24"/>
      <c r="M673" s="24"/>
      <c r="N673" s="33"/>
      <c r="O673" s="21"/>
    </row>
    <row r="674" spans="1:15">
      <c r="A674" s="1967" t="s">
        <v>1140</v>
      </c>
      <c r="B674" s="43"/>
      <c r="C674" s="24">
        <v>2.44</v>
      </c>
      <c r="D674" s="24">
        <v>1.54</v>
      </c>
      <c r="E674" s="24">
        <v>1.1100000000000001</v>
      </c>
      <c r="F674" s="24">
        <v>0.82</v>
      </c>
      <c r="G674" s="24">
        <v>0.56699999999999995</v>
      </c>
      <c r="H674" s="24">
        <v>0.41</v>
      </c>
      <c r="I674" s="24">
        <v>0.32400000000000001</v>
      </c>
      <c r="J674" s="24">
        <v>0.26400000000000001</v>
      </c>
      <c r="K674" s="24">
        <v>0.21</v>
      </c>
      <c r="L674" s="24">
        <v>0.16</v>
      </c>
      <c r="M674" s="24">
        <v>0.128</v>
      </c>
      <c r="N674" s="33">
        <v>0.1</v>
      </c>
      <c r="O674" s="21"/>
    </row>
    <row r="675" spans="1:15">
      <c r="A675" s="1967" t="s">
        <v>1141</v>
      </c>
      <c r="B675" s="43"/>
      <c r="C675" s="24">
        <v>8.0799999999999997E-2</v>
      </c>
      <c r="D675" s="24">
        <v>8.0500000000000002E-2</v>
      </c>
      <c r="E675" s="24">
        <v>7.8299999999999995E-2</v>
      </c>
      <c r="F675" s="24">
        <v>7.4999999999999997E-2</v>
      </c>
      <c r="G675" s="24">
        <v>7.3999999999999996E-2</v>
      </c>
      <c r="H675" s="24">
        <v>7.2400000000000006E-2</v>
      </c>
      <c r="I675" s="24">
        <v>7.1199999999999999E-2</v>
      </c>
      <c r="J675" s="24">
        <v>7.1599999999999997E-2</v>
      </c>
      <c r="K675" s="24">
        <v>7.1800000000000003E-2</v>
      </c>
      <c r="L675" s="24">
        <v>7.0999999999999994E-2</v>
      </c>
      <c r="M675" s="24">
        <v>7.0499999999999993E-2</v>
      </c>
      <c r="N675" s="33">
        <v>7.0400000000000004E-2</v>
      </c>
      <c r="O675" s="21"/>
    </row>
    <row r="676" spans="1:15">
      <c r="A676" s="1967"/>
      <c r="B676" s="43"/>
      <c r="C676" s="24"/>
      <c r="D676" s="24"/>
      <c r="E676" s="24"/>
      <c r="F676" s="24"/>
      <c r="G676" s="24"/>
      <c r="H676" s="24"/>
      <c r="I676" s="24"/>
      <c r="J676" s="24"/>
      <c r="K676" s="24"/>
      <c r="L676" s="24"/>
      <c r="M676" s="24"/>
      <c r="N676" s="33"/>
      <c r="O676" s="21"/>
    </row>
    <row r="677" spans="1:15" ht="24.75" customHeight="1">
      <c r="A677" s="1968" t="s">
        <v>1142</v>
      </c>
      <c r="B677" s="41">
        <f>A685</f>
        <v>0</v>
      </c>
      <c r="C677" s="24">
        <f t="shared" ref="C677:C679" si="1074">B677</f>
        <v>0</v>
      </c>
      <c r="D677" s="24">
        <f t="shared" ref="D677:D679" si="1075">C677</f>
        <v>0</v>
      </c>
      <c r="E677" s="24">
        <f t="shared" ref="E677:E679" si="1076">D677</f>
        <v>0</v>
      </c>
      <c r="F677" s="24">
        <f t="shared" ref="F677:F679" si="1077">E677</f>
        <v>0</v>
      </c>
      <c r="G677" s="24">
        <f t="shared" ref="G677:G679" si="1078">F677</f>
        <v>0</v>
      </c>
      <c r="H677" s="24">
        <f t="shared" ref="H677:H679" si="1079">G677</f>
        <v>0</v>
      </c>
      <c r="I677" s="24">
        <f t="shared" ref="I677:I679" si="1080">H677</f>
        <v>0</v>
      </c>
      <c r="J677" s="24">
        <f t="shared" ref="J677:J679" si="1081">I677</f>
        <v>0</v>
      </c>
      <c r="K677" s="24">
        <f t="shared" ref="K677:K679" si="1082">J677</f>
        <v>0</v>
      </c>
      <c r="L677" s="24">
        <f t="shared" ref="L677:L679" si="1083">K677</f>
        <v>0</v>
      </c>
      <c r="M677" s="24">
        <f t="shared" ref="M677:M679" si="1084">L677</f>
        <v>0</v>
      </c>
      <c r="N677" s="33">
        <f t="shared" ref="N677:N679" si="1085">M677</f>
        <v>0</v>
      </c>
      <c r="O677" s="21"/>
    </row>
    <row r="678" spans="1:15">
      <c r="A678" s="1968" t="s">
        <v>1143</v>
      </c>
      <c r="B678" s="42">
        <f>'Input''s from Initial Design'!X116</f>
        <v>0</v>
      </c>
      <c r="C678" s="24">
        <f t="shared" si="1074"/>
        <v>0</v>
      </c>
      <c r="D678" s="24">
        <f t="shared" si="1075"/>
        <v>0</v>
      </c>
      <c r="E678" s="24">
        <f t="shared" si="1076"/>
        <v>0</v>
      </c>
      <c r="F678" s="24">
        <f t="shared" si="1077"/>
        <v>0</v>
      </c>
      <c r="G678" s="24">
        <f t="shared" si="1078"/>
        <v>0</v>
      </c>
      <c r="H678" s="24">
        <f t="shared" si="1079"/>
        <v>0</v>
      </c>
      <c r="I678" s="24">
        <f t="shared" si="1080"/>
        <v>0</v>
      </c>
      <c r="J678" s="24">
        <f t="shared" si="1081"/>
        <v>0</v>
      </c>
      <c r="K678" s="24">
        <f t="shared" si="1082"/>
        <v>0</v>
      </c>
      <c r="L678" s="24">
        <f t="shared" si="1083"/>
        <v>0</v>
      </c>
      <c r="M678" s="24">
        <f t="shared" si="1084"/>
        <v>0</v>
      </c>
      <c r="N678" s="33">
        <f t="shared" si="1085"/>
        <v>0</v>
      </c>
      <c r="O678" s="21"/>
    </row>
    <row r="679" spans="1:15">
      <c r="A679" s="1968" t="s">
        <v>1144</v>
      </c>
      <c r="B679" s="42">
        <f>'Input''s from Initial Design'!Y116</f>
        <v>0</v>
      </c>
      <c r="C679" s="24">
        <f t="shared" si="1074"/>
        <v>0</v>
      </c>
      <c r="D679" s="24">
        <f t="shared" si="1075"/>
        <v>0</v>
      </c>
      <c r="E679" s="24">
        <f t="shared" si="1076"/>
        <v>0</v>
      </c>
      <c r="F679" s="24">
        <f t="shared" si="1077"/>
        <v>0</v>
      </c>
      <c r="G679" s="24">
        <f t="shared" si="1078"/>
        <v>0</v>
      </c>
      <c r="H679" s="24">
        <f t="shared" si="1079"/>
        <v>0</v>
      </c>
      <c r="I679" s="24">
        <f t="shared" si="1080"/>
        <v>0</v>
      </c>
      <c r="J679" s="24">
        <f t="shared" si="1081"/>
        <v>0</v>
      </c>
      <c r="K679" s="24">
        <f t="shared" si="1082"/>
        <v>0</v>
      </c>
      <c r="L679" s="24">
        <f t="shared" si="1083"/>
        <v>0</v>
      </c>
      <c r="M679" s="24">
        <f t="shared" si="1084"/>
        <v>0</v>
      </c>
      <c r="N679" s="33">
        <f t="shared" si="1085"/>
        <v>0</v>
      </c>
      <c r="O679" s="21"/>
    </row>
    <row r="680" spans="1:15">
      <c r="A680" s="1968" t="s">
        <v>1145</v>
      </c>
      <c r="B680" s="42">
        <v>415</v>
      </c>
      <c r="C680" s="24">
        <f>+B680</f>
        <v>415</v>
      </c>
      <c r="D680" s="24">
        <f t="shared" ref="D680" si="1086">+C680</f>
        <v>415</v>
      </c>
      <c r="E680" s="24">
        <f t="shared" ref="E680" si="1087">+D680</f>
        <v>415</v>
      </c>
      <c r="F680" s="24">
        <f t="shared" ref="F680" si="1088">+E680</f>
        <v>415</v>
      </c>
      <c r="G680" s="24">
        <f t="shared" ref="G680" si="1089">+F680</f>
        <v>415</v>
      </c>
      <c r="H680" s="24">
        <f t="shared" ref="H680" si="1090">+G680</f>
        <v>415</v>
      </c>
      <c r="I680" s="24">
        <f t="shared" ref="I680" si="1091">+H680</f>
        <v>415</v>
      </c>
      <c r="J680" s="24">
        <f t="shared" ref="J680" si="1092">+I680</f>
        <v>415</v>
      </c>
      <c r="K680" s="24">
        <f t="shared" ref="K680" si="1093">+J680</f>
        <v>415</v>
      </c>
      <c r="L680" s="24">
        <f t="shared" ref="L680" si="1094">+K680</f>
        <v>415</v>
      </c>
      <c r="M680" s="24">
        <f t="shared" ref="M680" si="1095">+L680</f>
        <v>415</v>
      </c>
      <c r="N680" s="33">
        <f t="shared" ref="N680" si="1096">+M680</f>
        <v>415</v>
      </c>
      <c r="O680" s="21"/>
    </row>
    <row r="681" spans="1:15">
      <c r="A681" s="1967" t="s">
        <v>1146</v>
      </c>
      <c r="B681" s="43"/>
      <c r="C681" s="25" t="e">
        <f t="shared" ref="C681:N681" si="1097">1.732*C677*(C674/1000*1+C675/1000*0)*C678/C679</f>
        <v>#DIV/0!</v>
      </c>
      <c r="D681" s="25" t="e">
        <f t="shared" si="1097"/>
        <v>#DIV/0!</v>
      </c>
      <c r="E681" s="25" t="e">
        <f t="shared" si="1097"/>
        <v>#DIV/0!</v>
      </c>
      <c r="F681" s="25" t="e">
        <f t="shared" si="1097"/>
        <v>#DIV/0!</v>
      </c>
      <c r="G681" s="25" t="e">
        <f t="shared" si="1097"/>
        <v>#DIV/0!</v>
      </c>
      <c r="H681" s="25" t="e">
        <f t="shared" si="1097"/>
        <v>#DIV/0!</v>
      </c>
      <c r="I681" s="25" t="e">
        <f t="shared" si="1097"/>
        <v>#DIV/0!</v>
      </c>
      <c r="J681" s="25" t="e">
        <f t="shared" si="1097"/>
        <v>#DIV/0!</v>
      </c>
      <c r="K681" s="25" t="e">
        <f t="shared" si="1097"/>
        <v>#DIV/0!</v>
      </c>
      <c r="L681" s="25" t="e">
        <f t="shared" si="1097"/>
        <v>#DIV/0!</v>
      </c>
      <c r="M681" s="25" t="e">
        <f t="shared" si="1097"/>
        <v>#DIV/0!</v>
      </c>
      <c r="N681" s="34" t="e">
        <f t="shared" si="1097"/>
        <v>#DIV/0!</v>
      </c>
      <c r="O681" s="21"/>
    </row>
    <row r="682" spans="1:15">
      <c r="A682" s="1967" t="s">
        <v>1147</v>
      </c>
      <c r="B682" s="43"/>
      <c r="C682" s="1965" t="e">
        <f>C681/C680</f>
        <v>#DIV/0!</v>
      </c>
      <c r="D682" s="1965" t="e">
        <f t="shared" ref="D682:N682" si="1098">D681/D680</f>
        <v>#DIV/0!</v>
      </c>
      <c r="E682" s="1965" t="e">
        <f t="shared" si="1098"/>
        <v>#DIV/0!</v>
      </c>
      <c r="F682" s="1965" t="e">
        <f t="shared" si="1098"/>
        <v>#DIV/0!</v>
      </c>
      <c r="G682" s="1965" t="e">
        <f t="shared" si="1098"/>
        <v>#DIV/0!</v>
      </c>
      <c r="H682" s="1965" t="e">
        <f t="shared" si="1098"/>
        <v>#DIV/0!</v>
      </c>
      <c r="I682" s="1965" t="e">
        <f t="shared" si="1098"/>
        <v>#DIV/0!</v>
      </c>
      <c r="J682" s="1965" t="e">
        <f t="shared" si="1098"/>
        <v>#DIV/0!</v>
      </c>
      <c r="K682" s="1965" t="e">
        <f t="shared" si="1098"/>
        <v>#DIV/0!</v>
      </c>
      <c r="L682" s="1965" t="e">
        <f t="shared" si="1098"/>
        <v>#DIV/0!</v>
      </c>
      <c r="M682" s="1965" t="e">
        <f t="shared" si="1098"/>
        <v>#DIV/0!</v>
      </c>
      <c r="N682" s="1969" t="e">
        <f t="shared" si="1098"/>
        <v>#DIV/0!</v>
      </c>
      <c r="O682" s="21"/>
    </row>
    <row r="683" spans="1:15">
      <c r="A683" s="1968" t="s">
        <v>1148</v>
      </c>
      <c r="B683" s="1966">
        <v>0.02</v>
      </c>
      <c r="C683" s="24" t="e">
        <f>IF(AND((C677*1.25)&lt;(C671*C679),(C682&lt;$B$16)),"PASS","FAIL")</f>
        <v>#DIV/0!</v>
      </c>
      <c r="D683" s="24" t="e">
        <f>IF(AND((D677*1.25)&lt;(D671*D679),(D682&lt;$B$16)),"PASS","FAIL")</f>
        <v>#DIV/0!</v>
      </c>
      <c r="E683" s="24" t="e">
        <f>IF(AND((E677*1.25)&lt;(E671*E679),(E682&lt;$B$16)),"PASS","FAIL")</f>
        <v>#DIV/0!</v>
      </c>
      <c r="F683" s="24" t="e">
        <f>IF(AND((F677*1.25)&lt;(F671*F679),(F682&lt;$B$16)),"PASS","FAIL")</f>
        <v>#DIV/0!</v>
      </c>
      <c r="G683" s="24" t="e">
        <f>IF(AND((G677*1.25)&lt;(G671*G679),(G682&lt;$B$16)),"PASS","FAIL")</f>
        <v>#DIV/0!</v>
      </c>
      <c r="H683" s="24" t="e">
        <f>IF(AND((H677*1.1)&lt;(H671*H679),(H682&lt;$B$16)),"PASS","FAIL")</f>
        <v>#DIV/0!</v>
      </c>
      <c r="I683" s="24" t="e">
        <f t="shared" ref="I683:N683" si="1099">IF(AND((I677*1.25)&lt;(I671*I679),(I682&lt;$B$16)),"PASS","FAIL")</f>
        <v>#DIV/0!</v>
      </c>
      <c r="J683" s="24" t="e">
        <f t="shared" si="1099"/>
        <v>#DIV/0!</v>
      </c>
      <c r="K683" s="24" t="e">
        <f t="shared" si="1099"/>
        <v>#DIV/0!</v>
      </c>
      <c r="L683" s="24" t="e">
        <f t="shared" si="1099"/>
        <v>#DIV/0!</v>
      </c>
      <c r="M683" s="24" t="e">
        <f t="shared" si="1099"/>
        <v>#DIV/0!</v>
      </c>
      <c r="N683" s="33" t="e">
        <f t="shared" si="1099"/>
        <v>#DIV/0!</v>
      </c>
      <c r="O683" s="21"/>
    </row>
    <row r="684" spans="1:15" ht="18.600000000000001" thickBot="1">
      <c r="A684" s="1970" t="s">
        <v>1149</v>
      </c>
      <c r="B684" s="1971"/>
      <c r="C684" s="1972" t="e">
        <f t="shared" ref="C684:N684" si="1100">IF(AND((C677*1.25)&lt;(C672*C679),(C682&lt;$B$16)),"PASS","FAIL")</f>
        <v>#DIV/0!</v>
      </c>
      <c r="D684" s="1972" t="e">
        <f t="shared" si="1100"/>
        <v>#DIV/0!</v>
      </c>
      <c r="E684" s="1972" t="e">
        <f t="shared" si="1100"/>
        <v>#DIV/0!</v>
      </c>
      <c r="F684" s="1972" t="e">
        <f t="shared" si="1100"/>
        <v>#DIV/0!</v>
      </c>
      <c r="G684" s="1972" t="e">
        <f t="shared" si="1100"/>
        <v>#DIV/0!</v>
      </c>
      <c r="H684" s="1972" t="e">
        <f t="shared" si="1100"/>
        <v>#DIV/0!</v>
      </c>
      <c r="I684" s="1972" t="e">
        <f t="shared" si="1100"/>
        <v>#DIV/0!</v>
      </c>
      <c r="J684" s="1972" t="e">
        <f t="shared" si="1100"/>
        <v>#DIV/0!</v>
      </c>
      <c r="K684" s="1972" t="e">
        <f t="shared" si="1100"/>
        <v>#DIV/0!</v>
      </c>
      <c r="L684" s="1972" t="e">
        <f t="shared" si="1100"/>
        <v>#DIV/0!</v>
      </c>
      <c r="M684" s="1972" t="e">
        <f t="shared" si="1100"/>
        <v>#DIV/0!</v>
      </c>
      <c r="N684" s="1973" t="e">
        <f t="shared" si="1100"/>
        <v>#DIV/0!</v>
      </c>
      <c r="O684" s="21"/>
    </row>
    <row r="685" spans="1:15">
      <c r="A685" s="1963">
        <f>('Input''s from Initial Design'!W116*1000/(1.732*440*1))</f>
        <v>0</v>
      </c>
      <c r="B685" s="1964" t="s">
        <v>1150</v>
      </c>
      <c r="C685" s="26"/>
      <c r="D685" s="3213"/>
      <c r="E685" s="3213"/>
      <c r="F685" s="3213"/>
      <c r="G685" s="21"/>
      <c r="H685" s="21"/>
      <c r="I685" s="21"/>
      <c r="J685" s="21"/>
    </row>
    <row r="686" spans="1:15">
      <c r="A686" s="21"/>
      <c r="B686" s="21"/>
      <c r="C686" s="26"/>
      <c r="D686" s="21"/>
      <c r="E686" s="21">
        <v>29</v>
      </c>
      <c r="F686" s="21"/>
      <c r="G686" s="27"/>
      <c r="H686" s="21"/>
      <c r="I686" s="21"/>
      <c r="J686" s="21"/>
    </row>
    <row r="687" spans="1:15">
      <c r="A687" s="28" t="s">
        <v>1148</v>
      </c>
      <c r="B687" s="29" t="e">
        <f>IF(C683="FAIL",IF(D683="FAIL",IF(E683="FAIL",IF(F683="FAIL",IF(G683="FAIL",IF(H683="FAIL",IF(I683="FAIL",IF(J683="FAIL",IF(K683="FAIL",IF(L683="FAIL",IF(M683="FAIL","NO MATCH",$M$1),$L$1),$K$1),$J$1),$I$1),$H$1),$G$1),$F$1),$E$1),$D$1),$C$1)</f>
        <v>#DIV/0!</v>
      </c>
      <c r="C687" s="30" t="s">
        <v>1151</v>
      </c>
      <c r="D687" s="21"/>
      <c r="E687" s="21"/>
      <c r="F687" s="21"/>
      <c r="G687" s="21"/>
      <c r="H687" s="26"/>
      <c r="I687" s="21"/>
      <c r="J687" s="21"/>
      <c r="K687" s="21"/>
      <c r="L687" s="21"/>
      <c r="N687" s="21"/>
      <c r="O687" s="21"/>
    </row>
    <row r="688" spans="1:15">
      <c r="A688" s="28" t="s">
        <v>1149</v>
      </c>
      <c r="B688" s="29" t="e">
        <f>IF(C684="FAIL",IF(D684="FAIL",IF(E684="FAIL",IF(F684="FAIL",IF(G684="FAIL",IF(H684="FAIL",IF(I684="FAIL",IF(J684="FAIL",IF(K684="FAIL",IF(L684="FAIL",IF(M684="FAIL","NO MATCH",$M$1),$L$1),$K$1),$J$1),$I$1),$H$1),$G$1),$F$1),$E$1),$D$1),$C$1)</f>
        <v>#DIV/0!</v>
      </c>
      <c r="C688" s="30" t="s">
        <v>1151</v>
      </c>
      <c r="D688" s="21"/>
      <c r="E688" s="21"/>
      <c r="F688" s="21"/>
      <c r="G688" s="21"/>
      <c r="H688" s="26"/>
      <c r="I688" s="21"/>
      <c r="J688" s="21"/>
      <c r="K688" s="21"/>
      <c r="L688" s="21"/>
      <c r="N688" s="21"/>
      <c r="O688" s="21"/>
    </row>
    <row r="689" spans="1:15" ht="18.600000000000001" thickBot="1"/>
    <row r="690" spans="1:15" s="23" customFormat="1">
      <c r="A690" s="3214" t="s">
        <v>1122</v>
      </c>
      <c r="B690" s="3216"/>
      <c r="C690" s="35">
        <v>16</v>
      </c>
      <c r="D690" s="36">
        <v>25</v>
      </c>
      <c r="E690" s="36">
        <v>35</v>
      </c>
      <c r="F690" s="36">
        <v>50</v>
      </c>
      <c r="G690" s="36">
        <v>70</v>
      </c>
      <c r="H690" s="36">
        <v>95</v>
      </c>
      <c r="I690" s="36">
        <v>120</v>
      </c>
      <c r="J690" s="36">
        <v>150</v>
      </c>
      <c r="K690" s="36">
        <v>185</v>
      </c>
      <c r="L690" s="36">
        <v>240</v>
      </c>
      <c r="M690" s="36">
        <v>300</v>
      </c>
      <c r="N690" s="37">
        <v>400</v>
      </c>
      <c r="O690" s="22"/>
    </row>
    <row r="691" spans="1:15" s="23" customFormat="1" ht="18.600000000000001" thickBot="1">
      <c r="A691" s="3218"/>
      <c r="B691" s="3219"/>
      <c r="C691" s="38" t="s">
        <v>1123</v>
      </c>
      <c r="D691" s="39" t="s">
        <v>1124</v>
      </c>
      <c r="E691" s="39" t="s">
        <v>1125</v>
      </c>
      <c r="F691" s="39" t="s">
        <v>1126</v>
      </c>
      <c r="G691" s="39" t="s">
        <v>1127</v>
      </c>
      <c r="H691" s="39" t="s">
        <v>1128</v>
      </c>
      <c r="I691" s="39" t="s">
        <v>1129</v>
      </c>
      <c r="J691" s="39" t="s">
        <v>1130</v>
      </c>
      <c r="K691" s="39" t="s">
        <v>1131</v>
      </c>
      <c r="L691" s="39" t="s">
        <v>1132</v>
      </c>
      <c r="M691" s="39" t="s">
        <v>1133</v>
      </c>
      <c r="N691" s="40" t="s">
        <v>1134</v>
      </c>
      <c r="O691" s="22"/>
    </row>
    <row r="692" spans="1:15">
      <c r="A692" s="1974" t="s">
        <v>1135</v>
      </c>
      <c r="B692" s="1975"/>
      <c r="C692" s="1976">
        <v>74</v>
      </c>
      <c r="D692" s="1976">
        <v>94</v>
      </c>
      <c r="E692" s="1976">
        <v>113</v>
      </c>
      <c r="F692" s="1976">
        <v>133</v>
      </c>
      <c r="G692" s="1976">
        <v>164</v>
      </c>
      <c r="H692" s="1976">
        <v>196</v>
      </c>
      <c r="I692" s="1976">
        <v>223</v>
      </c>
      <c r="J692" s="1976">
        <v>249</v>
      </c>
      <c r="K692" s="1976">
        <v>282</v>
      </c>
      <c r="L692" s="1976">
        <v>326</v>
      </c>
      <c r="M692" s="1976">
        <v>367</v>
      </c>
      <c r="N692" s="1977">
        <v>418</v>
      </c>
      <c r="O692" s="21"/>
    </row>
    <row r="693" spans="1:15">
      <c r="A693" s="1967" t="s">
        <v>1136</v>
      </c>
      <c r="B693" s="43"/>
      <c r="C693" s="24">
        <v>74</v>
      </c>
      <c r="D693" s="24">
        <v>96</v>
      </c>
      <c r="E693" s="24">
        <v>117</v>
      </c>
      <c r="F693" s="24">
        <v>142</v>
      </c>
      <c r="G693" s="24">
        <v>179</v>
      </c>
      <c r="H693" s="24">
        <v>221</v>
      </c>
      <c r="I693" s="24">
        <v>257</v>
      </c>
      <c r="J693" s="24">
        <v>292</v>
      </c>
      <c r="K693" s="24">
        <v>337</v>
      </c>
      <c r="L693" s="24">
        <v>399</v>
      </c>
      <c r="M693" s="24">
        <v>455</v>
      </c>
      <c r="N693" s="33">
        <v>530</v>
      </c>
      <c r="O693" s="21"/>
    </row>
    <row r="694" spans="1:15" ht="22.5" customHeight="1">
      <c r="A694" s="1967" t="s">
        <v>1137</v>
      </c>
      <c r="B694" s="42">
        <v>0.7</v>
      </c>
      <c r="C694" s="24">
        <f>B694</f>
        <v>0.7</v>
      </c>
      <c r="D694" s="24">
        <f>C694</f>
        <v>0.7</v>
      </c>
      <c r="E694" s="24">
        <f t="shared" ref="E694" si="1101">D694</f>
        <v>0.7</v>
      </c>
      <c r="F694" s="24">
        <f t="shared" ref="F694" si="1102">E694</f>
        <v>0.7</v>
      </c>
      <c r="G694" s="24">
        <f t="shared" ref="G694" si="1103">F694</f>
        <v>0.7</v>
      </c>
      <c r="H694" s="24">
        <f t="shared" ref="H694" si="1104">G694</f>
        <v>0.7</v>
      </c>
      <c r="I694" s="24">
        <f t="shared" ref="I694" si="1105">H694</f>
        <v>0.7</v>
      </c>
      <c r="J694" s="24">
        <f t="shared" ref="J694" si="1106">I694</f>
        <v>0.7</v>
      </c>
      <c r="K694" s="24">
        <f t="shared" ref="K694" si="1107">J694</f>
        <v>0.7</v>
      </c>
      <c r="L694" s="24">
        <f t="shared" ref="L694" si="1108">K694</f>
        <v>0.7</v>
      </c>
      <c r="M694" s="24">
        <f>L694</f>
        <v>0.7</v>
      </c>
      <c r="N694" s="33">
        <f>M694</f>
        <v>0.7</v>
      </c>
      <c r="O694" s="21"/>
    </row>
    <row r="695" spans="1:15">
      <c r="A695" s="1967" t="s">
        <v>1138</v>
      </c>
      <c r="B695" s="43"/>
      <c r="C695" s="24">
        <f>C692*C694</f>
        <v>51.8</v>
      </c>
      <c r="D695" s="24">
        <f t="shared" ref="D695:G695" si="1109">D692*D694</f>
        <v>65.8</v>
      </c>
      <c r="E695" s="24">
        <f t="shared" si="1109"/>
        <v>79.099999999999994</v>
      </c>
      <c r="F695" s="24">
        <f t="shared" si="1109"/>
        <v>93.1</v>
      </c>
      <c r="G695" s="24">
        <f t="shared" si="1109"/>
        <v>114.8</v>
      </c>
      <c r="H695" s="24">
        <f>H692*H694</f>
        <v>137.19999999999999</v>
      </c>
      <c r="I695" s="24">
        <f t="shared" ref="I695:N695" si="1110">I692*I694</f>
        <v>156.1</v>
      </c>
      <c r="J695" s="24">
        <f t="shared" si="1110"/>
        <v>174.29999999999998</v>
      </c>
      <c r="K695" s="24">
        <f t="shared" si="1110"/>
        <v>197.39999999999998</v>
      </c>
      <c r="L695" s="24">
        <f t="shared" si="1110"/>
        <v>228.2</v>
      </c>
      <c r="M695" s="24">
        <f t="shared" si="1110"/>
        <v>256.89999999999998</v>
      </c>
      <c r="N695" s="33">
        <f t="shared" si="1110"/>
        <v>292.59999999999997</v>
      </c>
      <c r="O695" s="21"/>
    </row>
    <row r="696" spans="1:15">
      <c r="A696" s="1967" t="s">
        <v>1139</v>
      </c>
      <c r="B696" s="43"/>
      <c r="C696" s="24">
        <f>C693*C694</f>
        <v>51.8</v>
      </c>
      <c r="D696" s="24">
        <f>D693*D694</f>
        <v>67.199999999999989</v>
      </c>
      <c r="E696" s="24">
        <f t="shared" ref="E696:G696" si="1111">E693*E694</f>
        <v>81.899999999999991</v>
      </c>
      <c r="F696" s="24">
        <f t="shared" si="1111"/>
        <v>99.399999999999991</v>
      </c>
      <c r="G696" s="24">
        <f t="shared" si="1111"/>
        <v>125.3</v>
      </c>
      <c r="H696" s="24">
        <f>H693*H694</f>
        <v>154.69999999999999</v>
      </c>
      <c r="I696" s="24">
        <f t="shared" ref="I696:N696" si="1112">I693*I694</f>
        <v>179.89999999999998</v>
      </c>
      <c r="J696" s="24">
        <f t="shared" si="1112"/>
        <v>204.39999999999998</v>
      </c>
      <c r="K696" s="24">
        <f t="shared" si="1112"/>
        <v>235.89999999999998</v>
      </c>
      <c r="L696" s="24">
        <f t="shared" si="1112"/>
        <v>279.29999999999995</v>
      </c>
      <c r="M696" s="24">
        <f t="shared" si="1112"/>
        <v>318.5</v>
      </c>
      <c r="N696" s="33">
        <f t="shared" si="1112"/>
        <v>371</v>
      </c>
      <c r="O696" s="21"/>
    </row>
    <row r="697" spans="1:15">
      <c r="A697" s="1967"/>
      <c r="B697" s="43"/>
      <c r="C697" s="24"/>
      <c r="D697" s="24"/>
      <c r="E697" s="24"/>
      <c r="F697" s="24"/>
      <c r="G697" s="24"/>
      <c r="H697" s="24"/>
      <c r="I697" s="24"/>
      <c r="J697" s="24"/>
      <c r="K697" s="24"/>
      <c r="L697" s="24"/>
      <c r="M697" s="24"/>
      <c r="N697" s="33"/>
      <c r="O697" s="21"/>
    </row>
    <row r="698" spans="1:15">
      <c r="A698" s="1967" t="s">
        <v>1140</v>
      </c>
      <c r="B698" s="43"/>
      <c r="C698" s="24">
        <v>2.44</v>
      </c>
      <c r="D698" s="24">
        <v>1.54</v>
      </c>
      <c r="E698" s="24">
        <v>1.1100000000000001</v>
      </c>
      <c r="F698" s="24">
        <v>0.82</v>
      </c>
      <c r="G698" s="24">
        <v>0.56699999999999995</v>
      </c>
      <c r="H698" s="24">
        <v>0.41</v>
      </c>
      <c r="I698" s="24">
        <v>0.32400000000000001</v>
      </c>
      <c r="J698" s="24">
        <v>0.26400000000000001</v>
      </c>
      <c r="K698" s="24">
        <v>0.21</v>
      </c>
      <c r="L698" s="24">
        <v>0.16</v>
      </c>
      <c r="M698" s="24">
        <v>0.128</v>
      </c>
      <c r="N698" s="33">
        <v>0.1</v>
      </c>
      <c r="O698" s="21"/>
    </row>
    <row r="699" spans="1:15">
      <c r="A699" s="1967" t="s">
        <v>1141</v>
      </c>
      <c r="B699" s="43"/>
      <c r="C699" s="24">
        <v>8.0799999999999997E-2</v>
      </c>
      <c r="D699" s="24">
        <v>8.0500000000000002E-2</v>
      </c>
      <c r="E699" s="24">
        <v>7.8299999999999995E-2</v>
      </c>
      <c r="F699" s="24">
        <v>7.4999999999999997E-2</v>
      </c>
      <c r="G699" s="24">
        <v>7.3999999999999996E-2</v>
      </c>
      <c r="H699" s="24">
        <v>7.2400000000000006E-2</v>
      </c>
      <c r="I699" s="24">
        <v>7.1199999999999999E-2</v>
      </c>
      <c r="J699" s="24">
        <v>7.1599999999999997E-2</v>
      </c>
      <c r="K699" s="24">
        <v>7.1800000000000003E-2</v>
      </c>
      <c r="L699" s="24">
        <v>7.0999999999999994E-2</v>
      </c>
      <c r="M699" s="24">
        <v>7.0499999999999993E-2</v>
      </c>
      <c r="N699" s="33">
        <v>7.0400000000000004E-2</v>
      </c>
      <c r="O699" s="21"/>
    </row>
    <row r="700" spans="1:15">
      <c r="A700" s="1967"/>
      <c r="B700" s="43"/>
      <c r="C700" s="24"/>
      <c r="D700" s="24"/>
      <c r="E700" s="24"/>
      <c r="F700" s="24"/>
      <c r="G700" s="24"/>
      <c r="H700" s="24"/>
      <c r="I700" s="24"/>
      <c r="J700" s="24"/>
      <c r="K700" s="24"/>
      <c r="L700" s="24"/>
      <c r="M700" s="24"/>
      <c r="N700" s="33"/>
      <c r="O700" s="21"/>
    </row>
    <row r="701" spans="1:15" ht="24.75" customHeight="1">
      <c r="A701" s="1968" t="s">
        <v>1142</v>
      </c>
      <c r="B701" s="41">
        <f>A709</f>
        <v>0</v>
      </c>
      <c r="C701" s="24">
        <f t="shared" ref="C701:C703" si="1113">B701</f>
        <v>0</v>
      </c>
      <c r="D701" s="24">
        <f t="shared" ref="D701:D703" si="1114">C701</f>
        <v>0</v>
      </c>
      <c r="E701" s="24">
        <f t="shared" ref="E701:E703" si="1115">D701</f>
        <v>0</v>
      </c>
      <c r="F701" s="24">
        <f t="shared" ref="F701:F703" si="1116">E701</f>
        <v>0</v>
      </c>
      <c r="G701" s="24">
        <f t="shared" ref="G701:G703" si="1117">F701</f>
        <v>0</v>
      </c>
      <c r="H701" s="24">
        <f t="shared" ref="H701:H703" si="1118">G701</f>
        <v>0</v>
      </c>
      <c r="I701" s="24">
        <f t="shared" ref="I701:I703" si="1119">H701</f>
        <v>0</v>
      </c>
      <c r="J701" s="24">
        <f t="shared" ref="J701:J703" si="1120">I701</f>
        <v>0</v>
      </c>
      <c r="K701" s="24">
        <f t="shared" ref="K701:K703" si="1121">J701</f>
        <v>0</v>
      </c>
      <c r="L701" s="24">
        <f t="shared" ref="L701:L703" si="1122">K701</f>
        <v>0</v>
      </c>
      <c r="M701" s="24">
        <f t="shared" ref="M701:M703" si="1123">L701</f>
        <v>0</v>
      </c>
      <c r="N701" s="33">
        <f t="shared" ref="N701:N703" si="1124">M701</f>
        <v>0</v>
      </c>
      <c r="O701" s="21"/>
    </row>
    <row r="702" spans="1:15">
      <c r="A702" s="1968" t="s">
        <v>1143</v>
      </c>
      <c r="B702" s="42">
        <f>'Input''s from Initial Design'!X118</f>
        <v>0</v>
      </c>
      <c r="C702" s="24">
        <f t="shared" si="1113"/>
        <v>0</v>
      </c>
      <c r="D702" s="24">
        <f t="shared" si="1114"/>
        <v>0</v>
      </c>
      <c r="E702" s="24">
        <f t="shared" si="1115"/>
        <v>0</v>
      </c>
      <c r="F702" s="24">
        <f t="shared" si="1116"/>
        <v>0</v>
      </c>
      <c r="G702" s="24">
        <f t="shared" si="1117"/>
        <v>0</v>
      </c>
      <c r="H702" s="24">
        <f t="shared" si="1118"/>
        <v>0</v>
      </c>
      <c r="I702" s="24">
        <f t="shared" si="1119"/>
        <v>0</v>
      </c>
      <c r="J702" s="24">
        <f t="shared" si="1120"/>
        <v>0</v>
      </c>
      <c r="K702" s="24">
        <f t="shared" si="1121"/>
        <v>0</v>
      </c>
      <c r="L702" s="24">
        <f t="shared" si="1122"/>
        <v>0</v>
      </c>
      <c r="M702" s="24">
        <f t="shared" si="1123"/>
        <v>0</v>
      </c>
      <c r="N702" s="33">
        <f t="shared" si="1124"/>
        <v>0</v>
      </c>
      <c r="O702" s="21"/>
    </row>
    <row r="703" spans="1:15">
      <c r="A703" s="1968" t="s">
        <v>1144</v>
      </c>
      <c r="B703" s="42">
        <f>'Input''s from Initial Design'!Y118</f>
        <v>0</v>
      </c>
      <c r="C703" s="24">
        <f t="shared" si="1113"/>
        <v>0</v>
      </c>
      <c r="D703" s="24">
        <f t="shared" si="1114"/>
        <v>0</v>
      </c>
      <c r="E703" s="24">
        <f t="shared" si="1115"/>
        <v>0</v>
      </c>
      <c r="F703" s="24">
        <f t="shared" si="1116"/>
        <v>0</v>
      </c>
      <c r="G703" s="24">
        <f t="shared" si="1117"/>
        <v>0</v>
      </c>
      <c r="H703" s="24">
        <f t="shared" si="1118"/>
        <v>0</v>
      </c>
      <c r="I703" s="24">
        <f t="shared" si="1119"/>
        <v>0</v>
      </c>
      <c r="J703" s="24">
        <f t="shared" si="1120"/>
        <v>0</v>
      </c>
      <c r="K703" s="24">
        <f t="shared" si="1121"/>
        <v>0</v>
      </c>
      <c r="L703" s="24">
        <f t="shared" si="1122"/>
        <v>0</v>
      </c>
      <c r="M703" s="24">
        <f t="shared" si="1123"/>
        <v>0</v>
      </c>
      <c r="N703" s="33">
        <f t="shared" si="1124"/>
        <v>0</v>
      </c>
      <c r="O703" s="21"/>
    </row>
    <row r="704" spans="1:15">
      <c r="A704" s="1968" t="s">
        <v>1145</v>
      </c>
      <c r="B704" s="42">
        <v>415</v>
      </c>
      <c r="C704" s="24">
        <f>+B704</f>
        <v>415</v>
      </c>
      <c r="D704" s="24">
        <f t="shared" ref="D704" si="1125">+C704</f>
        <v>415</v>
      </c>
      <c r="E704" s="24">
        <f t="shared" ref="E704" si="1126">+D704</f>
        <v>415</v>
      </c>
      <c r="F704" s="24">
        <f t="shared" ref="F704" si="1127">+E704</f>
        <v>415</v>
      </c>
      <c r="G704" s="24">
        <f t="shared" ref="G704" si="1128">+F704</f>
        <v>415</v>
      </c>
      <c r="H704" s="24">
        <f t="shared" ref="H704" si="1129">+G704</f>
        <v>415</v>
      </c>
      <c r="I704" s="24">
        <f t="shared" ref="I704" si="1130">+H704</f>
        <v>415</v>
      </c>
      <c r="J704" s="24">
        <f t="shared" ref="J704" si="1131">+I704</f>
        <v>415</v>
      </c>
      <c r="K704" s="24">
        <f t="shared" ref="K704" si="1132">+J704</f>
        <v>415</v>
      </c>
      <c r="L704" s="24">
        <f t="shared" ref="L704" si="1133">+K704</f>
        <v>415</v>
      </c>
      <c r="M704" s="24">
        <f t="shared" ref="M704" si="1134">+L704</f>
        <v>415</v>
      </c>
      <c r="N704" s="33">
        <f t="shared" ref="N704" si="1135">+M704</f>
        <v>415</v>
      </c>
      <c r="O704" s="21"/>
    </row>
    <row r="705" spans="1:15">
      <c r="A705" s="1967" t="s">
        <v>1146</v>
      </c>
      <c r="B705" s="43"/>
      <c r="C705" s="25" t="e">
        <f t="shared" ref="C705:N705" si="1136">1.732*C701*(C698/1000*1+C699/1000*0)*C702/C703</f>
        <v>#DIV/0!</v>
      </c>
      <c r="D705" s="25" t="e">
        <f t="shared" si="1136"/>
        <v>#DIV/0!</v>
      </c>
      <c r="E705" s="25" t="e">
        <f t="shared" si="1136"/>
        <v>#DIV/0!</v>
      </c>
      <c r="F705" s="25" t="e">
        <f t="shared" si="1136"/>
        <v>#DIV/0!</v>
      </c>
      <c r="G705" s="25" t="e">
        <f t="shared" si="1136"/>
        <v>#DIV/0!</v>
      </c>
      <c r="H705" s="25" t="e">
        <f t="shared" si="1136"/>
        <v>#DIV/0!</v>
      </c>
      <c r="I705" s="25" t="e">
        <f t="shared" si="1136"/>
        <v>#DIV/0!</v>
      </c>
      <c r="J705" s="25" t="e">
        <f t="shared" si="1136"/>
        <v>#DIV/0!</v>
      </c>
      <c r="K705" s="25" t="e">
        <f t="shared" si="1136"/>
        <v>#DIV/0!</v>
      </c>
      <c r="L705" s="25" t="e">
        <f t="shared" si="1136"/>
        <v>#DIV/0!</v>
      </c>
      <c r="M705" s="25" t="e">
        <f t="shared" si="1136"/>
        <v>#DIV/0!</v>
      </c>
      <c r="N705" s="34" t="e">
        <f t="shared" si="1136"/>
        <v>#DIV/0!</v>
      </c>
      <c r="O705" s="21"/>
    </row>
    <row r="706" spans="1:15">
      <c r="A706" s="1967" t="s">
        <v>1147</v>
      </c>
      <c r="B706" s="43"/>
      <c r="C706" s="1965" t="e">
        <f>C705/C704</f>
        <v>#DIV/0!</v>
      </c>
      <c r="D706" s="1965" t="e">
        <f t="shared" ref="D706:N706" si="1137">D705/D704</f>
        <v>#DIV/0!</v>
      </c>
      <c r="E706" s="1965" t="e">
        <f t="shared" si="1137"/>
        <v>#DIV/0!</v>
      </c>
      <c r="F706" s="1965" t="e">
        <f t="shared" si="1137"/>
        <v>#DIV/0!</v>
      </c>
      <c r="G706" s="1965" t="e">
        <f t="shared" si="1137"/>
        <v>#DIV/0!</v>
      </c>
      <c r="H706" s="1965" t="e">
        <f t="shared" si="1137"/>
        <v>#DIV/0!</v>
      </c>
      <c r="I706" s="1965" t="e">
        <f t="shared" si="1137"/>
        <v>#DIV/0!</v>
      </c>
      <c r="J706" s="1965" t="e">
        <f t="shared" si="1137"/>
        <v>#DIV/0!</v>
      </c>
      <c r="K706" s="1965" t="e">
        <f t="shared" si="1137"/>
        <v>#DIV/0!</v>
      </c>
      <c r="L706" s="1965" t="e">
        <f t="shared" si="1137"/>
        <v>#DIV/0!</v>
      </c>
      <c r="M706" s="1965" t="e">
        <f t="shared" si="1137"/>
        <v>#DIV/0!</v>
      </c>
      <c r="N706" s="1969" t="e">
        <f t="shared" si="1137"/>
        <v>#DIV/0!</v>
      </c>
      <c r="O706" s="21"/>
    </row>
    <row r="707" spans="1:15">
      <c r="A707" s="1968" t="s">
        <v>1148</v>
      </c>
      <c r="B707" s="1966">
        <v>0.02</v>
      </c>
      <c r="C707" s="24" t="e">
        <f>IF(AND((C701*1.25)&lt;(C695*C703),(C706&lt;$B$16)),"PASS","FAIL")</f>
        <v>#DIV/0!</v>
      </c>
      <c r="D707" s="24" t="e">
        <f>IF(AND((D701*1.25)&lt;(D695*D703),(D706&lt;$B$16)),"PASS","FAIL")</f>
        <v>#DIV/0!</v>
      </c>
      <c r="E707" s="24" t="e">
        <f>IF(AND((E701*1.25)&lt;(E695*E703),(E706&lt;$B$16)),"PASS","FAIL")</f>
        <v>#DIV/0!</v>
      </c>
      <c r="F707" s="24" t="e">
        <f>IF(AND((F701*1.25)&lt;(F695*F703),(F706&lt;$B$16)),"PASS","FAIL")</f>
        <v>#DIV/0!</v>
      </c>
      <c r="G707" s="24" t="e">
        <f>IF(AND((G701*1.25)&lt;(G695*G703),(G706&lt;$B$16)),"PASS","FAIL")</f>
        <v>#DIV/0!</v>
      </c>
      <c r="H707" s="24" t="e">
        <f>IF(AND((H701*1.1)&lt;(H695*H703),(H706&lt;$B$16)),"PASS","FAIL")</f>
        <v>#DIV/0!</v>
      </c>
      <c r="I707" s="24" t="e">
        <f t="shared" ref="I707:N707" si="1138">IF(AND((I701*1.25)&lt;(I695*I703),(I706&lt;$B$16)),"PASS","FAIL")</f>
        <v>#DIV/0!</v>
      </c>
      <c r="J707" s="24" t="e">
        <f t="shared" si="1138"/>
        <v>#DIV/0!</v>
      </c>
      <c r="K707" s="24" t="e">
        <f t="shared" si="1138"/>
        <v>#DIV/0!</v>
      </c>
      <c r="L707" s="24" t="e">
        <f t="shared" si="1138"/>
        <v>#DIV/0!</v>
      </c>
      <c r="M707" s="24" t="e">
        <f t="shared" si="1138"/>
        <v>#DIV/0!</v>
      </c>
      <c r="N707" s="33" t="e">
        <f t="shared" si="1138"/>
        <v>#DIV/0!</v>
      </c>
      <c r="O707" s="21"/>
    </row>
    <row r="708" spans="1:15" ht="18.600000000000001" thickBot="1">
      <c r="A708" s="1970" t="s">
        <v>1149</v>
      </c>
      <c r="B708" s="1971"/>
      <c r="C708" s="1972" t="e">
        <f t="shared" ref="C708:N708" si="1139">IF(AND((C701*1.25)&lt;(C696*C703),(C706&lt;$B$16)),"PASS","FAIL")</f>
        <v>#DIV/0!</v>
      </c>
      <c r="D708" s="1972" t="e">
        <f t="shared" si="1139"/>
        <v>#DIV/0!</v>
      </c>
      <c r="E708" s="1972" t="e">
        <f t="shared" si="1139"/>
        <v>#DIV/0!</v>
      </c>
      <c r="F708" s="1972" t="e">
        <f t="shared" si="1139"/>
        <v>#DIV/0!</v>
      </c>
      <c r="G708" s="1972" t="e">
        <f t="shared" si="1139"/>
        <v>#DIV/0!</v>
      </c>
      <c r="H708" s="1972" t="e">
        <f t="shared" si="1139"/>
        <v>#DIV/0!</v>
      </c>
      <c r="I708" s="1972" t="e">
        <f t="shared" si="1139"/>
        <v>#DIV/0!</v>
      </c>
      <c r="J708" s="1972" t="e">
        <f t="shared" si="1139"/>
        <v>#DIV/0!</v>
      </c>
      <c r="K708" s="1972" t="e">
        <f t="shared" si="1139"/>
        <v>#DIV/0!</v>
      </c>
      <c r="L708" s="1972" t="e">
        <f t="shared" si="1139"/>
        <v>#DIV/0!</v>
      </c>
      <c r="M708" s="1972" t="e">
        <f t="shared" si="1139"/>
        <v>#DIV/0!</v>
      </c>
      <c r="N708" s="1973" t="e">
        <f t="shared" si="1139"/>
        <v>#DIV/0!</v>
      </c>
      <c r="O708" s="21"/>
    </row>
    <row r="709" spans="1:15">
      <c r="A709" s="1963">
        <f>('Input''s from Initial Design'!W118*1000/(1.732*440*1))</f>
        <v>0</v>
      </c>
      <c r="B709" s="1964" t="s">
        <v>1150</v>
      </c>
      <c r="C709" s="26"/>
      <c r="D709" s="3213"/>
      <c r="E709" s="3213"/>
      <c r="F709" s="3213"/>
      <c r="G709" s="21"/>
      <c r="H709" s="21"/>
      <c r="I709" s="21"/>
      <c r="J709" s="21"/>
    </row>
    <row r="710" spans="1:15">
      <c r="A710" s="21"/>
      <c r="B710" s="21"/>
      <c r="C710" s="26"/>
      <c r="D710" s="21"/>
      <c r="E710" s="21">
        <v>30</v>
      </c>
      <c r="F710" s="21"/>
      <c r="G710" s="27"/>
      <c r="H710" s="21"/>
      <c r="I710" s="21"/>
      <c r="J710" s="21"/>
    </row>
    <row r="711" spans="1:15">
      <c r="A711" s="28" t="s">
        <v>1148</v>
      </c>
      <c r="B711" s="29" t="e">
        <f>IF(C707="FAIL",IF(D707="FAIL",IF(E707="FAIL",IF(F707="FAIL",IF(G707="FAIL",IF(H707="FAIL",IF(I707="FAIL",IF(J707="FAIL",IF(K707="FAIL",IF(L707="FAIL",IF(M707="FAIL","NO MATCH",$M$1),$L$1),$K$1),$J$1),$I$1),$H$1),$G$1),$F$1),$E$1),$D$1),$C$1)</f>
        <v>#DIV/0!</v>
      </c>
      <c r="C711" s="30" t="s">
        <v>1151</v>
      </c>
      <c r="D711" s="21"/>
      <c r="E711" s="21"/>
      <c r="F711" s="21"/>
      <c r="G711" s="21"/>
      <c r="H711" s="26"/>
      <c r="I711" s="21"/>
      <c r="J711" s="21"/>
      <c r="K711" s="21"/>
      <c r="L711" s="21"/>
      <c r="N711" s="21"/>
      <c r="O711" s="21"/>
    </row>
    <row r="712" spans="1:15">
      <c r="A712" s="28" t="s">
        <v>1149</v>
      </c>
      <c r="B712" s="29" t="e">
        <f>IF(C708="FAIL",IF(D708="FAIL",IF(E708="FAIL",IF(F708="FAIL",IF(G708="FAIL",IF(H708="FAIL",IF(I708="FAIL",IF(J708="FAIL",IF(K708="FAIL",IF(L708="FAIL",IF(M708="FAIL","NO MATCH",$M$1),$L$1),$K$1),$J$1),$I$1),$H$1),$G$1),$F$1),$E$1),$D$1),$C$1)</f>
        <v>#DIV/0!</v>
      </c>
      <c r="C712" s="30" t="s">
        <v>1151</v>
      </c>
      <c r="D712" s="21"/>
      <c r="E712" s="21"/>
      <c r="F712" s="21"/>
      <c r="G712" s="21"/>
      <c r="H712" s="26"/>
      <c r="I712" s="21"/>
      <c r="J712" s="21"/>
      <c r="K712" s="21"/>
      <c r="L712" s="21"/>
      <c r="N712" s="21"/>
      <c r="O712" s="21"/>
    </row>
    <row r="713" spans="1:15" ht="18.600000000000001" thickBot="1"/>
    <row r="714" spans="1:15">
      <c r="A714" s="3214" t="s">
        <v>1122</v>
      </c>
      <c r="B714" s="3216"/>
      <c r="C714" s="35">
        <v>16</v>
      </c>
      <c r="D714" s="36">
        <v>25</v>
      </c>
      <c r="E714" s="36">
        <v>35</v>
      </c>
      <c r="F714" s="36">
        <v>50</v>
      </c>
      <c r="G714" s="36">
        <v>70</v>
      </c>
      <c r="H714" s="36">
        <v>95</v>
      </c>
      <c r="I714" s="36">
        <v>120</v>
      </c>
      <c r="J714" s="36">
        <v>150</v>
      </c>
      <c r="K714" s="36">
        <v>185</v>
      </c>
      <c r="L714" s="36">
        <v>240</v>
      </c>
      <c r="M714" s="36">
        <v>300</v>
      </c>
      <c r="N714" s="37">
        <v>400</v>
      </c>
    </row>
    <row r="715" spans="1:15" ht="18.600000000000001" thickBot="1">
      <c r="A715" s="3218"/>
      <c r="B715" s="3219"/>
      <c r="C715" s="38" t="s">
        <v>1123</v>
      </c>
      <c r="D715" s="39" t="s">
        <v>1124</v>
      </c>
      <c r="E715" s="39" t="s">
        <v>1125</v>
      </c>
      <c r="F715" s="39" t="s">
        <v>1126</v>
      </c>
      <c r="G715" s="39" t="s">
        <v>1127</v>
      </c>
      <c r="H715" s="39" t="s">
        <v>1128</v>
      </c>
      <c r="I715" s="39" t="s">
        <v>1129</v>
      </c>
      <c r="J715" s="39" t="s">
        <v>1130</v>
      </c>
      <c r="K715" s="39" t="s">
        <v>1131</v>
      </c>
      <c r="L715" s="39" t="s">
        <v>1132</v>
      </c>
      <c r="M715" s="39" t="s">
        <v>1133</v>
      </c>
      <c r="N715" s="40" t="s">
        <v>1134</v>
      </c>
    </row>
    <row r="716" spans="1:15">
      <c r="A716" s="1974" t="s">
        <v>1135</v>
      </c>
      <c r="B716" s="1975"/>
      <c r="C716" s="1976">
        <v>74</v>
      </c>
      <c r="D716" s="1976">
        <v>94</v>
      </c>
      <c r="E716" s="1976">
        <v>113</v>
      </c>
      <c r="F716" s="1976">
        <v>133</v>
      </c>
      <c r="G716" s="1976">
        <v>164</v>
      </c>
      <c r="H716" s="1976">
        <v>196</v>
      </c>
      <c r="I716" s="1976">
        <v>223</v>
      </c>
      <c r="J716" s="1976">
        <v>249</v>
      </c>
      <c r="K716" s="1976">
        <v>282</v>
      </c>
      <c r="L716" s="1976">
        <v>326</v>
      </c>
      <c r="M716" s="1976">
        <v>367</v>
      </c>
      <c r="N716" s="1977">
        <v>418</v>
      </c>
    </row>
    <row r="717" spans="1:15">
      <c r="A717" s="1967" t="s">
        <v>1136</v>
      </c>
      <c r="B717" s="43"/>
      <c r="C717" s="24">
        <v>74</v>
      </c>
      <c r="D717" s="24">
        <v>96</v>
      </c>
      <c r="E717" s="24">
        <v>117</v>
      </c>
      <c r="F717" s="24">
        <v>142</v>
      </c>
      <c r="G717" s="24">
        <v>179</v>
      </c>
      <c r="H717" s="24">
        <v>221</v>
      </c>
      <c r="I717" s="24">
        <v>257</v>
      </c>
      <c r="J717" s="24">
        <v>292</v>
      </c>
      <c r="K717" s="24">
        <v>337</v>
      </c>
      <c r="L717" s="24">
        <v>399</v>
      </c>
      <c r="M717" s="24">
        <v>455</v>
      </c>
      <c r="N717" s="33">
        <v>530</v>
      </c>
    </row>
    <row r="718" spans="1:15">
      <c r="A718" s="1967" t="s">
        <v>1137</v>
      </c>
      <c r="B718" s="42">
        <v>0.7</v>
      </c>
      <c r="C718" s="24">
        <f>B718</f>
        <v>0.7</v>
      </c>
      <c r="D718" s="24">
        <f>C718</f>
        <v>0.7</v>
      </c>
      <c r="E718" s="24">
        <f t="shared" ref="E718" si="1140">D718</f>
        <v>0.7</v>
      </c>
      <c r="F718" s="24">
        <f t="shared" ref="F718" si="1141">E718</f>
        <v>0.7</v>
      </c>
      <c r="G718" s="24">
        <f t="shared" ref="G718" si="1142">F718</f>
        <v>0.7</v>
      </c>
      <c r="H718" s="24">
        <f t="shared" ref="H718" si="1143">G718</f>
        <v>0.7</v>
      </c>
      <c r="I718" s="24">
        <f t="shared" ref="I718" si="1144">H718</f>
        <v>0.7</v>
      </c>
      <c r="J718" s="24">
        <f t="shared" ref="J718" si="1145">I718</f>
        <v>0.7</v>
      </c>
      <c r="K718" s="24">
        <f t="shared" ref="K718" si="1146">J718</f>
        <v>0.7</v>
      </c>
      <c r="L718" s="24">
        <f t="shared" ref="L718" si="1147">K718</f>
        <v>0.7</v>
      </c>
      <c r="M718" s="24">
        <f>L718</f>
        <v>0.7</v>
      </c>
      <c r="N718" s="33">
        <f>M718</f>
        <v>0.7</v>
      </c>
    </row>
    <row r="719" spans="1:15">
      <c r="A719" s="1967" t="s">
        <v>1138</v>
      </c>
      <c r="B719" s="43"/>
      <c r="C719" s="24">
        <f>C716*C718</f>
        <v>51.8</v>
      </c>
      <c r="D719" s="24">
        <f t="shared" ref="D719:G719" si="1148">D716*D718</f>
        <v>65.8</v>
      </c>
      <c r="E719" s="24">
        <f t="shared" si="1148"/>
        <v>79.099999999999994</v>
      </c>
      <c r="F719" s="24">
        <f t="shared" si="1148"/>
        <v>93.1</v>
      </c>
      <c r="G719" s="24">
        <f t="shared" si="1148"/>
        <v>114.8</v>
      </c>
      <c r="H719" s="24">
        <f>H716*H718</f>
        <v>137.19999999999999</v>
      </c>
      <c r="I719" s="24">
        <f t="shared" ref="I719:N719" si="1149">I716*I718</f>
        <v>156.1</v>
      </c>
      <c r="J719" s="24">
        <f t="shared" si="1149"/>
        <v>174.29999999999998</v>
      </c>
      <c r="K719" s="24">
        <f t="shared" si="1149"/>
        <v>197.39999999999998</v>
      </c>
      <c r="L719" s="24">
        <f t="shared" si="1149"/>
        <v>228.2</v>
      </c>
      <c r="M719" s="24">
        <f t="shared" si="1149"/>
        <v>256.89999999999998</v>
      </c>
      <c r="N719" s="33">
        <f t="shared" si="1149"/>
        <v>292.59999999999997</v>
      </c>
    </row>
    <row r="720" spans="1:15">
      <c r="A720" s="1967" t="s">
        <v>1139</v>
      </c>
      <c r="B720" s="43"/>
      <c r="C720" s="24">
        <f>C717*C718</f>
        <v>51.8</v>
      </c>
      <c r="D720" s="24">
        <f>D717*D718</f>
        <v>67.199999999999989</v>
      </c>
      <c r="E720" s="24">
        <f t="shared" ref="E720:G720" si="1150">E717*E718</f>
        <v>81.899999999999991</v>
      </c>
      <c r="F720" s="24">
        <f t="shared" si="1150"/>
        <v>99.399999999999991</v>
      </c>
      <c r="G720" s="24">
        <f t="shared" si="1150"/>
        <v>125.3</v>
      </c>
      <c r="H720" s="24">
        <f>H717*H718</f>
        <v>154.69999999999999</v>
      </c>
      <c r="I720" s="24">
        <f t="shared" ref="I720:N720" si="1151">I717*I718</f>
        <v>179.89999999999998</v>
      </c>
      <c r="J720" s="24">
        <f t="shared" si="1151"/>
        <v>204.39999999999998</v>
      </c>
      <c r="K720" s="24">
        <f t="shared" si="1151"/>
        <v>235.89999999999998</v>
      </c>
      <c r="L720" s="24">
        <f t="shared" si="1151"/>
        <v>279.29999999999995</v>
      </c>
      <c r="M720" s="24">
        <f t="shared" si="1151"/>
        <v>318.5</v>
      </c>
      <c r="N720" s="33">
        <f t="shared" si="1151"/>
        <v>371</v>
      </c>
    </row>
    <row r="721" spans="1:14">
      <c r="A721" s="1967"/>
      <c r="B721" s="43"/>
      <c r="C721" s="24"/>
      <c r="D721" s="24"/>
      <c r="E721" s="24"/>
      <c r="F721" s="24"/>
      <c r="G721" s="24"/>
      <c r="H721" s="24"/>
      <c r="I721" s="24"/>
      <c r="J721" s="24"/>
      <c r="K721" s="24"/>
      <c r="L721" s="24"/>
      <c r="M721" s="24"/>
      <c r="N721" s="33"/>
    </row>
    <row r="722" spans="1:14">
      <c r="A722" s="1967" t="s">
        <v>1140</v>
      </c>
      <c r="B722" s="43"/>
      <c r="C722" s="24">
        <v>2.44</v>
      </c>
      <c r="D722" s="24">
        <v>1.54</v>
      </c>
      <c r="E722" s="24">
        <v>1.1100000000000001</v>
      </c>
      <c r="F722" s="24">
        <v>0.82</v>
      </c>
      <c r="G722" s="24">
        <v>0.56699999999999995</v>
      </c>
      <c r="H722" s="24">
        <v>0.41</v>
      </c>
      <c r="I722" s="24">
        <v>0.32400000000000001</v>
      </c>
      <c r="J722" s="24">
        <v>0.26400000000000001</v>
      </c>
      <c r="K722" s="24">
        <v>0.21</v>
      </c>
      <c r="L722" s="24">
        <v>0.16</v>
      </c>
      <c r="M722" s="24">
        <v>0.128</v>
      </c>
      <c r="N722" s="33">
        <v>0.1</v>
      </c>
    </row>
    <row r="723" spans="1:14">
      <c r="A723" s="1967" t="s">
        <v>1141</v>
      </c>
      <c r="B723" s="43"/>
      <c r="C723" s="24">
        <v>8.0799999999999997E-2</v>
      </c>
      <c r="D723" s="24">
        <v>8.0500000000000002E-2</v>
      </c>
      <c r="E723" s="24">
        <v>7.8299999999999995E-2</v>
      </c>
      <c r="F723" s="24">
        <v>7.4999999999999997E-2</v>
      </c>
      <c r="G723" s="24">
        <v>7.3999999999999996E-2</v>
      </c>
      <c r="H723" s="24">
        <v>7.2400000000000006E-2</v>
      </c>
      <c r="I723" s="24">
        <v>7.1199999999999999E-2</v>
      </c>
      <c r="J723" s="24">
        <v>7.1599999999999997E-2</v>
      </c>
      <c r="K723" s="24">
        <v>7.1800000000000003E-2</v>
      </c>
      <c r="L723" s="24">
        <v>7.0999999999999994E-2</v>
      </c>
      <c r="M723" s="24">
        <v>7.0499999999999993E-2</v>
      </c>
      <c r="N723" s="33">
        <v>7.0400000000000004E-2</v>
      </c>
    </row>
    <row r="724" spans="1:14">
      <c r="A724" s="1967"/>
      <c r="B724" s="43"/>
      <c r="C724" s="24"/>
      <c r="D724" s="24"/>
      <c r="E724" s="24"/>
      <c r="F724" s="24"/>
      <c r="G724" s="24"/>
      <c r="H724" s="24"/>
      <c r="I724" s="24"/>
      <c r="J724" s="24"/>
      <c r="K724" s="24"/>
      <c r="L724" s="24"/>
      <c r="M724" s="24"/>
      <c r="N724" s="33"/>
    </row>
    <row r="725" spans="1:14">
      <c r="A725" s="1968" t="s">
        <v>1142</v>
      </c>
      <c r="B725" s="41" t="e">
        <f>A733</f>
        <v>#REF!</v>
      </c>
      <c r="C725" s="24" t="e">
        <f t="shared" ref="C725:C727" si="1152">B725</f>
        <v>#REF!</v>
      </c>
      <c r="D725" s="24" t="e">
        <f t="shared" ref="D725:D727" si="1153">C725</f>
        <v>#REF!</v>
      </c>
      <c r="E725" s="24" t="e">
        <f t="shared" ref="E725:E727" si="1154">D725</f>
        <v>#REF!</v>
      </c>
      <c r="F725" s="24" t="e">
        <f t="shared" ref="F725:F727" si="1155">E725</f>
        <v>#REF!</v>
      </c>
      <c r="G725" s="24" t="e">
        <f t="shared" ref="G725:G727" si="1156">F725</f>
        <v>#REF!</v>
      </c>
      <c r="H725" s="24" t="e">
        <f t="shared" ref="H725:H727" si="1157">G725</f>
        <v>#REF!</v>
      </c>
      <c r="I725" s="24" t="e">
        <f t="shared" ref="I725:I727" si="1158">H725</f>
        <v>#REF!</v>
      </c>
      <c r="J725" s="24" t="e">
        <f t="shared" ref="J725:J727" si="1159">I725</f>
        <v>#REF!</v>
      </c>
      <c r="K725" s="24" t="e">
        <f t="shared" ref="K725:K727" si="1160">J725</f>
        <v>#REF!</v>
      </c>
      <c r="L725" s="24" t="e">
        <f t="shared" ref="L725:L727" si="1161">K725</f>
        <v>#REF!</v>
      </c>
      <c r="M725" s="24" t="e">
        <f t="shared" ref="M725:M727" si="1162">L725</f>
        <v>#REF!</v>
      </c>
      <c r="N725" s="33" t="e">
        <f t="shared" ref="N725:N727" si="1163">M725</f>
        <v>#REF!</v>
      </c>
    </row>
    <row r="726" spans="1:14">
      <c r="A726" s="1968" t="s">
        <v>1143</v>
      </c>
      <c r="B726" s="42" t="e">
        <f>'Input''s from Initial Design'!#REF!</f>
        <v>#REF!</v>
      </c>
      <c r="C726" s="24" t="e">
        <f t="shared" si="1152"/>
        <v>#REF!</v>
      </c>
      <c r="D726" s="24" t="e">
        <f t="shared" si="1153"/>
        <v>#REF!</v>
      </c>
      <c r="E726" s="24" t="e">
        <f t="shared" si="1154"/>
        <v>#REF!</v>
      </c>
      <c r="F726" s="24" t="e">
        <f t="shared" si="1155"/>
        <v>#REF!</v>
      </c>
      <c r="G726" s="24" t="e">
        <f t="shared" si="1156"/>
        <v>#REF!</v>
      </c>
      <c r="H726" s="24" t="e">
        <f t="shared" si="1157"/>
        <v>#REF!</v>
      </c>
      <c r="I726" s="24" t="e">
        <f t="shared" si="1158"/>
        <v>#REF!</v>
      </c>
      <c r="J726" s="24" t="e">
        <f t="shared" si="1159"/>
        <v>#REF!</v>
      </c>
      <c r="K726" s="24" t="e">
        <f t="shared" si="1160"/>
        <v>#REF!</v>
      </c>
      <c r="L726" s="24" t="e">
        <f t="shared" si="1161"/>
        <v>#REF!</v>
      </c>
      <c r="M726" s="24" t="e">
        <f t="shared" si="1162"/>
        <v>#REF!</v>
      </c>
      <c r="N726" s="33" t="e">
        <f t="shared" si="1163"/>
        <v>#REF!</v>
      </c>
    </row>
    <row r="727" spans="1:14">
      <c r="A727" s="1968" t="s">
        <v>1144</v>
      </c>
      <c r="B727" s="42">
        <f>'Input''s from Initial Design'!Y118</f>
        <v>0</v>
      </c>
      <c r="C727" s="24">
        <f t="shared" si="1152"/>
        <v>0</v>
      </c>
      <c r="D727" s="24">
        <f t="shared" si="1153"/>
        <v>0</v>
      </c>
      <c r="E727" s="24">
        <f t="shared" si="1154"/>
        <v>0</v>
      </c>
      <c r="F727" s="24">
        <f t="shared" si="1155"/>
        <v>0</v>
      </c>
      <c r="G727" s="24">
        <f t="shared" si="1156"/>
        <v>0</v>
      </c>
      <c r="H727" s="24">
        <f t="shared" si="1157"/>
        <v>0</v>
      </c>
      <c r="I727" s="24">
        <f t="shared" si="1158"/>
        <v>0</v>
      </c>
      <c r="J727" s="24">
        <f t="shared" si="1159"/>
        <v>0</v>
      </c>
      <c r="K727" s="24">
        <f t="shared" si="1160"/>
        <v>0</v>
      </c>
      <c r="L727" s="24">
        <f t="shared" si="1161"/>
        <v>0</v>
      </c>
      <c r="M727" s="24">
        <f t="shared" si="1162"/>
        <v>0</v>
      </c>
      <c r="N727" s="33">
        <f t="shared" si="1163"/>
        <v>0</v>
      </c>
    </row>
    <row r="728" spans="1:14">
      <c r="A728" s="1968" t="s">
        <v>1145</v>
      </c>
      <c r="B728" s="42">
        <v>415</v>
      </c>
      <c r="C728" s="24">
        <f>+B728</f>
        <v>415</v>
      </c>
      <c r="D728" s="24">
        <f t="shared" ref="D728" si="1164">+C728</f>
        <v>415</v>
      </c>
      <c r="E728" s="24">
        <f t="shared" ref="E728" si="1165">+D728</f>
        <v>415</v>
      </c>
      <c r="F728" s="24">
        <f t="shared" ref="F728" si="1166">+E728</f>
        <v>415</v>
      </c>
      <c r="G728" s="24">
        <f t="shared" ref="G728" si="1167">+F728</f>
        <v>415</v>
      </c>
      <c r="H728" s="24">
        <f t="shared" ref="H728" si="1168">+G728</f>
        <v>415</v>
      </c>
      <c r="I728" s="24">
        <f t="shared" ref="I728" si="1169">+H728</f>
        <v>415</v>
      </c>
      <c r="J728" s="24">
        <f t="shared" ref="J728" si="1170">+I728</f>
        <v>415</v>
      </c>
      <c r="K728" s="24">
        <f t="shared" ref="K728" si="1171">+J728</f>
        <v>415</v>
      </c>
      <c r="L728" s="24">
        <f t="shared" ref="L728" si="1172">+K728</f>
        <v>415</v>
      </c>
      <c r="M728" s="24">
        <f t="shared" ref="M728" si="1173">+L728</f>
        <v>415</v>
      </c>
      <c r="N728" s="33">
        <f t="shared" ref="N728" si="1174">+M728</f>
        <v>415</v>
      </c>
    </row>
    <row r="729" spans="1:14">
      <c r="A729" s="1967" t="s">
        <v>1146</v>
      </c>
      <c r="B729" s="43"/>
      <c r="C729" s="25" t="e">
        <f t="shared" ref="C729:N729" si="1175">1.732*C725*(C722/1000*1+C723/1000*0)*C726/C727</f>
        <v>#REF!</v>
      </c>
      <c r="D729" s="25" t="e">
        <f t="shared" si="1175"/>
        <v>#REF!</v>
      </c>
      <c r="E729" s="25" t="e">
        <f t="shared" si="1175"/>
        <v>#REF!</v>
      </c>
      <c r="F729" s="25" t="e">
        <f t="shared" si="1175"/>
        <v>#REF!</v>
      </c>
      <c r="G729" s="25" t="e">
        <f t="shared" si="1175"/>
        <v>#REF!</v>
      </c>
      <c r="H729" s="25" t="e">
        <f t="shared" si="1175"/>
        <v>#REF!</v>
      </c>
      <c r="I729" s="25" t="e">
        <f t="shared" si="1175"/>
        <v>#REF!</v>
      </c>
      <c r="J729" s="25" t="e">
        <f t="shared" si="1175"/>
        <v>#REF!</v>
      </c>
      <c r="K729" s="25" t="e">
        <f t="shared" si="1175"/>
        <v>#REF!</v>
      </c>
      <c r="L729" s="25" t="e">
        <f t="shared" si="1175"/>
        <v>#REF!</v>
      </c>
      <c r="M729" s="25" t="e">
        <f t="shared" si="1175"/>
        <v>#REF!</v>
      </c>
      <c r="N729" s="34" t="e">
        <f t="shared" si="1175"/>
        <v>#REF!</v>
      </c>
    </row>
    <row r="730" spans="1:14">
      <c r="A730" s="1967" t="s">
        <v>1147</v>
      </c>
      <c r="B730" s="43"/>
      <c r="C730" s="1965" t="e">
        <f>C729/C728</f>
        <v>#REF!</v>
      </c>
      <c r="D730" s="1965" t="e">
        <f t="shared" ref="D730:N730" si="1176">D729/D728</f>
        <v>#REF!</v>
      </c>
      <c r="E730" s="1965" t="e">
        <f t="shared" si="1176"/>
        <v>#REF!</v>
      </c>
      <c r="F730" s="1965" t="e">
        <f t="shared" si="1176"/>
        <v>#REF!</v>
      </c>
      <c r="G730" s="1965" t="e">
        <f t="shared" si="1176"/>
        <v>#REF!</v>
      </c>
      <c r="H730" s="1965" t="e">
        <f t="shared" si="1176"/>
        <v>#REF!</v>
      </c>
      <c r="I730" s="1965" t="e">
        <f t="shared" si="1176"/>
        <v>#REF!</v>
      </c>
      <c r="J730" s="1965" t="e">
        <f t="shared" si="1176"/>
        <v>#REF!</v>
      </c>
      <c r="K730" s="1965" t="e">
        <f t="shared" si="1176"/>
        <v>#REF!</v>
      </c>
      <c r="L730" s="1965" t="e">
        <f t="shared" si="1176"/>
        <v>#REF!</v>
      </c>
      <c r="M730" s="1965" t="e">
        <f t="shared" si="1176"/>
        <v>#REF!</v>
      </c>
      <c r="N730" s="1969" t="e">
        <f t="shared" si="1176"/>
        <v>#REF!</v>
      </c>
    </row>
    <row r="731" spans="1:14">
      <c r="A731" s="1968" t="s">
        <v>1148</v>
      </c>
      <c r="B731" s="1966" t="e">
        <f>'Input''s from Initial Design'!#REF!</f>
        <v>#REF!</v>
      </c>
      <c r="C731" s="24" t="e">
        <f>IF(AND((C725*1.25)&lt;(C719*C727),(C730&lt;$B$16)),"PASS","FAIL")</f>
        <v>#REF!</v>
      </c>
      <c r="D731" s="24" t="e">
        <f>IF(AND((D725*1.25)&lt;(D719*D727),(D730&lt;$B$16)),"PASS","FAIL")</f>
        <v>#REF!</v>
      </c>
      <c r="E731" s="24" t="e">
        <f>IF(AND((E725*1.25)&lt;(E719*E727),(E730&lt;$B$16)),"PASS","FAIL")</f>
        <v>#REF!</v>
      </c>
      <c r="F731" s="24" t="e">
        <f>IF(AND((F725*1.25)&lt;(F719*F727),(F730&lt;$B$16)),"PASS","FAIL")</f>
        <v>#REF!</v>
      </c>
      <c r="G731" s="24" t="e">
        <f>IF(AND((G725*1.25)&lt;(G719*G727),(G730&lt;$B$16)),"PASS","FAIL")</f>
        <v>#REF!</v>
      </c>
      <c r="H731" s="24" t="e">
        <f>IF(AND((H725*1.1)&lt;(H719*H727),(H730&lt;$B$16)),"PASS","FAIL")</f>
        <v>#REF!</v>
      </c>
      <c r="I731" s="24" t="e">
        <f t="shared" ref="I731:N731" si="1177">IF(AND((I725*1.25)&lt;(I719*I727),(I730&lt;$B$16)),"PASS","FAIL")</f>
        <v>#REF!</v>
      </c>
      <c r="J731" s="24" t="e">
        <f t="shared" si="1177"/>
        <v>#REF!</v>
      </c>
      <c r="K731" s="24" t="e">
        <f t="shared" si="1177"/>
        <v>#REF!</v>
      </c>
      <c r="L731" s="24" t="e">
        <f t="shared" si="1177"/>
        <v>#REF!</v>
      </c>
      <c r="M731" s="24" t="e">
        <f t="shared" si="1177"/>
        <v>#REF!</v>
      </c>
      <c r="N731" s="33" t="e">
        <f t="shared" si="1177"/>
        <v>#REF!</v>
      </c>
    </row>
    <row r="732" spans="1:14" ht="18.600000000000001" thickBot="1">
      <c r="A732" s="1970" t="s">
        <v>1149</v>
      </c>
      <c r="B732" s="1971"/>
      <c r="C732" s="1972" t="e">
        <f t="shared" ref="C732:N732" si="1178">IF(AND((C725*1.25)&lt;(C720*C727),(C730&lt;$B$16)),"PASS","FAIL")</f>
        <v>#REF!</v>
      </c>
      <c r="D732" s="1972" t="e">
        <f t="shared" si="1178"/>
        <v>#REF!</v>
      </c>
      <c r="E732" s="1972" t="e">
        <f t="shared" si="1178"/>
        <v>#REF!</v>
      </c>
      <c r="F732" s="1972" t="e">
        <f t="shared" si="1178"/>
        <v>#REF!</v>
      </c>
      <c r="G732" s="1972" t="e">
        <f t="shared" si="1178"/>
        <v>#REF!</v>
      </c>
      <c r="H732" s="1972" t="e">
        <f t="shared" si="1178"/>
        <v>#REF!</v>
      </c>
      <c r="I732" s="1972" t="e">
        <f t="shared" si="1178"/>
        <v>#REF!</v>
      </c>
      <c r="J732" s="1972" t="e">
        <f t="shared" si="1178"/>
        <v>#REF!</v>
      </c>
      <c r="K732" s="1972" t="e">
        <f t="shared" si="1178"/>
        <v>#REF!</v>
      </c>
      <c r="L732" s="1972" t="e">
        <f t="shared" si="1178"/>
        <v>#REF!</v>
      </c>
      <c r="M732" s="1972" t="e">
        <f t="shared" si="1178"/>
        <v>#REF!</v>
      </c>
      <c r="N732" s="1973" t="e">
        <f t="shared" si="1178"/>
        <v>#REF!</v>
      </c>
    </row>
    <row r="733" spans="1:14">
      <c r="A733" s="1963" t="e">
        <f>('Input''s from Initial Design'!#REF!*1000/(1.732*440*1))</f>
        <v>#REF!</v>
      </c>
      <c r="B733" s="1964" t="s">
        <v>1150</v>
      </c>
      <c r="C733" s="26"/>
      <c r="D733" s="3213"/>
      <c r="E733" s="3213"/>
      <c r="F733" s="3213"/>
      <c r="G733" s="21"/>
      <c r="H733" s="21"/>
      <c r="I733" s="21"/>
      <c r="J733" s="21"/>
    </row>
    <row r="734" spans="1:14">
      <c r="A734" s="21"/>
      <c r="B734" s="21"/>
      <c r="C734" s="26"/>
      <c r="D734" s="21"/>
      <c r="E734" s="21">
        <v>30</v>
      </c>
      <c r="F734" s="21"/>
      <c r="G734" s="27"/>
      <c r="H734" s="21"/>
      <c r="I734" s="21"/>
      <c r="J734" s="21"/>
    </row>
    <row r="735" spans="1:14">
      <c r="A735" s="28" t="s">
        <v>1148</v>
      </c>
      <c r="B735" s="29" t="e">
        <f>IF(C731="FAIL",IF(D731="FAIL",IF(E731="FAIL",IF(F731="FAIL",IF(G731="FAIL",IF(H731="FAIL",IF(I731="FAIL",IF(J731="FAIL",IF(K731="FAIL",IF(L731="FAIL",IF(M731="FAIL","NO MATCH",$M$1),$L$1),$K$1),$J$1),$I$1),$H$1),$G$1),$F$1),$E$1),$D$1),$C$1)</f>
        <v>#REF!</v>
      </c>
      <c r="C735" s="30" t="s">
        <v>1151</v>
      </c>
      <c r="D735" s="21"/>
      <c r="E735" s="21"/>
      <c r="F735" s="21"/>
      <c r="G735" s="21"/>
      <c r="H735" s="26"/>
      <c r="I735" s="21"/>
      <c r="J735" s="21"/>
      <c r="K735" s="21"/>
      <c r="L735" s="21"/>
      <c r="N735" s="21"/>
    </row>
    <row r="736" spans="1:14">
      <c r="A736" s="28" t="s">
        <v>1149</v>
      </c>
      <c r="B736" s="29" t="e">
        <f>IF(C732="FAIL",IF(D732="FAIL",IF(E732="FAIL",IF(F732="FAIL",IF(G732="FAIL",IF(H732="FAIL",IF(I732="FAIL",IF(J732="FAIL",IF(K732="FAIL",IF(L732="FAIL",IF(M732="FAIL","NO MATCH",$M$1),$L$1),$K$1),$J$1),$I$1),$H$1),$G$1),$F$1),$E$1),$D$1),$C$1)</f>
        <v>#REF!</v>
      </c>
      <c r="C736" s="30" t="s">
        <v>1151</v>
      </c>
      <c r="D736" s="21"/>
      <c r="E736" s="21"/>
      <c r="F736" s="21"/>
      <c r="G736" s="21"/>
      <c r="H736" s="26"/>
      <c r="I736" s="21"/>
      <c r="J736" s="21"/>
      <c r="K736" s="21"/>
      <c r="L736" s="21"/>
      <c r="N736" s="21"/>
    </row>
    <row r="737" spans="1:14" ht="18.600000000000001" thickBot="1"/>
    <row r="738" spans="1:14">
      <c r="A738" s="3214" t="s">
        <v>1122</v>
      </c>
      <c r="B738" s="3216"/>
      <c r="C738" s="35">
        <v>16</v>
      </c>
      <c r="D738" s="36">
        <v>25</v>
      </c>
      <c r="E738" s="36">
        <v>35</v>
      </c>
      <c r="F738" s="36">
        <v>50</v>
      </c>
      <c r="G738" s="36">
        <v>70</v>
      </c>
      <c r="H738" s="36">
        <v>95</v>
      </c>
      <c r="I738" s="36">
        <v>120</v>
      </c>
      <c r="J738" s="36">
        <v>150</v>
      </c>
      <c r="K738" s="36">
        <v>185</v>
      </c>
      <c r="L738" s="36">
        <v>240</v>
      </c>
      <c r="M738" s="36">
        <v>300</v>
      </c>
      <c r="N738" s="37">
        <v>400</v>
      </c>
    </row>
    <row r="739" spans="1:14" ht="18.600000000000001" thickBot="1">
      <c r="A739" s="3218"/>
      <c r="B739" s="3219"/>
      <c r="C739" s="38" t="s">
        <v>1123</v>
      </c>
      <c r="D739" s="39" t="s">
        <v>1124</v>
      </c>
      <c r="E739" s="39" t="s">
        <v>1125</v>
      </c>
      <c r="F739" s="39" t="s">
        <v>1126</v>
      </c>
      <c r="G739" s="39" t="s">
        <v>1127</v>
      </c>
      <c r="H739" s="39" t="s">
        <v>1128</v>
      </c>
      <c r="I739" s="39" t="s">
        <v>1129</v>
      </c>
      <c r="J739" s="39" t="s">
        <v>1130</v>
      </c>
      <c r="K739" s="39" t="s">
        <v>1131</v>
      </c>
      <c r="L739" s="39" t="s">
        <v>1132</v>
      </c>
      <c r="M739" s="39" t="s">
        <v>1133</v>
      </c>
      <c r="N739" s="40" t="s">
        <v>1134</v>
      </c>
    </row>
    <row r="740" spans="1:14">
      <c r="A740" s="1974" t="s">
        <v>1135</v>
      </c>
      <c r="B740" s="1975"/>
      <c r="C740" s="1976">
        <v>74</v>
      </c>
      <c r="D740" s="1976">
        <v>94</v>
      </c>
      <c r="E740" s="1976">
        <v>113</v>
      </c>
      <c r="F740" s="1976">
        <v>133</v>
      </c>
      <c r="G740" s="1976">
        <v>164</v>
      </c>
      <c r="H740" s="1976">
        <v>196</v>
      </c>
      <c r="I740" s="1976">
        <v>223</v>
      </c>
      <c r="J740" s="1976">
        <v>249</v>
      </c>
      <c r="K740" s="1976">
        <v>282</v>
      </c>
      <c r="L740" s="1976">
        <v>326</v>
      </c>
      <c r="M740" s="1976">
        <v>367</v>
      </c>
      <c r="N740" s="1977">
        <v>418</v>
      </c>
    </row>
    <row r="741" spans="1:14">
      <c r="A741" s="1967" t="s">
        <v>1136</v>
      </c>
      <c r="B741" s="43"/>
      <c r="C741" s="24">
        <v>74</v>
      </c>
      <c r="D741" s="24">
        <v>96</v>
      </c>
      <c r="E741" s="24">
        <v>117</v>
      </c>
      <c r="F741" s="24">
        <v>142</v>
      </c>
      <c r="G741" s="24">
        <v>179</v>
      </c>
      <c r="H741" s="24">
        <v>221</v>
      </c>
      <c r="I741" s="24">
        <v>257</v>
      </c>
      <c r="J741" s="24">
        <v>292</v>
      </c>
      <c r="K741" s="24">
        <v>337</v>
      </c>
      <c r="L741" s="24">
        <v>399</v>
      </c>
      <c r="M741" s="24">
        <v>455</v>
      </c>
      <c r="N741" s="33">
        <v>530</v>
      </c>
    </row>
    <row r="742" spans="1:14">
      <c r="A742" s="1967" t="s">
        <v>1137</v>
      </c>
      <c r="B742" s="42">
        <v>0.7</v>
      </c>
      <c r="C742" s="24">
        <f>B742</f>
        <v>0.7</v>
      </c>
      <c r="D742" s="24">
        <f>C742</f>
        <v>0.7</v>
      </c>
      <c r="E742" s="24">
        <f t="shared" ref="E742" si="1179">D742</f>
        <v>0.7</v>
      </c>
      <c r="F742" s="24">
        <f t="shared" ref="F742" si="1180">E742</f>
        <v>0.7</v>
      </c>
      <c r="G742" s="24">
        <f t="shared" ref="G742" si="1181">F742</f>
        <v>0.7</v>
      </c>
      <c r="H742" s="24">
        <f t="shared" ref="H742" si="1182">G742</f>
        <v>0.7</v>
      </c>
      <c r="I742" s="24">
        <f t="shared" ref="I742" si="1183">H742</f>
        <v>0.7</v>
      </c>
      <c r="J742" s="24">
        <f t="shared" ref="J742" si="1184">I742</f>
        <v>0.7</v>
      </c>
      <c r="K742" s="24">
        <f t="shared" ref="K742" si="1185">J742</f>
        <v>0.7</v>
      </c>
      <c r="L742" s="24">
        <f t="shared" ref="L742" si="1186">K742</f>
        <v>0.7</v>
      </c>
      <c r="M742" s="24">
        <f>L742</f>
        <v>0.7</v>
      </c>
      <c r="N742" s="33">
        <f>M742</f>
        <v>0.7</v>
      </c>
    </row>
    <row r="743" spans="1:14">
      <c r="A743" s="1967" t="s">
        <v>1138</v>
      </c>
      <c r="B743" s="43"/>
      <c r="C743" s="24">
        <f>C740*C742</f>
        <v>51.8</v>
      </c>
      <c r="D743" s="24">
        <f t="shared" ref="D743:G743" si="1187">D740*D742</f>
        <v>65.8</v>
      </c>
      <c r="E743" s="24">
        <f t="shared" si="1187"/>
        <v>79.099999999999994</v>
      </c>
      <c r="F743" s="24">
        <f t="shared" si="1187"/>
        <v>93.1</v>
      </c>
      <c r="G743" s="24">
        <f t="shared" si="1187"/>
        <v>114.8</v>
      </c>
      <c r="H743" s="24">
        <f>H740*H742</f>
        <v>137.19999999999999</v>
      </c>
      <c r="I743" s="24">
        <f t="shared" ref="I743:N743" si="1188">I740*I742</f>
        <v>156.1</v>
      </c>
      <c r="J743" s="24">
        <f t="shared" si="1188"/>
        <v>174.29999999999998</v>
      </c>
      <c r="K743" s="24">
        <f t="shared" si="1188"/>
        <v>197.39999999999998</v>
      </c>
      <c r="L743" s="24">
        <f t="shared" si="1188"/>
        <v>228.2</v>
      </c>
      <c r="M743" s="24">
        <f t="shared" si="1188"/>
        <v>256.89999999999998</v>
      </c>
      <c r="N743" s="33">
        <f t="shared" si="1188"/>
        <v>292.59999999999997</v>
      </c>
    </row>
    <row r="744" spans="1:14">
      <c r="A744" s="1967" t="s">
        <v>1139</v>
      </c>
      <c r="B744" s="43"/>
      <c r="C744" s="24">
        <f>C741*C742</f>
        <v>51.8</v>
      </c>
      <c r="D744" s="24">
        <f>D741*D742</f>
        <v>67.199999999999989</v>
      </c>
      <c r="E744" s="24">
        <f t="shared" ref="E744:G744" si="1189">E741*E742</f>
        <v>81.899999999999991</v>
      </c>
      <c r="F744" s="24">
        <f t="shared" si="1189"/>
        <v>99.399999999999991</v>
      </c>
      <c r="G744" s="24">
        <f t="shared" si="1189"/>
        <v>125.3</v>
      </c>
      <c r="H744" s="24">
        <f>H741*H742</f>
        <v>154.69999999999999</v>
      </c>
      <c r="I744" s="24">
        <f t="shared" ref="I744:N744" si="1190">I741*I742</f>
        <v>179.89999999999998</v>
      </c>
      <c r="J744" s="24">
        <f t="shared" si="1190"/>
        <v>204.39999999999998</v>
      </c>
      <c r="K744" s="24">
        <f t="shared" si="1190"/>
        <v>235.89999999999998</v>
      </c>
      <c r="L744" s="24">
        <f t="shared" si="1190"/>
        <v>279.29999999999995</v>
      </c>
      <c r="M744" s="24">
        <f t="shared" si="1190"/>
        <v>318.5</v>
      </c>
      <c r="N744" s="33">
        <f t="shared" si="1190"/>
        <v>371</v>
      </c>
    </row>
    <row r="745" spans="1:14">
      <c r="A745" s="1967"/>
      <c r="B745" s="43"/>
      <c r="C745" s="24"/>
      <c r="D745" s="24"/>
      <c r="E745" s="24"/>
      <c r="F745" s="24"/>
      <c r="G745" s="24"/>
      <c r="H745" s="24"/>
      <c r="I745" s="24"/>
      <c r="J745" s="24"/>
      <c r="K745" s="24"/>
      <c r="L745" s="24"/>
      <c r="M745" s="24"/>
      <c r="N745" s="33"/>
    </row>
    <row r="746" spans="1:14">
      <c r="A746" s="1967" t="s">
        <v>1140</v>
      </c>
      <c r="B746" s="43"/>
      <c r="C746" s="24">
        <v>2.44</v>
      </c>
      <c r="D746" s="24">
        <v>1.54</v>
      </c>
      <c r="E746" s="24">
        <v>1.1100000000000001</v>
      </c>
      <c r="F746" s="24">
        <v>0.82</v>
      </c>
      <c r="G746" s="24">
        <v>0.56699999999999995</v>
      </c>
      <c r="H746" s="24">
        <v>0.41</v>
      </c>
      <c r="I746" s="24">
        <v>0.32400000000000001</v>
      </c>
      <c r="J746" s="24">
        <v>0.26400000000000001</v>
      </c>
      <c r="K746" s="24">
        <v>0.21</v>
      </c>
      <c r="L746" s="24">
        <v>0.16</v>
      </c>
      <c r="M746" s="24">
        <v>0.128</v>
      </c>
      <c r="N746" s="33">
        <v>0.1</v>
      </c>
    </row>
    <row r="747" spans="1:14">
      <c r="A747" s="1967" t="s">
        <v>1141</v>
      </c>
      <c r="B747" s="43"/>
      <c r="C747" s="24">
        <v>8.0799999999999997E-2</v>
      </c>
      <c r="D747" s="24">
        <v>8.0500000000000002E-2</v>
      </c>
      <c r="E747" s="24">
        <v>7.8299999999999995E-2</v>
      </c>
      <c r="F747" s="24">
        <v>7.4999999999999997E-2</v>
      </c>
      <c r="G747" s="24">
        <v>7.3999999999999996E-2</v>
      </c>
      <c r="H747" s="24">
        <v>7.2400000000000006E-2</v>
      </c>
      <c r="I747" s="24">
        <v>7.1199999999999999E-2</v>
      </c>
      <c r="J747" s="24">
        <v>7.1599999999999997E-2</v>
      </c>
      <c r="K747" s="24">
        <v>7.1800000000000003E-2</v>
      </c>
      <c r="L747" s="24">
        <v>7.0999999999999994E-2</v>
      </c>
      <c r="M747" s="24">
        <v>7.0499999999999993E-2</v>
      </c>
      <c r="N747" s="33">
        <v>7.0400000000000004E-2</v>
      </c>
    </row>
    <row r="748" spans="1:14">
      <c r="A748" s="1967"/>
      <c r="B748" s="43"/>
      <c r="C748" s="24"/>
      <c r="D748" s="24"/>
      <c r="E748" s="24"/>
      <c r="F748" s="24"/>
      <c r="G748" s="24"/>
      <c r="H748" s="24"/>
      <c r="I748" s="24"/>
      <c r="J748" s="24"/>
      <c r="K748" s="24"/>
      <c r="L748" s="24"/>
      <c r="M748" s="24"/>
      <c r="N748" s="33"/>
    </row>
    <row r="749" spans="1:14">
      <c r="A749" s="1968" t="s">
        <v>1142</v>
      </c>
      <c r="B749" s="41">
        <f>A757</f>
        <v>196.82972916229267</v>
      </c>
      <c r="C749" s="24">
        <f t="shared" ref="C749:C751" si="1191">B749</f>
        <v>196.82972916229267</v>
      </c>
      <c r="D749" s="24">
        <f t="shared" ref="D749:D751" si="1192">C749</f>
        <v>196.82972916229267</v>
      </c>
      <c r="E749" s="24">
        <f t="shared" ref="E749:E751" si="1193">D749</f>
        <v>196.82972916229267</v>
      </c>
      <c r="F749" s="24">
        <f t="shared" ref="F749:F751" si="1194">E749</f>
        <v>196.82972916229267</v>
      </c>
      <c r="G749" s="24">
        <f t="shared" ref="G749:G751" si="1195">F749</f>
        <v>196.82972916229267</v>
      </c>
      <c r="H749" s="24">
        <f t="shared" ref="H749:H751" si="1196">G749</f>
        <v>196.82972916229267</v>
      </c>
      <c r="I749" s="24">
        <f t="shared" ref="I749:I751" si="1197">H749</f>
        <v>196.82972916229267</v>
      </c>
      <c r="J749" s="24">
        <f t="shared" ref="J749:J751" si="1198">I749</f>
        <v>196.82972916229267</v>
      </c>
      <c r="K749" s="24">
        <f t="shared" ref="K749:K751" si="1199">J749</f>
        <v>196.82972916229267</v>
      </c>
      <c r="L749" s="24">
        <f t="shared" ref="L749:L751" si="1200">K749</f>
        <v>196.82972916229267</v>
      </c>
      <c r="M749" s="24">
        <f t="shared" ref="M749:M751" si="1201">L749</f>
        <v>196.82972916229267</v>
      </c>
      <c r="N749" s="33">
        <f t="shared" ref="N749:N751" si="1202">M749</f>
        <v>196.82972916229267</v>
      </c>
    </row>
    <row r="750" spans="1:14">
      <c r="A750" s="1968" t="s">
        <v>1143</v>
      </c>
      <c r="B750" s="42">
        <f>'Input''s from Initial Design'!AJ98</f>
        <v>25</v>
      </c>
      <c r="C750" s="24">
        <f t="shared" si="1191"/>
        <v>25</v>
      </c>
      <c r="D750" s="24">
        <f t="shared" si="1192"/>
        <v>25</v>
      </c>
      <c r="E750" s="24">
        <f t="shared" si="1193"/>
        <v>25</v>
      </c>
      <c r="F750" s="24">
        <f t="shared" si="1194"/>
        <v>25</v>
      </c>
      <c r="G750" s="24">
        <f t="shared" si="1195"/>
        <v>25</v>
      </c>
      <c r="H750" s="24">
        <f t="shared" si="1196"/>
        <v>25</v>
      </c>
      <c r="I750" s="24">
        <f t="shared" si="1197"/>
        <v>25</v>
      </c>
      <c r="J750" s="24">
        <f t="shared" si="1198"/>
        <v>25</v>
      </c>
      <c r="K750" s="24">
        <f t="shared" si="1199"/>
        <v>25</v>
      </c>
      <c r="L750" s="24">
        <f t="shared" si="1200"/>
        <v>25</v>
      </c>
      <c r="M750" s="24">
        <f t="shared" si="1201"/>
        <v>25</v>
      </c>
      <c r="N750" s="33">
        <f t="shared" si="1202"/>
        <v>25</v>
      </c>
    </row>
    <row r="751" spans="1:14">
      <c r="A751" s="1968" t="s">
        <v>1144</v>
      </c>
      <c r="B751" s="42">
        <f>'Input''s from Initial Design'!AM98</f>
        <v>1</v>
      </c>
      <c r="C751" s="24">
        <f t="shared" si="1191"/>
        <v>1</v>
      </c>
      <c r="D751" s="24">
        <f t="shared" si="1192"/>
        <v>1</v>
      </c>
      <c r="E751" s="24">
        <f t="shared" si="1193"/>
        <v>1</v>
      </c>
      <c r="F751" s="24">
        <f t="shared" si="1194"/>
        <v>1</v>
      </c>
      <c r="G751" s="24">
        <f t="shared" si="1195"/>
        <v>1</v>
      </c>
      <c r="H751" s="24">
        <f t="shared" si="1196"/>
        <v>1</v>
      </c>
      <c r="I751" s="24">
        <f t="shared" si="1197"/>
        <v>1</v>
      </c>
      <c r="J751" s="24">
        <f t="shared" si="1198"/>
        <v>1</v>
      </c>
      <c r="K751" s="24">
        <f t="shared" si="1199"/>
        <v>1</v>
      </c>
      <c r="L751" s="24">
        <f t="shared" si="1200"/>
        <v>1</v>
      </c>
      <c r="M751" s="24">
        <f t="shared" si="1201"/>
        <v>1</v>
      </c>
      <c r="N751" s="33">
        <f t="shared" si="1202"/>
        <v>1</v>
      </c>
    </row>
    <row r="752" spans="1:14">
      <c r="A752" s="1968" t="s">
        <v>1145</v>
      </c>
      <c r="B752" s="42">
        <v>415</v>
      </c>
      <c r="C752" s="24">
        <f>+B752</f>
        <v>415</v>
      </c>
      <c r="D752" s="24">
        <f t="shared" ref="D752" si="1203">+C752</f>
        <v>415</v>
      </c>
      <c r="E752" s="24">
        <f t="shared" ref="E752" si="1204">+D752</f>
        <v>415</v>
      </c>
      <c r="F752" s="24">
        <f t="shared" ref="F752" si="1205">+E752</f>
        <v>415</v>
      </c>
      <c r="G752" s="24">
        <f t="shared" ref="G752" si="1206">+F752</f>
        <v>415</v>
      </c>
      <c r="H752" s="24">
        <f t="shared" ref="H752" si="1207">+G752</f>
        <v>415</v>
      </c>
      <c r="I752" s="24">
        <f t="shared" ref="I752" si="1208">+H752</f>
        <v>415</v>
      </c>
      <c r="J752" s="24">
        <f t="shared" ref="J752" si="1209">+I752</f>
        <v>415</v>
      </c>
      <c r="K752" s="24">
        <f t="shared" ref="K752" si="1210">+J752</f>
        <v>415</v>
      </c>
      <c r="L752" s="24">
        <f t="shared" ref="L752" si="1211">+K752</f>
        <v>415</v>
      </c>
      <c r="M752" s="24">
        <f t="shared" ref="M752" si="1212">+L752</f>
        <v>415</v>
      </c>
      <c r="N752" s="33">
        <f t="shared" ref="N752" si="1213">+M752</f>
        <v>415</v>
      </c>
    </row>
    <row r="753" spans="1:14">
      <c r="A753" s="1967" t="s">
        <v>1146</v>
      </c>
      <c r="B753" s="43"/>
      <c r="C753" s="25">
        <f t="shared" ref="C753:N753" si="1214">1.732*C749*(C746/1000*1+C747/1000*0)*C750/C751</f>
        <v>20.795454545454543</v>
      </c>
      <c r="D753" s="25">
        <f t="shared" si="1214"/>
        <v>13.125</v>
      </c>
      <c r="E753" s="25">
        <f t="shared" si="1214"/>
        <v>9.4602272727272734</v>
      </c>
      <c r="F753" s="25">
        <f t="shared" si="1214"/>
        <v>6.9886363636363633</v>
      </c>
      <c r="G753" s="25">
        <f t="shared" si="1214"/>
        <v>4.8323863636363624</v>
      </c>
      <c r="H753" s="25">
        <f t="shared" si="1214"/>
        <v>3.4943181818181817</v>
      </c>
      <c r="I753" s="25">
        <f t="shared" si="1214"/>
        <v>2.7613636363636362</v>
      </c>
      <c r="J753" s="25">
        <f t="shared" si="1214"/>
        <v>2.25</v>
      </c>
      <c r="K753" s="25">
        <f t="shared" si="1214"/>
        <v>1.7897727272727271</v>
      </c>
      <c r="L753" s="25">
        <f t="shared" si="1214"/>
        <v>1.3636363636363635</v>
      </c>
      <c r="M753" s="25">
        <f t="shared" si="1214"/>
        <v>1.0909090909090908</v>
      </c>
      <c r="N753" s="34">
        <f t="shared" si="1214"/>
        <v>0.85227272727272718</v>
      </c>
    </row>
    <row r="754" spans="1:14">
      <c r="A754" s="1967" t="s">
        <v>1147</v>
      </c>
      <c r="B754" s="43"/>
      <c r="C754" s="1965">
        <f>C753/C752</f>
        <v>5.0109529025191668E-2</v>
      </c>
      <c r="D754" s="1965">
        <f t="shared" ref="D754:N754" si="1215">D753/D752</f>
        <v>3.1626506024096383E-2</v>
      </c>
      <c r="E754" s="1965">
        <f t="shared" si="1215"/>
        <v>2.2795728368017527E-2</v>
      </c>
      <c r="F754" s="1965">
        <f t="shared" si="1215"/>
        <v>1.6840087623220153E-2</v>
      </c>
      <c r="G754" s="1965">
        <f t="shared" si="1215"/>
        <v>1.164430449069003E-2</v>
      </c>
      <c r="H754" s="1965">
        <f t="shared" si="1215"/>
        <v>8.4200438116100763E-3</v>
      </c>
      <c r="I754" s="1965">
        <f t="shared" si="1215"/>
        <v>6.6538882803943043E-3</v>
      </c>
      <c r="J754" s="1965">
        <f t="shared" si="1215"/>
        <v>5.4216867469879517E-3</v>
      </c>
      <c r="K754" s="1965">
        <f t="shared" si="1215"/>
        <v>4.3127053669222339E-3</v>
      </c>
      <c r="L754" s="1965">
        <f t="shared" si="1215"/>
        <v>3.2858707557502738E-3</v>
      </c>
      <c r="M754" s="1965">
        <f t="shared" si="1215"/>
        <v>2.6286966046002187E-3</v>
      </c>
      <c r="N754" s="1969">
        <f t="shared" si="1215"/>
        <v>2.0536692223439208E-3</v>
      </c>
    </row>
    <row r="755" spans="1:14">
      <c r="A755" s="1968" t="s">
        <v>1148</v>
      </c>
      <c r="B755" s="1966">
        <v>0.02</v>
      </c>
      <c r="C755" s="24" t="str">
        <f>IF(AND((C749*1.25)&lt;(C743*C751),(C754&lt;$B$16)),"PASS","FAIL")</f>
        <v>FAIL</v>
      </c>
      <c r="D755" s="24" t="str">
        <f>IF(AND((D749*1.25)&lt;(D743*D751),(D754&lt;$B$16)),"PASS","FAIL")</f>
        <v>FAIL</v>
      </c>
      <c r="E755" s="24" t="str">
        <f>IF(AND((E749*1.25)&lt;(E743*E751),(E754&lt;$B$16)),"PASS","FAIL")</f>
        <v>FAIL</v>
      </c>
      <c r="F755" s="24" t="str">
        <f>IF(AND((F749*1.25)&lt;(F743*F751),(F754&lt;$B$16)),"PASS","FAIL")</f>
        <v>FAIL</v>
      </c>
      <c r="G755" s="24" t="str">
        <f>IF(AND((G749*1.25)&lt;(G743*G751),(G754&lt;$B$16)),"PASS","FAIL")</f>
        <v>FAIL</v>
      </c>
      <c r="H755" s="24" t="str">
        <f>IF(AND((H749*1.1)&lt;(H743*H751),(H754&lt;$B$16)),"PASS","FAIL")</f>
        <v>FAIL</v>
      </c>
      <c r="I755" s="24" t="str">
        <f t="shared" ref="I755:N755" si="1216">IF(AND((I749*1.25)&lt;(I743*I751),(I754&lt;$B$16)),"PASS","FAIL")</f>
        <v>FAIL</v>
      </c>
      <c r="J755" s="24" t="str">
        <f t="shared" si="1216"/>
        <v>FAIL</v>
      </c>
      <c r="K755" s="24" t="str">
        <f t="shared" si="1216"/>
        <v>FAIL</v>
      </c>
      <c r="L755" s="24" t="str">
        <f t="shared" si="1216"/>
        <v>FAIL</v>
      </c>
      <c r="M755" s="24" t="str">
        <f t="shared" si="1216"/>
        <v>PASS</v>
      </c>
      <c r="N755" s="33" t="str">
        <f t="shared" si="1216"/>
        <v>PASS</v>
      </c>
    </row>
    <row r="756" spans="1:14" ht="18.600000000000001" thickBot="1">
      <c r="A756" s="1970" t="s">
        <v>1149</v>
      </c>
      <c r="B756" s="1971"/>
      <c r="C756" s="1972" t="str">
        <f t="shared" ref="C756:N756" si="1217">IF(AND((C749*1.25)&lt;(C744*C751),(C754&lt;$B$16)),"PASS","FAIL")</f>
        <v>FAIL</v>
      </c>
      <c r="D756" s="1972" t="str">
        <f t="shared" si="1217"/>
        <v>FAIL</v>
      </c>
      <c r="E756" s="1972" t="str">
        <f t="shared" si="1217"/>
        <v>FAIL</v>
      </c>
      <c r="F756" s="1972" t="str">
        <f t="shared" si="1217"/>
        <v>FAIL</v>
      </c>
      <c r="G756" s="1972" t="str">
        <f t="shared" si="1217"/>
        <v>FAIL</v>
      </c>
      <c r="H756" s="1972" t="str">
        <f t="shared" si="1217"/>
        <v>FAIL</v>
      </c>
      <c r="I756" s="1972" t="str">
        <f t="shared" si="1217"/>
        <v>FAIL</v>
      </c>
      <c r="J756" s="1972" t="str">
        <f t="shared" si="1217"/>
        <v>FAIL</v>
      </c>
      <c r="K756" s="1972" t="str">
        <f t="shared" si="1217"/>
        <v>FAIL</v>
      </c>
      <c r="L756" s="1972" t="str">
        <f t="shared" si="1217"/>
        <v>PASS</v>
      </c>
      <c r="M756" s="1972" t="str">
        <f t="shared" si="1217"/>
        <v>PASS</v>
      </c>
      <c r="N756" s="1973" t="str">
        <f t="shared" si="1217"/>
        <v>PASS</v>
      </c>
    </row>
    <row r="757" spans="1:14">
      <c r="A757" s="1963">
        <f>('Input''s from Initial Design'!AH98*1000/(1.732*440*1))</f>
        <v>196.82972916229267</v>
      </c>
      <c r="B757" s="1964" t="s">
        <v>1150</v>
      </c>
      <c r="C757" s="26"/>
      <c r="D757" s="3213"/>
      <c r="E757" s="3213"/>
      <c r="F757" s="3213"/>
      <c r="G757" s="21"/>
      <c r="H757" s="21"/>
      <c r="I757" s="21"/>
      <c r="J757" s="21"/>
    </row>
    <row r="758" spans="1:14">
      <c r="A758" s="21"/>
      <c r="B758" s="21"/>
      <c r="C758" s="26"/>
      <c r="D758" s="21"/>
      <c r="E758" s="21">
        <v>30</v>
      </c>
      <c r="F758" s="21"/>
      <c r="G758" s="27"/>
      <c r="H758" s="21"/>
      <c r="I758" s="21"/>
      <c r="J758" s="21"/>
    </row>
    <row r="759" spans="1:14">
      <c r="A759" s="28" t="s">
        <v>1148</v>
      </c>
      <c r="B759" s="29">
        <f>IF(C755="FAIL",IF(D755="FAIL",IF(E755="FAIL",IF(F755="FAIL",IF(G755="FAIL",IF(H755="FAIL",IF(I755="FAIL",IF(J755="FAIL",IF(K755="FAIL",IF(L755="FAIL",IF(M755="FAIL","NO MATCH",$M$1),$L$1),$K$1),$J$1),$I$1),$H$1),$G$1),$F$1),$E$1),$D$1),$C$1)</f>
        <v>300</v>
      </c>
      <c r="C759" s="30" t="s">
        <v>1151</v>
      </c>
      <c r="D759" s="21"/>
      <c r="E759" s="21"/>
      <c r="F759" s="21"/>
      <c r="G759" s="21"/>
      <c r="H759" s="26"/>
      <c r="I759" s="21"/>
      <c r="J759" s="21"/>
      <c r="K759" s="21"/>
      <c r="L759" s="21"/>
      <c r="N759" s="21"/>
    </row>
    <row r="760" spans="1:14">
      <c r="A760" s="28" t="s">
        <v>1149</v>
      </c>
      <c r="B760" s="29">
        <f>IF(C756="FAIL",IF(D756="FAIL",IF(E756="FAIL",IF(F756="FAIL",IF(G756="FAIL",IF(H756="FAIL",IF(I756="FAIL",IF(J756="FAIL",IF(K756="FAIL",IF(L756="FAIL",IF(M756="FAIL","NO MATCH",$M$1),$L$1),$K$1),$J$1),$I$1),$H$1),$G$1),$F$1),$E$1),$D$1),$C$1)</f>
        <v>240</v>
      </c>
      <c r="C760" s="30" t="s">
        <v>1151</v>
      </c>
      <c r="D760" s="21"/>
      <c r="E760" s="21"/>
      <c r="F760" s="21"/>
      <c r="G760" s="21"/>
      <c r="H760" s="26"/>
      <c r="I760" s="21"/>
      <c r="J760" s="21"/>
      <c r="K760" s="21"/>
      <c r="L760" s="21"/>
      <c r="N760" s="21"/>
    </row>
  </sheetData>
  <mergeCells count="96">
    <mergeCell ref="A738:A739"/>
    <mergeCell ref="B738:B739"/>
    <mergeCell ref="D757:F757"/>
    <mergeCell ref="D709:F709"/>
    <mergeCell ref="A642:A643"/>
    <mergeCell ref="B642:B643"/>
    <mergeCell ref="D661:F661"/>
    <mergeCell ref="A666:A667"/>
    <mergeCell ref="B666:B667"/>
    <mergeCell ref="A714:A715"/>
    <mergeCell ref="B714:B715"/>
    <mergeCell ref="D733:F733"/>
    <mergeCell ref="D685:F685"/>
    <mergeCell ref="A690:A691"/>
    <mergeCell ref="B690:B691"/>
    <mergeCell ref="D18:F18"/>
    <mergeCell ref="A1:A2"/>
    <mergeCell ref="B1:B2"/>
    <mergeCell ref="A24:A25"/>
    <mergeCell ref="B24:B25"/>
    <mergeCell ref="D41:F41"/>
    <mergeCell ref="A46:A47"/>
    <mergeCell ref="B46:B47"/>
    <mergeCell ref="D63:F63"/>
    <mergeCell ref="A68:A69"/>
    <mergeCell ref="B68:B69"/>
    <mergeCell ref="D85:F85"/>
    <mergeCell ref="A90:A91"/>
    <mergeCell ref="B90:B91"/>
    <mergeCell ref="D109:F109"/>
    <mergeCell ref="A114:A115"/>
    <mergeCell ref="B114:B115"/>
    <mergeCell ref="D133:F133"/>
    <mergeCell ref="A138:A139"/>
    <mergeCell ref="B138:B139"/>
    <mergeCell ref="D157:F157"/>
    <mergeCell ref="A162:A163"/>
    <mergeCell ref="B162:B163"/>
    <mergeCell ref="D181:F181"/>
    <mergeCell ref="A186:A187"/>
    <mergeCell ref="B186:B187"/>
    <mergeCell ref="D205:F205"/>
    <mergeCell ref="A210:A211"/>
    <mergeCell ref="B210:B211"/>
    <mergeCell ref="D229:F229"/>
    <mergeCell ref="A234:A235"/>
    <mergeCell ref="B234:B235"/>
    <mergeCell ref="D253:F253"/>
    <mergeCell ref="A258:A259"/>
    <mergeCell ref="B258:B259"/>
    <mergeCell ref="D277:F277"/>
    <mergeCell ref="A282:A283"/>
    <mergeCell ref="B282:B283"/>
    <mergeCell ref="D301:F301"/>
    <mergeCell ref="A306:A307"/>
    <mergeCell ref="B306:B307"/>
    <mergeCell ref="D325:F325"/>
    <mergeCell ref="A330:A331"/>
    <mergeCell ref="B330:B331"/>
    <mergeCell ref="D349:F349"/>
    <mergeCell ref="A354:A355"/>
    <mergeCell ref="B354:B355"/>
    <mergeCell ref="D373:F373"/>
    <mergeCell ref="A378:A379"/>
    <mergeCell ref="B378:B379"/>
    <mergeCell ref="D397:F397"/>
    <mergeCell ref="A402:A403"/>
    <mergeCell ref="B402:B403"/>
    <mergeCell ref="D421:F421"/>
    <mergeCell ref="A426:A427"/>
    <mergeCell ref="B426:B427"/>
    <mergeCell ref="D445:F445"/>
    <mergeCell ref="A450:A451"/>
    <mergeCell ref="B450:B451"/>
    <mergeCell ref="D469:F469"/>
    <mergeCell ref="A474:A475"/>
    <mergeCell ref="B474:B475"/>
    <mergeCell ref="D493:F493"/>
    <mergeCell ref="A498:A499"/>
    <mergeCell ref="B498:B499"/>
    <mergeCell ref="D517:F517"/>
    <mergeCell ref="A522:A523"/>
    <mergeCell ref="B522:B523"/>
    <mergeCell ref="D541:F541"/>
    <mergeCell ref="A546:A547"/>
    <mergeCell ref="B546:B547"/>
    <mergeCell ref="D565:F565"/>
    <mergeCell ref="A570:A571"/>
    <mergeCell ref="B570:B571"/>
    <mergeCell ref="D637:F637"/>
    <mergeCell ref="D589:F589"/>
    <mergeCell ref="A594:A595"/>
    <mergeCell ref="B594:B595"/>
    <mergeCell ref="D613:F613"/>
    <mergeCell ref="A618:A619"/>
    <mergeCell ref="B618:B619"/>
  </mergeCells>
  <conditionalFormatting sqref="B16">
    <cfRule type="expression" dxfId="443" priority="103">
      <formula>$B$16&gt;2%</formula>
    </cfRule>
  </conditionalFormatting>
  <conditionalFormatting sqref="B39">
    <cfRule type="expression" dxfId="442" priority="91">
      <formula>$B$16&gt;2%</formula>
    </cfRule>
  </conditionalFormatting>
  <conditionalFormatting sqref="B61">
    <cfRule type="expression" dxfId="441" priority="88">
      <formula>$B$16&gt;2%</formula>
    </cfRule>
  </conditionalFormatting>
  <conditionalFormatting sqref="B83">
    <cfRule type="expression" dxfId="440" priority="85">
      <formula>$B$16&gt;2%</formula>
    </cfRule>
  </conditionalFormatting>
  <conditionalFormatting sqref="B107">
    <cfRule type="expression" dxfId="439" priority="82">
      <formula>$B$16&gt;2%</formula>
    </cfRule>
  </conditionalFormatting>
  <conditionalFormatting sqref="B131">
    <cfRule type="expression" dxfId="438" priority="79">
      <formula>$B$16&gt;2%</formula>
    </cfRule>
  </conditionalFormatting>
  <conditionalFormatting sqref="B155">
    <cfRule type="expression" dxfId="437" priority="76">
      <formula>$B$16&gt;2%</formula>
    </cfRule>
  </conditionalFormatting>
  <conditionalFormatting sqref="B179">
    <cfRule type="expression" dxfId="436" priority="73">
      <formula>$B$16&gt;2%</formula>
    </cfRule>
  </conditionalFormatting>
  <conditionalFormatting sqref="B203">
    <cfRule type="expression" dxfId="435" priority="70">
      <formula>$B$16&gt;2%</formula>
    </cfRule>
  </conditionalFormatting>
  <conditionalFormatting sqref="B227">
    <cfRule type="expression" dxfId="434" priority="67">
      <formula>$B$16&gt;2%</formula>
    </cfRule>
  </conditionalFormatting>
  <conditionalFormatting sqref="B251">
    <cfRule type="expression" dxfId="433" priority="64">
      <formula>$B$16&gt;2%</formula>
    </cfRule>
  </conditionalFormatting>
  <conditionalFormatting sqref="B275">
    <cfRule type="expression" dxfId="432" priority="61">
      <formula>$B$16&gt;2%</formula>
    </cfRule>
  </conditionalFormatting>
  <conditionalFormatting sqref="B299">
    <cfRule type="expression" dxfId="431" priority="58">
      <formula>$B$16&gt;2%</formula>
    </cfRule>
  </conditionalFormatting>
  <conditionalFormatting sqref="B323">
    <cfRule type="expression" dxfId="430" priority="55">
      <formula>$B$16&gt;2%</formula>
    </cfRule>
  </conditionalFormatting>
  <conditionalFormatting sqref="B347">
    <cfRule type="expression" dxfId="429" priority="52">
      <formula>$B$16&gt;2%</formula>
    </cfRule>
  </conditionalFormatting>
  <conditionalFormatting sqref="B371">
    <cfRule type="expression" dxfId="428" priority="49">
      <formula>$B$16&gt;2%</formula>
    </cfRule>
  </conditionalFormatting>
  <conditionalFormatting sqref="B395">
    <cfRule type="expression" dxfId="427" priority="46">
      <formula>$B$16&gt;2%</formula>
    </cfRule>
  </conditionalFormatting>
  <conditionalFormatting sqref="B419">
    <cfRule type="expression" dxfId="426" priority="43">
      <formula>$B$16&gt;2%</formula>
    </cfRule>
  </conditionalFormatting>
  <conditionalFormatting sqref="B443">
    <cfRule type="expression" dxfId="425" priority="40">
      <formula>$B$16&gt;2%</formula>
    </cfRule>
  </conditionalFormatting>
  <conditionalFormatting sqref="B467">
    <cfRule type="expression" dxfId="424" priority="37">
      <formula>$B$16&gt;2%</formula>
    </cfRule>
  </conditionalFormatting>
  <conditionalFormatting sqref="B491">
    <cfRule type="expression" dxfId="423" priority="34">
      <formula>$B$16&gt;2%</formula>
    </cfRule>
  </conditionalFormatting>
  <conditionalFormatting sqref="B515">
    <cfRule type="expression" dxfId="422" priority="31">
      <formula>$B$16&gt;2%</formula>
    </cfRule>
  </conditionalFormatting>
  <conditionalFormatting sqref="B539">
    <cfRule type="expression" dxfId="421" priority="28">
      <formula>$B$16&gt;2%</formula>
    </cfRule>
  </conditionalFormatting>
  <conditionalFormatting sqref="B563">
    <cfRule type="expression" dxfId="420" priority="25">
      <formula>$B$16&gt;2%</formula>
    </cfRule>
  </conditionalFormatting>
  <conditionalFormatting sqref="B587">
    <cfRule type="expression" dxfId="419" priority="22">
      <formula>$B$16&gt;2%</formula>
    </cfRule>
  </conditionalFormatting>
  <conditionalFormatting sqref="B611">
    <cfRule type="expression" dxfId="418" priority="19">
      <formula>$B$16&gt;2%</formula>
    </cfRule>
  </conditionalFormatting>
  <conditionalFormatting sqref="B635">
    <cfRule type="expression" dxfId="417" priority="16">
      <formula>$B$16&gt;2%</formula>
    </cfRule>
  </conditionalFormatting>
  <conditionalFormatting sqref="B659">
    <cfRule type="expression" dxfId="416" priority="13">
      <formula>$B$16&gt;2%</formula>
    </cfRule>
  </conditionalFormatting>
  <conditionalFormatting sqref="B683">
    <cfRule type="expression" dxfId="415" priority="10">
      <formula>$B$16&gt;2%</formula>
    </cfRule>
  </conditionalFormatting>
  <conditionalFormatting sqref="B707">
    <cfRule type="expression" dxfId="414" priority="7">
      <formula>$B$16&gt;2%</formula>
    </cfRule>
  </conditionalFormatting>
  <conditionalFormatting sqref="B731">
    <cfRule type="expression" dxfId="413" priority="4">
      <formula>$B$16&gt;2%</formula>
    </cfRule>
  </conditionalFormatting>
  <conditionalFormatting sqref="B755">
    <cfRule type="expression" dxfId="412" priority="1">
      <formula>$B$16&gt;2%</formula>
    </cfRule>
  </conditionalFormatting>
  <conditionalFormatting sqref="C16:N17">
    <cfRule type="containsText" dxfId="411" priority="105" operator="containsText" text="FAIL">
      <formula>NOT(ISERROR(SEARCH("FAIL",C16)))</formula>
    </cfRule>
    <cfRule type="containsText" dxfId="410" priority="104" operator="containsText" text="PASS">
      <formula>NOT(ISERROR(SEARCH("PASS",C16)))</formula>
    </cfRule>
  </conditionalFormatting>
  <conditionalFormatting sqref="C39:N40">
    <cfRule type="containsText" dxfId="409" priority="93" operator="containsText" text="FAIL">
      <formula>NOT(ISERROR(SEARCH("FAIL",C39)))</formula>
    </cfRule>
    <cfRule type="containsText" dxfId="408" priority="92" operator="containsText" text="PASS">
      <formula>NOT(ISERROR(SEARCH("PASS",C39)))</formula>
    </cfRule>
  </conditionalFormatting>
  <conditionalFormatting sqref="C61:N62">
    <cfRule type="containsText" dxfId="407" priority="90" operator="containsText" text="FAIL">
      <formula>NOT(ISERROR(SEARCH("FAIL",C61)))</formula>
    </cfRule>
    <cfRule type="containsText" dxfId="406" priority="89" operator="containsText" text="PASS">
      <formula>NOT(ISERROR(SEARCH("PASS",C61)))</formula>
    </cfRule>
  </conditionalFormatting>
  <conditionalFormatting sqref="C83:N84">
    <cfRule type="containsText" dxfId="405" priority="87" operator="containsText" text="FAIL">
      <formula>NOT(ISERROR(SEARCH("FAIL",C83)))</formula>
    </cfRule>
    <cfRule type="containsText" dxfId="404" priority="86" operator="containsText" text="PASS">
      <formula>NOT(ISERROR(SEARCH("PASS",C83)))</formula>
    </cfRule>
  </conditionalFormatting>
  <conditionalFormatting sqref="C107:N108">
    <cfRule type="containsText" dxfId="403" priority="84" operator="containsText" text="FAIL">
      <formula>NOT(ISERROR(SEARCH("FAIL",C107)))</formula>
    </cfRule>
    <cfRule type="containsText" dxfId="402" priority="83" operator="containsText" text="PASS">
      <formula>NOT(ISERROR(SEARCH("PASS",C107)))</formula>
    </cfRule>
  </conditionalFormatting>
  <conditionalFormatting sqref="C131:N132">
    <cfRule type="containsText" dxfId="401" priority="81" operator="containsText" text="FAIL">
      <formula>NOT(ISERROR(SEARCH("FAIL",C131)))</formula>
    </cfRule>
    <cfRule type="containsText" dxfId="400" priority="80" operator="containsText" text="PASS">
      <formula>NOT(ISERROR(SEARCH("PASS",C131)))</formula>
    </cfRule>
  </conditionalFormatting>
  <conditionalFormatting sqref="C155:N156">
    <cfRule type="containsText" dxfId="399" priority="78" operator="containsText" text="FAIL">
      <formula>NOT(ISERROR(SEARCH("FAIL",C155)))</formula>
    </cfRule>
    <cfRule type="containsText" dxfId="398" priority="77" operator="containsText" text="PASS">
      <formula>NOT(ISERROR(SEARCH("PASS",C155)))</formula>
    </cfRule>
  </conditionalFormatting>
  <conditionalFormatting sqref="C179:N180">
    <cfRule type="containsText" dxfId="397" priority="74" operator="containsText" text="PASS">
      <formula>NOT(ISERROR(SEARCH("PASS",C179)))</formula>
    </cfRule>
    <cfRule type="containsText" dxfId="396" priority="75" operator="containsText" text="FAIL">
      <formula>NOT(ISERROR(SEARCH("FAIL",C179)))</formula>
    </cfRule>
  </conditionalFormatting>
  <conditionalFormatting sqref="C203:N204">
    <cfRule type="containsText" dxfId="395" priority="71" operator="containsText" text="PASS">
      <formula>NOT(ISERROR(SEARCH("PASS",C203)))</formula>
    </cfRule>
    <cfRule type="containsText" dxfId="394" priority="72" operator="containsText" text="FAIL">
      <formula>NOT(ISERROR(SEARCH("FAIL",C203)))</formula>
    </cfRule>
  </conditionalFormatting>
  <conditionalFormatting sqref="C227:N228">
    <cfRule type="containsText" dxfId="393" priority="69" operator="containsText" text="FAIL">
      <formula>NOT(ISERROR(SEARCH("FAIL",C227)))</formula>
    </cfRule>
    <cfRule type="containsText" dxfId="392" priority="68" operator="containsText" text="PASS">
      <formula>NOT(ISERROR(SEARCH("PASS",C227)))</formula>
    </cfRule>
  </conditionalFormatting>
  <conditionalFormatting sqref="C251:N252">
    <cfRule type="containsText" dxfId="391" priority="66" operator="containsText" text="FAIL">
      <formula>NOT(ISERROR(SEARCH("FAIL",C251)))</formula>
    </cfRule>
    <cfRule type="containsText" dxfId="390" priority="65" operator="containsText" text="PASS">
      <formula>NOT(ISERROR(SEARCH("PASS",C251)))</formula>
    </cfRule>
  </conditionalFormatting>
  <conditionalFormatting sqref="C275:N276">
    <cfRule type="containsText" dxfId="389" priority="63" operator="containsText" text="FAIL">
      <formula>NOT(ISERROR(SEARCH("FAIL",C275)))</formula>
    </cfRule>
    <cfRule type="containsText" dxfId="388" priority="62" operator="containsText" text="PASS">
      <formula>NOT(ISERROR(SEARCH("PASS",C275)))</formula>
    </cfRule>
  </conditionalFormatting>
  <conditionalFormatting sqref="C299:N300">
    <cfRule type="containsText" dxfId="387" priority="60" operator="containsText" text="FAIL">
      <formula>NOT(ISERROR(SEARCH("FAIL",C299)))</formula>
    </cfRule>
    <cfRule type="containsText" dxfId="386" priority="59" operator="containsText" text="PASS">
      <formula>NOT(ISERROR(SEARCH("PASS",C299)))</formula>
    </cfRule>
  </conditionalFormatting>
  <conditionalFormatting sqref="C323:N324">
    <cfRule type="containsText" dxfId="385" priority="57" operator="containsText" text="FAIL">
      <formula>NOT(ISERROR(SEARCH("FAIL",C323)))</formula>
    </cfRule>
    <cfRule type="containsText" dxfId="384" priority="56" operator="containsText" text="PASS">
      <formula>NOT(ISERROR(SEARCH("PASS",C323)))</formula>
    </cfRule>
  </conditionalFormatting>
  <conditionalFormatting sqref="C347:N348">
    <cfRule type="containsText" dxfId="383" priority="53" operator="containsText" text="PASS">
      <formula>NOT(ISERROR(SEARCH("PASS",C347)))</formula>
    </cfRule>
    <cfRule type="containsText" dxfId="382" priority="54" operator="containsText" text="FAIL">
      <formula>NOT(ISERROR(SEARCH("FAIL",C347)))</formula>
    </cfRule>
  </conditionalFormatting>
  <conditionalFormatting sqref="C371:N372">
    <cfRule type="containsText" dxfId="381" priority="50" operator="containsText" text="PASS">
      <formula>NOT(ISERROR(SEARCH("PASS",C371)))</formula>
    </cfRule>
    <cfRule type="containsText" dxfId="380" priority="51" operator="containsText" text="FAIL">
      <formula>NOT(ISERROR(SEARCH("FAIL",C371)))</formula>
    </cfRule>
  </conditionalFormatting>
  <conditionalFormatting sqref="C395:N396">
    <cfRule type="containsText" dxfId="379" priority="48" operator="containsText" text="FAIL">
      <formula>NOT(ISERROR(SEARCH("FAIL",C395)))</formula>
    </cfRule>
    <cfRule type="containsText" dxfId="378" priority="47" operator="containsText" text="PASS">
      <formula>NOT(ISERROR(SEARCH("PASS",C395)))</formula>
    </cfRule>
  </conditionalFormatting>
  <conditionalFormatting sqref="C419:N420">
    <cfRule type="containsText" dxfId="377" priority="44" operator="containsText" text="PASS">
      <formula>NOT(ISERROR(SEARCH("PASS",C419)))</formula>
    </cfRule>
    <cfRule type="containsText" dxfId="376" priority="45" operator="containsText" text="FAIL">
      <formula>NOT(ISERROR(SEARCH("FAIL",C419)))</formula>
    </cfRule>
  </conditionalFormatting>
  <conditionalFormatting sqref="C443:N444">
    <cfRule type="containsText" dxfId="375" priority="42" operator="containsText" text="FAIL">
      <formula>NOT(ISERROR(SEARCH("FAIL",C443)))</formula>
    </cfRule>
    <cfRule type="containsText" dxfId="374" priority="41" operator="containsText" text="PASS">
      <formula>NOT(ISERROR(SEARCH("PASS",C443)))</formula>
    </cfRule>
  </conditionalFormatting>
  <conditionalFormatting sqref="C467:N468">
    <cfRule type="containsText" dxfId="373" priority="39" operator="containsText" text="FAIL">
      <formula>NOT(ISERROR(SEARCH("FAIL",C467)))</formula>
    </cfRule>
    <cfRule type="containsText" dxfId="372" priority="38" operator="containsText" text="PASS">
      <formula>NOT(ISERROR(SEARCH("PASS",C467)))</formula>
    </cfRule>
  </conditionalFormatting>
  <conditionalFormatting sqref="C491:N492">
    <cfRule type="containsText" dxfId="371" priority="35" operator="containsText" text="PASS">
      <formula>NOT(ISERROR(SEARCH("PASS",C491)))</formula>
    </cfRule>
    <cfRule type="containsText" dxfId="370" priority="36" operator="containsText" text="FAIL">
      <formula>NOT(ISERROR(SEARCH("FAIL",C491)))</formula>
    </cfRule>
  </conditionalFormatting>
  <conditionalFormatting sqref="C515:N516">
    <cfRule type="containsText" dxfId="369" priority="32" operator="containsText" text="PASS">
      <formula>NOT(ISERROR(SEARCH("PASS",C515)))</formula>
    </cfRule>
    <cfRule type="containsText" dxfId="368" priority="33" operator="containsText" text="FAIL">
      <formula>NOT(ISERROR(SEARCH("FAIL",C515)))</formula>
    </cfRule>
  </conditionalFormatting>
  <conditionalFormatting sqref="C539:N540">
    <cfRule type="containsText" dxfId="367" priority="30" operator="containsText" text="FAIL">
      <formula>NOT(ISERROR(SEARCH("FAIL",C539)))</formula>
    </cfRule>
    <cfRule type="containsText" dxfId="366" priority="29" operator="containsText" text="PASS">
      <formula>NOT(ISERROR(SEARCH("PASS",C539)))</formula>
    </cfRule>
  </conditionalFormatting>
  <conditionalFormatting sqref="C563:N564">
    <cfRule type="containsText" dxfId="365" priority="26" operator="containsText" text="PASS">
      <formula>NOT(ISERROR(SEARCH("PASS",C563)))</formula>
    </cfRule>
    <cfRule type="containsText" dxfId="364" priority="27" operator="containsText" text="FAIL">
      <formula>NOT(ISERROR(SEARCH("FAIL",C563)))</formula>
    </cfRule>
  </conditionalFormatting>
  <conditionalFormatting sqref="C587:N588">
    <cfRule type="containsText" dxfId="363" priority="24" operator="containsText" text="FAIL">
      <formula>NOT(ISERROR(SEARCH("FAIL",C587)))</formula>
    </cfRule>
    <cfRule type="containsText" dxfId="362" priority="23" operator="containsText" text="PASS">
      <formula>NOT(ISERROR(SEARCH("PASS",C587)))</formula>
    </cfRule>
  </conditionalFormatting>
  <conditionalFormatting sqref="C611:N612">
    <cfRule type="containsText" dxfId="361" priority="21" operator="containsText" text="FAIL">
      <formula>NOT(ISERROR(SEARCH("FAIL",C611)))</formula>
    </cfRule>
    <cfRule type="containsText" dxfId="360" priority="20" operator="containsText" text="PASS">
      <formula>NOT(ISERROR(SEARCH("PASS",C611)))</formula>
    </cfRule>
  </conditionalFormatting>
  <conditionalFormatting sqref="C635:N636">
    <cfRule type="containsText" dxfId="359" priority="18" operator="containsText" text="FAIL">
      <formula>NOT(ISERROR(SEARCH("FAIL",C635)))</formula>
    </cfRule>
    <cfRule type="containsText" dxfId="358" priority="17" operator="containsText" text="PASS">
      <formula>NOT(ISERROR(SEARCH("PASS",C635)))</formula>
    </cfRule>
  </conditionalFormatting>
  <conditionalFormatting sqref="C659:N660">
    <cfRule type="containsText" dxfId="357" priority="15" operator="containsText" text="FAIL">
      <formula>NOT(ISERROR(SEARCH("FAIL",C659)))</formula>
    </cfRule>
    <cfRule type="containsText" dxfId="356" priority="14" operator="containsText" text="PASS">
      <formula>NOT(ISERROR(SEARCH("PASS",C659)))</formula>
    </cfRule>
  </conditionalFormatting>
  <conditionalFormatting sqref="C683:N684">
    <cfRule type="containsText" dxfId="355" priority="11" operator="containsText" text="PASS">
      <formula>NOT(ISERROR(SEARCH("PASS",C683)))</formula>
    </cfRule>
    <cfRule type="containsText" dxfId="354" priority="12" operator="containsText" text="FAIL">
      <formula>NOT(ISERROR(SEARCH("FAIL",C683)))</formula>
    </cfRule>
  </conditionalFormatting>
  <conditionalFormatting sqref="C707:N708">
    <cfRule type="containsText" dxfId="353" priority="9" operator="containsText" text="FAIL">
      <formula>NOT(ISERROR(SEARCH("FAIL",C707)))</formula>
    </cfRule>
    <cfRule type="containsText" dxfId="352" priority="8" operator="containsText" text="PASS">
      <formula>NOT(ISERROR(SEARCH("PASS",C707)))</formula>
    </cfRule>
  </conditionalFormatting>
  <conditionalFormatting sqref="C731:N732">
    <cfRule type="containsText" dxfId="351" priority="6" operator="containsText" text="FAIL">
      <formula>NOT(ISERROR(SEARCH("FAIL",C731)))</formula>
    </cfRule>
    <cfRule type="containsText" dxfId="350" priority="5" operator="containsText" text="PASS">
      <formula>NOT(ISERROR(SEARCH("PASS",C731)))</formula>
    </cfRule>
  </conditionalFormatting>
  <conditionalFormatting sqref="C755:N756">
    <cfRule type="containsText" dxfId="349" priority="2" operator="containsText" text="PASS">
      <formula>NOT(ISERROR(SEARCH("PASS",C755)))</formula>
    </cfRule>
    <cfRule type="containsText" dxfId="348" priority="3" operator="containsText" text="FAIL">
      <formula>NOT(ISERROR(SEARCH("FAIL",C755)))</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C1C06-79EC-473E-B623-FEEF68B6D519}">
  <sheetPr codeName="Sheet8">
    <tabColor theme="4" tint="-0.499984740745262"/>
    <pageSetUpPr fitToPage="1"/>
  </sheetPr>
  <dimension ref="A1:XFD754"/>
  <sheetViews>
    <sheetView topLeftCell="A382" zoomScale="85" zoomScaleNormal="85" workbookViewId="0">
      <selection activeCell="E399" sqref="E399"/>
    </sheetView>
  </sheetViews>
  <sheetFormatPr defaultColWidth="8.5546875" defaultRowHeight="14.4"/>
  <cols>
    <col min="1" max="1" width="59.6640625" style="156" customWidth="1"/>
    <col min="2" max="2" width="15.33203125" style="156" customWidth="1"/>
    <col min="3" max="3" width="15.44140625" style="175" customWidth="1"/>
    <col min="4" max="4" width="9" style="156" customWidth="1"/>
    <col min="5" max="5" width="19.6640625" style="156" customWidth="1"/>
    <col min="6" max="6" width="12.5546875" style="156" customWidth="1"/>
    <col min="7" max="7" width="52" style="156" customWidth="1"/>
    <col min="8" max="8" width="35" style="1520" customWidth="1"/>
    <col min="9" max="9" width="35.33203125" style="156" customWidth="1"/>
    <col min="10" max="10" width="13.44140625" style="156" bestFit="1" customWidth="1"/>
    <col min="11" max="11" width="13.5546875" style="156" hidden="1" customWidth="1"/>
    <col min="12" max="12" width="14.6640625" style="156" hidden="1" customWidth="1"/>
    <col min="13" max="13" width="13.6640625" style="156" hidden="1" customWidth="1"/>
    <col min="14" max="14" width="12.5546875" style="156" hidden="1" customWidth="1"/>
    <col min="15" max="15" width="14.44140625" style="156" hidden="1" customWidth="1"/>
    <col min="16" max="16" width="5.33203125" style="156" hidden="1" customWidth="1"/>
    <col min="17" max="17" width="18.44140625" style="156" hidden="1" customWidth="1"/>
    <col min="18" max="19" width="9.33203125" style="156" hidden="1" customWidth="1"/>
    <col min="20" max="20" width="14.33203125" style="156" hidden="1" customWidth="1"/>
    <col min="21" max="21" width="11.5546875" style="156" hidden="1" customWidth="1"/>
    <col min="22" max="22" width="12.5546875" style="156" customWidth="1"/>
    <col min="23" max="23" width="10.33203125" style="156" customWidth="1"/>
    <col min="24" max="24" width="12.5546875" style="156" customWidth="1"/>
    <col min="25" max="28" width="10.33203125" style="156" customWidth="1"/>
    <col min="29" max="29" width="12.5546875" style="156" bestFit="1" customWidth="1"/>
    <col min="30" max="32" width="9.33203125" style="156" bestFit="1" customWidth="1"/>
    <col min="33" max="34" width="12.44140625" style="156" customWidth="1"/>
    <col min="35" max="36" width="12.6640625" style="156" customWidth="1"/>
    <col min="37" max="38" width="12.5546875" style="156" customWidth="1"/>
    <col min="39" max="39" width="11" style="156" bestFit="1" customWidth="1"/>
    <col min="40" max="40" width="11" style="156" customWidth="1"/>
    <col min="41" max="41" width="11" style="156" bestFit="1" customWidth="1"/>
    <col min="42" max="43" width="8.5546875" style="156" bestFit="1" customWidth="1"/>
    <col min="44" max="111" width="8.5546875" style="156"/>
    <col min="112" max="112" width="8.5546875" style="175"/>
    <col min="113" max="118" width="8.5546875" style="156"/>
    <col min="119" max="119" width="10.6640625" style="156" bestFit="1" customWidth="1"/>
    <col min="120" max="16384" width="8.5546875" style="156"/>
  </cols>
  <sheetData>
    <row r="1" spans="1:112" customFormat="1" ht="15" thickBot="1">
      <c r="A1" s="2363"/>
      <c r="B1" s="2306" t="s">
        <v>1152</v>
      </c>
      <c r="C1" s="2306"/>
      <c r="D1" s="2306"/>
      <c r="E1" s="2306"/>
      <c r="F1" s="2306"/>
      <c r="G1" s="2306"/>
      <c r="H1" s="2313" t="s">
        <v>1950</v>
      </c>
      <c r="I1" s="2314"/>
      <c r="J1" s="48"/>
      <c r="K1" s="48"/>
      <c r="DH1" s="931"/>
    </row>
    <row r="2" spans="1:112" customFormat="1" ht="15" thickBot="1">
      <c r="A2" s="2363"/>
      <c r="B2" s="2306"/>
      <c r="C2" s="2306"/>
      <c r="D2" s="2306"/>
      <c r="E2" s="2306"/>
      <c r="F2" s="2306"/>
      <c r="G2" s="2306"/>
      <c r="H2" s="2315" t="s">
        <v>1951</v>
      </c>
      <c r="I2" s="2316"/>
      <c r="J2" s="49"/>
      <c r="K2" s="49"/>
      <c r="DH2" s="931"/>
    </row>
    <row r="3" spans="1:112" customFormat="1" ht="15" thickBot="1">
      <c r="A3" s="2363"/>
      <c r="B3" s="2306"/>
      <c r="C3" s="2306"/>
      <c r="D3" s="2306"/>
      <c r="E3" s="2306"/>
      <c r="F3" s="2306"/>
      <c r="G3" s="2306"/>
      <c r="H3" s="2375" t="s">
        <v>5</v>
      </c>
      <c r="I3" s="2376"/>
      <c r="J3" s="50"/>
      <c r="K3" s="49"/>
      <c r="DH3" s="931"/>
    </row>
    <row r="4" spans="1:112" customFormat="1" ht="20.399999999999999" thickBot="1">
      <c r="A4" s="2363"/>
      <c r="B4" s="2364" t="s">
        <v>1153</v>
      </c>
      <c r="C4" s="2364"/>
      <c r="D4" s="2364"/>
      <c r="E4" s="2364"/>
      <c r="F4" s="2364"/>
      <c r="G4" s="2364"/>
      <c r="H4" s="2364"/>
      <c r="I4" s="2365"/>
      <c r="DH4" s="931"/>
    </row>
    <row r="5" spans="1:112" s="154" customFormat="1" ht="20.399999999999999" thickBot="1">
      <c r="A5" s="2367" t="s">
        <v>1154</v>
      </c>
      <c r="B5" s="2367"/>
      <c r="C5" s="2367"/>
      <c r="D5" s="2367"/>
      <c r="E5" s="2367"/>
      <c r="F5" s="2367"/>
      <c r="G5" s="2367"/>
      <c r="H5" s="2367"/>
      <c r="I5" s="2368"/>
      <c r="DH5" s="296"/>
    </row>
    <row r="6" spans="1:112" ht="18.600000000000001" thickBot="1">
      <c r="A6" s="2333" t="s">
        <v>1155</v>
      </c>
      <c r="B6" s="2334"/>
      <c r="C6" s="2335"/>
      <c r="D6" s="2307"/>
      <c r="E6" s="2317" t="s">
        <v>1156</v>
      </c>
      <c r="F6" s="2318"/>
      <c r="G6" s="1633" t="str">
        <f>'Input''s from BD(Sales)'!B11</f>
        <v>West Pioneer Properties</v>
      </c>
      <c r="H6" s="1506"/>
      <c r="I6" s="927"/>
      <c r="J6" s="155"/>
      <c r="K6" s="155"/>
      <c r="L6" s="155"/>
      <c r="M6" s="155"/>
      <c r="N6" s="155"/>
      <c r="O6" s="155"/>
      <c r="P6" s="155"/>
      <c r="Q6" s="155"/>
      <c r="AG6" s="154"/>
      <c r="AH6" s="154"/>
      <c r="AI6" s="154"/>
      <c r="AJ6" s="154"/>
      <c r="AK6" s="154"/>
      <c r="AL6" s="154"/>
      <c r="AM6" s="154"/>
      <c r="AN6" s="154"/>
      <c r="AO6" s="154"/>
      <c r="AP6" s="154"/>
      <c r="AQ6" s="154"/>
    </row>
    <row r="7" spans="1:112" ht="18">
      <c r="A7" s="1106" t="s">
        <v>1157</v>
      </c>
      <c r="B7" s="2147">
        <f>F32+F45</f>
        <v>19.49805253170878</v>
      </c>
      <c r="C7" s="2141" t="s">
        <v>947</v>
      </c>
      <c r="D7" s="2308"/>
      <c r="E7" s="2311" t="str">
        <f>'Input''s from BD(Sales)'!A16</f>
        <v>Plant Type (Capex/Opex)</v>
      </c>
      <c r="F7" s="2312"/>
      <c r="G7" s="1634" t="str">
        <f>'Input''s from BD(Sales)'!B16</f>
        <v>Capex</v>
      </c>
      <c r="H7" s="1507"/>
      <c r="I7" s="895"/>
      <c r="J7" s="155"/>
      <c r="K7" s="155"/>
      <c r="L7" s="155"/>
      <c r="M7" s="155"/>
      <c r="N7" s="155"/>
      <c r="O7" s="155"/>
      <c r="P7" s="155"/>
      <c r="Q7" s="155"/>
      <c r="AG7" s="154"/>
      <c r="AH7" s="154"/>
      <c r="AI7" s="154"/>
      <c r="AJ7" s="154"/>
      <c r="AK7" s="154"/>
      <c r="AL7" s="154"/>
      <c r="AM7" s="154"/>
      <c r="AN7" s="154"/>
      <c r="AO7" s="154"/>
      <c r="AP7" s="154"/>
      <c r="AQ7" s="154"/>
    </row>
    <row r="8" spans="1:112" ht="18.600000000000001" thickBot="1">
      <c r="A8" s="1107" t="s">
        <v>1158</v>
      </c>
      <c r="B8" s="2148">
        <f>F66+F73</f>
        <v>0.85972236093079002</v>
      </c>
      <c r="C8" s="2142" t="s">
        <v>947</v>
      </c>
      <c r="D8" s="2308"/>
      <c r="E8" s="2322" t="s">
        <v>942</v>
      </c>
      <c r="F8" s="2323"/>
      <c r="G8" s="2087" t="str">
        <f>'Input''s from BD(Sales)'!B10</f>
        <v>Maharashtra</v>
      </c>
      <c r="H8" s="1507"/>
      <c r="I8" s="895"/>
      <c r="J8" s="155"/>
      <c r="K8" s="155"/>
      <c r="L8" s="155"/>
      <c r="M8" s="155"/>
      <c r="N8" s="155"/>
      <c r="O8" s="155"/>
      <c r="P8" s="155"/>
      <c r="Q8" s="155"/>
      <c r="AG8" s="154"/>
      <c r="AH8" s="154"/>
      <c r="AI8" s="154"/>
      <c r="AJ8" s="154"/>
      <c r="AK8" s="154"/>
      <c r="AL8" s="154"/>
      <c r="AM8" s="154"/>
      <c r="AN8" s="154"/>
      <c r="AO8" s="154"/>
      <c r="AP8" s="154"/>
      <c r="AQ8" s="154"/>
    </row>
    <row r="9" spans="1:112" ht="18">
      <c r="A9" s="1108" t="s">
        <v>1159</v>
      </c>
      <c r="B9" s="2148">
        <f>F59</f>
        <v>14.720000000000002</v>
      </c>
      <c r="C9" s="2142" t="s">
        <v>947</v>
      </c>
      <c r="D9" s="2308"/>
      <c r="E9" s="2324" t="str">
        <f>'Input''s from Initial Design'!R7</f>
        <v>Shed</v>
      </c>
      <c r="F9" s="2325"/>
      <c r="G9" s="1420">
        <f>'Input''s from Initial Design'!S7</f>
        <v>0</v>
      </c>
      <c r="H9" s="1507"/>
      <c r="I9" s="895"/>
      <c r="J9" s="155"/>
      <c r="K9" s="155"/>
      <c r="L9" s="155"/>
      <c r="M9" s="155"/>
      <c r="N9" s="155"/>
      <c r="O9" s="155"/>
      <c r="P9" s="155"/>
      <c r="Q9" s="155"/>
      <c r="AG9" s="154"/>
      <c r="AH9" s="154"/>
      <c r="AI9" s="154"/>
      <c r="AJ9" s="154"/>
      <c r="AK9" s="154"/>
      <c r="AL9" s="154"/>
      <c r="AM9" s="154"/>
      <c r="AN9" s="154"/>
      <c r="AO9" s="154"/>
      <c r="AP9" s="154"/>
      <c r="AQ9" s="154"/>
    </row>
    <row r="10" spans="1:112" ht="18">
      <c r="A10" s="1107" t="s">
        <v>1160</v>
      </c>
      <c r="B10" s="2148">
        <f>F77+F81+F94+F107+F121</f>
        <v>2.7400028373114953</v>
      </c>
      <c r="C10" s="2142" t="s">
        <v>947</v>
      </c>
      <c r="D10" s="2308"/>
      <c r="E10" s="2326" t="str">
        <f>'Input''s from Initial Design'!R8</f>
        <v>Long Rail</v>
      </c>
      <c r="F10" s="2327"/>
      <c r="G10" s="1421">
        <f>'Input''s from Initial Design'!S8</f>
        <v>0</v>
      </c>
      <c r="H10" s="1507"/>
      <c r="I10" s="895"/>
      <c r="J10" s="155"/>
      <c r="K10" s="155"/>
      <c r="L10" s="155"/>
      <c r="M10" s="155"/>
      <c r="N10" s="155"/>
      <c r="O10" s="155"/>
      <c r="P10" s="155"/>
      <c r="Q10" s="155"/>
      <c r="AG10" s="154"/>
      <c r="AH10" s="154"/>
      <c r="AI10" s="154"/>
      <c r="AJ10" s="154"/>
      <c r="AK10" s="154"/>
      <c r="AL10" s="154"/>
      <c r="AM10" s="154"/>
      <c r="AN10" s="154"/>
      <c r="AO10" s="154"/>
      <c r="AP10" s="154"/>
      <c r="AQ10" s="154"/>
    </row>
    <row r="11" spans="1:112" ht="18">
      <c r="A11" s="1107" t="s">
        <v>1161</v>
      </c>
      <c r="B11" s="2148">
        <f>F132+F194+F305</f>
        <v>1.6775451912513735</v>
      </c>
      <c r="C11" s="2142" t="s">
        <v>947</v>
      </c>
      <c r="D11" s="2308"/>
      <c r="E11" s="2326" t="str">
        <f>'Input''s from Initial Design'!R9</f>
        <v>RCC</v>
      </c>
      <c r="F11" s="2327"/>
      <c r="G11" s="1421">
        <f>'Input''s from Initial Design'!S9</f>
        <v>0</v>
      </c>
      <c r="H11" s="1507"/>
      <c r="I11" s="895"/>
      <c r="J11" s="155"/>
      <c r="K11" s="155"/>
      <c r="L11" s="155"/>
      <c r="M11" s="155"/>
      <c r="N11" s="155"/>
      <c r="O11" s="155"/>
      <c r="P11" s="155"/>
      <c r="Q11" s="155"/>
      <c r="AG11" s="154"/>
      <c r="AH11" s="154"/>
      <c r="AI11" s="154"/>
      <c r="AJ11" s="154"/>
      <c r="AK11" s="154"/>
      <c r="AL11" s="154"/>
      <c r="AM11" s="154"/>
      <c r="AN11" s="154"/>
      <c r="AO11" s="154"/>
      <c r="AP11" s="154"/>
      <c r="AQ11" s="154"/>
    </row>
    <row r="12" spans="1:112" ht="18">
      <c r="A12" s="1107" t="s">
        <v>1162</v>
      </c>
      <c r="B12" s="2149">
        <f>F137+F141+F150+F159+F178</f>
        <v>2.6452092280035955</v>
      </c>
      <c r="C12" s="2143" t="s">
        <v>947</v>
      </c>
      <c r="D12" s="2308"/>
      <c r="E12" s="2326" t="str">
        <f>'Input''s from Initial Design'!R10</f>
        <v>RCC Raised</v>
      </c>
      <c r="F12" s="2327"/>
      <c r="G12" s="1421">
        <f>'Input''s from Initial Design'!S10</f>
        <v>400.52</v>
      </c>
      <c r="H12" s="1507"/>
      <c r="I12" s="895"/>
      <c r="J12" s="155"/>
      <c r="K12" s="155"/>
      <c r="L12" s="155"/>
      <c r="M12" s="155"/>
      <c r="N12" s="155"/>
      <c r="O12" s="155"/>
      <c r="P12" s="155"/>
      <c r="Q12" s="155"/>
      <c r="AG12" s="154"/>
      <c r="AH12" s="154"/>
      <c r="AI12" s="154"/>
      <c r="AJ12" s="154"/>
      <c r="AK12" s="154"/>
      <c r="AL12" s="154"/>
      <c r="AM12" s="154"/>
      <c r="AN12" s="154"/>
      <c r="AO12" s="154"/>
      <c r="AP12" s="154"/>
      <c r="AQ12" s="154"/>
    </row>
    <row r="13" spans="1:112" ht="18">
      <c r="A13" s="1109" t="s">
        <v>1163</v>
      </c>
      <c r="B13" s="2149">
        <f>F200</f>
        <v>0</v>
      </c>
      <c r="C13" s="2143" t="s">
        <v>947</v>
      </c>
      <c r="D13" s="2308"/>
      <c r="E13" s="2326" t="str">
        <f>'Input''s from Initial Design'!R11</f>
        <v>RCC Raised on Pillars</v>
      </c>
      <c r="F13" s="2327"/>
      <c r="G13" s="1421">
        <f>'Input''s from Initial Design'!S11</f>
        <v>0</v>
      </c>
      <c r="H13" s="1507"/>
      <c r="I13" s="895"/>
      <c r="AG13" s="154"/>
      <c r="AH13" s="154"/>
      <c r="AI13" s="154"/>
      <c r="AJ13" s="154"/>
      <c r="AK13" s="154"/>
      <c r="AL13" s="154"/>
      <c r="AM13" s="154"/>
      <c r="AN13" s="154"/>
      <c r="AO13" s="154"/>
      <c r="AP13" s="154"/>
      <c r="AQ13" s="154"/>
    </row>
    <row r="14" spans="1:112" ht="18">
      <c r="A14" s="1109" t="s">
        <v>1164</v>
      </c>
      <c r="B14" s="2149">
        <f>F309+F331+F360+F317+F322</f>
        <v>-14.147494257465295</v>
      </c>
      <c r="C14" s="2143" t="s">
        <v>947</v>
      </c>
      <c r="D14" s="2308"/>
      <c r="E14" s="2326" t="str">
        <f>'Input''s from Initial Design'!R12</f>
        <v>Ground Mounted</v>
      </c>
      <c r="F14" s="2327"/>
      <c r="G14" s="1421">
        <f>'Input''s from Initial Design'!S12</f>
        <v>0</v>
      </c>
      <c r="H14" s="1507"/>
      <c r="I14" s="895"/>
      <c r="AG14" s="154"/>
      <c r="AH14" s="154"/>
      <c r="AI14" s="154"/>
      <c r="AJ14" s="154"/>
      <c r="AK14" s="154"/>
      <c r="AL14" s="154"/>
      <c r="AM14" s="154"/>
      <c r="AN14" s="154"/>
      <c r="AO14" s="154"/>
      <c r="AP14" s="154"/>
      <c r="AQ14" s="154"/>
    </row>
    <row r="15" spans="1:112" ht="18">
      <c r="A15" s="1110" t="s">
        <v>1165</v>
      </c>
      <c r="B15" s="2149">
        <f>F381</f>
        <v>3.7249975032457807</v>
      </c>
      <c r="C15" s="2143" t="s">
        <v>947</v>
      </c>
      <c r="D15" s="2308"/>
      <c r="E15" s="2326" t="str">
        <f>'Input''s from Initial Design'!R13</f>
        <v>Parking- Car/Bike</v>
      </c>
      <c r="F15" s="2327"/>
      <c r="G15" s="1421">
        <f>'Input''s from Initial Design'!S13</f>
        <v>0</v>
      </c>
      <c r="H15" s="1507"/>
      <c r="I15" s="895"/>
      <c r="AG15" s="154"/>
      <c r="AH15" s="154"/>
      <c r="AI15" s="154"/>
      <c r="AJ15" s="154"/>
      <c r="AK15" s="154"/>
      <c r="AL15" s="154"/>
      <c r="AM15" s="154"/>
      <c r="AN15" s="154"/>
      <c r="AO15" s="154"/>
      <c r="AP15" s="154"/>
      <c r="AQ15" s="154"/>
    </row>
    <row r="16" spans="1:112" ht="18.600000000000001" thickBot="1">
      <c r="A16" s="1110" t="s">
        <v>1166</v>
      </c>
      <c r="B16" s="2149">
        <f>F393</f>
        <v>0</v>
      </c>
      <c r="C16" s="2143" t="s">
        <v>947</v>
      </c>
      <c r="D16" s="2308"/>
      <c r="E16" s="2326" t="str">
        <f>'Input''s from Initial Design'!R14</f>
        <v xml:space="preserve">Parking-Truck/Bus </v>
      </c>
      <c r="F16" s="2327"/>
      <c r="G16" s="1421">
        <f>'Input''s from Initial Design'!S14</f>
        <v>0</v>
      </c>
      <c r="H16" s="1507"/>
      <c r="I16" s="895"/>
      <c r="AG16" s="154"/>
      <c r="AH16" s="154"/>
      <c r="AI16" s="154"/>
      <c r="AJ16" s="154"/>
      <c r="AK16" s="154"/>
      <c r="AL16" s="154"/>
      <c r="AM16" s="154"/>
      <c r="AN16" s="154"/>
      <c r="AO16" s="154"/>
      <c r="AP16" s="154"/>
      <c r="AQ16" s="154"/>
    </row>
    <row r="17" spans="1:112" ht="18" thickBot="1">
      <c r="A17" s="2341" t="s">
        <v>1167</v>
      </c>
      <c r="B17" s="2342"/>
      <c r="C17" s="2343"/>
      <c r="D17" s="2308"/>
      <c r="E17" s="2309" t="str">
        <f>'Input''s from Initial Design'!R15</f>
        <v>Floating</v>
      </c>
      <c r="F17" s="2344"/>
      <c r="G17" s="1422">
        <f>'Input''s from Initial Design'!S15</f>
        <v>0</v>
      </c>
      <c r="H17" s="1507"/>
      <c r="I17" s="895"/>
    </row>
    <row r="18" spans="1:112" ht="18" thickBot="1">
      <c r="A18" s="1123" t="s">
        <v>1168</v>
      </c>
      <c r="B18" s="2150">
        <f>F362</f>
        <v>27.993037891740737</v>
      </c>
      <c r="C18" s="2144" t="s">
        <v>947</v>
      </c>
      <c r="D18" s="2308"/>
      <c r="E18" s="2345" t="s">
        <v>1169</v>
      </c>
      <c r="F18" s="2346"/>
      <c r="G18" s="1423">
        <f>SUM(G9:G17)</f>
        <v>400.52</v>
      </c>
      <c r="H18" s="1507"/>
      <c r="I18" s="895"/>
    </row>
    <row r="19" spans="1:112" ht="18" thickBot="1">
      <c r="A19" s="1124" t="s">
        <v>1170</v>
      </c>
      <c r="B19" s="2151">
        <f>B18-F31</f>
        <v>9.9930378917407374</v>
      </c>
      <c r="C19" s="2145" t="s">
        <v>947</v>
      </c>
      <c r="D19" s="2308"/>
      <c r="E19" s="2341" t="s">
        <v>1171</v>
      </c>
      <c r="F19" s="2342"/>
      <c r="G19" s="2343"/>
      <c r="H19" s="1507"/>
      <c r="I19" s="895"/>
    </row>
    <row r="20" spans="1:112" ht="17.399999999999999">
      <c r="A20" s="1124" t="s">
        <v>1172</v>
      </c>
      <c r="B20" s="2151">
        <f>F383</f>
        <v>31.718035394986515</v>
      </c>
      <c r="C20" s="2145" t="s">
        <v>947</v>
      </c>
      <c r="D20" s="2308"/>
      <c r="E20" s="2347" t="s">
        <v>628</v>
      </c>
      <c r="F20" s="2348"/>
      <c r="G20" s="2153" t="str">
        <f>IF('Input''s from BD(Sales)'!B15="", "Not Updated", IFERROR('Input''s from BD(Sales)'!B15, "Not Updated"))</f>
        <v>Yes</v>
      </c>
      <c r="H20" s="1507"/>
      <c r="I20" s="895"/>
    </row>
    <row r="21" spans="1:112" ht="17.399999999999999">
      <c r="A21" s="1124" t="s">
        <v>1173</v>
      </c>
      <c r="B21" s="2151">
        <f>F399</f>
        <v>35.242261549985024</v>
      </c>
      <c r="C21" s="2145" t="s">
        <v>947</v>
      </c>
      <c r="D21" s="2308"/>
      <c r="E21" s="2326" t="s">
        <v>1174</v>
      </c>
      <c r="F21" s="2349"/>
      <c r="G21" s="2154" t="str">
        <f>IF('Input''s from Initial Design'!I6="", "Not Updated", IFERROR('Input''s from Initial Design'!I6, "Not Updated"))</f>
        <v>Yes</v>
      </c>
      <c r="H21" s="1507"/>
      <c r="I21" s="895"/>
    </row>
    <row r="22" spans="1:112" ht="18" thickBot="1">
      <c r="A22" s="1125" t="s">
        <v>1175</v>
      </c>
      <c r="B22" s="2152">
        <f>F403</f>
        <v>38.378822827933682</v>
      </c>
      <c r="C22" s="2146" t="s">
        <v>947</v>
      </c>
      <c r="D22" s="2308"/>
      <c r="E22" s="2309" t="s">
        <v>1176</v>
      </c>
      <c r="F22" s="2310"/>
      <c r="G22" s="2155" t="s">
        <v>2059</v>
      </c>
      <c r="H22" s="1507"/>
      <c r="I22" s="895"/>
    </row>
    <row r="23" spans="1:112" ht="15" thickBot="1">
      <c r="A23" s="2331"/>
      <c r="B23" s="2331"/>
      <c r="C23" s="2331"/>
      <c r="D23" s="2331"/>
      <c r="E23" s="2331"/>
      <c r="F23" s="2331"/>
      <c r="G23" s="2331"/>
      <c r="H23" s="1507"/>
      <c r="I23" s="895"/>
    </row>
    <row r="24" spans="1:112" ht="16.2" thickBot="1">
      <c r="A24" s="157" t="s">
        <v>945</v>
      </c>
      <c r="B24" s="2357" t="s">
        <v>1177</v>
      </c>
      <c r="C24" s="2358"/>
      <c r="D24" s="2350" t="s">
        <v>1953</v>
      </c>
      <c r="E24" s="2350"/>
      <c r="F24" s="1104" t="s">
        <v>1178</v>
      </c>
      <c r="G24" s="1105" t="s">
        <v>656</v>
      </c>
      <c r="H24" s="1507"/>
      <c r="I24" s="895"/>
    </row>
    <row r="25" spans="1:112" ht="16.2" thickBot="1">
      <c r="A25" s="1142" t="s">
        <v>1179</v>
      </c>
      <c r="B25" s="2359" t="s">
        <v>2056</v>
      </c>
      <c r="C25" s="2360"/>
      <c r="D25" s="2354">
        <v>46164</v>
      </c>
      <c r="E25" s="2354"/>
      <c r="F25" s="2339" t="s">
        <v>2057</v>
      </c>
      <c r="G25" s="2338" t="s">
        <v>2058</v>
      </c>
      <c r="H25" s="1507"/>
      <c r="I25" s="895"/>
    </row>
    <row r="26" spans="1:112" ht="16.2" thickBot="1">
      <c r="A26" s="1143" t="s">
        <v>1180</v>
      </c>
      <c r="B26" s="2361" t="s">
        <v>2056</v>
      </c>
      <c r="C26" s="2362"/>
      <c r="D26" s="2354">
        <v>46164</v>
      </c>
      <c r="E26" s="2354"/>
      <c r="F26" s="2339"/>
      <c r="G26" s="2338"/>
      <c r="H26" s="1507"/>
      <c r="I26" s="895"/>
    </row>
    <row r="27" spans="1:112" ht="18" thickBot="1">
      <c r="A27" s="2336" t="s">
        <v>1181</v>
      </c>
      <c r="B27" s="2336"/>
      <c r="C27" s="2336"/>
      <c r="D27" s="2336"/>
      <c r="E27" s="2336"/>
      <c r="F27" s="2336"/>
      <c r="G27" s="2337"/>
      <c r="H27" s="1507"/>
      <c r="I27" s="895"/>
    </row>
    <row r="28" spans="1:112" ht="15" thickBot="1">
      <c r="A28" s="2332"/>
      <c r="B28" s="2332"/>
      <c r="C28" s="2332"/>
      <c r="D28" s="2332"/>
      <c r="E28" s="2332"/>
      <c r="F28" s="2332"/>
      <c r="G28" s="2332"/>
      <c r="H28" s="1508"/>
      <c r="I28" s="896"/>
    </row>
    <row r="29" spans="1:112" s="158" customFormat="1" ht="18" thickBot="1">
      <c r="A29" s="1074" t="s">
        <v>1182</v>
      </c>
      <c r="B29" s="1075" t="s">
        <v>1183</v>
      </c>
      <c r="C29" s="1076" t="s">
        <v>1184</v>
      </c>
      <c r="D29" s="1077" t="s">
        <v>1185</v>
      </c>
      <c r="E29" s="1075" t="s">
        <v>1186</v>
      </c>
      <c r="F29" s="1075" t="s">
        <v>947</v>
      </c>
      <c r="G29" s="1075" t="s">
        <v>1187</v>
      </c>
      <c r="H29" s="1078" t="s">
        <v>1188</v>
      </c>
      <c r="I29" s="1079" t="s">
        <v>1189</v>
      </c>
      <c r="DH29" s="932"/>
    </row>
    <row r="30" spans="1:112" ht="16.2" thickBot="1">
      <c r="A30" s="1735" t="s">
        <v>1190</v>
      </c>
      <c r="B30" s="2329"/>
      <c r="C30" s="2329"/>
      <c r="D30" s="2329"/>
      <c r="E30" s="2329"/>
      <c r="F30" s="2329"/>
      <c r="G30" s="2329"/>
      <c r="H30" s="2329"/>
      <c r="I30" s="2330"/>
    </row>
    <row r="31" spans="1:112" ht="15" thickBot="1">
      <c r="A31" s="1424" t="s">
        <v>1191</v>
      </c>
      <c r="B31" s="1433">
        <f>IFERROR(VLOOKUP('Input''s from Initial Design'!G21,'Input''s from Initial Design'!Y168:Z170,2,0),0)+2</f>
        <v>18</v>
      </c>
      <c r="C31" s="1035">
        <f>$G$18</f>
        <v>400.52</v>
      </c>
      <c r="D31" s="1030" t="s">
        <v>1192</v>
      </c>
      <c r="E31" s="1575">
        <f>IF($G$18&lt;1,0,B31*C31*1000)</f>
        <v>7209360</v>
      </c>
      <c r="F31" s="1576">
        <f>E31/$G$18/1000</f>
        <v>18</v>
      </c>
      <c r="G31" s="1883" t="str">
        <f>'Input''s from Initial Design'!G21&amp;" - "&amp;'Input''s from Initial Design'!F21&amp;" "&amp;'Input''s from Initial Design'!F22&amp;" Wp"</f>
        <v>Indian ALMM - Renewsys 620 Wp</v>
      </c>
      <c r="H31" s="1884" t="str">
        <f>'Input''s from Initial Design'!F21</f>
        <v>Renewsys</v>
      </c>
      <c r="I31" s="937"/>
    </row>
    <row r="32" spans="1:112" ht="16.2" thickBot="1">
      <c r="A32" s="2166" t="s">
        <v>1193</v>
      </c>
      <c r="B32" s="2166"/>
      <c r="C32" s="2166"/>
      <c r="D32" s="2166"/>
      <c r="E32" s="1736">
        <f>IF($G$18&lt;1,0,SUM(E31:E31))</f>
        <v>7209360</v>
      </c>
      <c r="F32" s="1730">
        <f>E32/$G$18/1000</f>
        <v>18</v>
      </c>
      <c r="G32" s="1732"/>
      <c r="H32" s="1732"/>
      <c r="I32" s="1733"/>
      <c r="L32" s="159"/>
    </row>
    <row r="33" spans="1:112" ht="16.2" thickBot="1">
      <c r="A33" s="1737" t="s">
        <v>1194</v>
      </c>
      <c r="B33" s="2294"/>
      <c r="C33" s="2294"/>
      <c r="D33" s="2294"/>
      <c r="E33" s="2294"/>
      <c r="F33" s="2294"/>
      <c r="G33" s="2294"/>
      <c r="H33" s="2294"/>
      <c r="I33" s="2295"/>
    </row>
    <row r="34" spans="1:112">
      <c r="A34" s="1425" t="s">
        <v>1195</v>
      </c>
      <c r="B34" s="1434">
        <f>'Input''s from Initial Design'!F540</f>
        <v>300000</v>
      </c>
      <c r="C34" s="938">
        <f>IF($G$18&lt;1,0,'Input''s from Initial Design'!H55)</f>
        <v>2</v>
      </c>
      <c r="D34" s="939" t="s">
        <v>1196</v>
      </c>
      <c r="E34" s="1577">
        <f t="shared" ref="E34:E43" si="0">IF($G$18&lt;1,0,B34*C34)</f>
        <v>600000</v>
      </c>
      <c r="F34" s="1581">
        <f t="shared" ref="F34:F43" si="1">E34/$G$18/1000</f>
        <v>1.4980525317087785</v>
      </c>
      <c r="G34" s="1879" t="str">
        <f>IF(C34&gt;0,IF('Input''s from Initial Design'!H24&gt;0,H34&amp;" "&amp;'Input''s from Initial Design'!H24&amp;" "&amp;"kW",""),"")</f>
        <v>Solis 150 kW</v>
      </c>
      <c r="H34" s="2351" t="str">
        <f>'Input''s from Initial Design'!H23</f>
        <v>Solis</v>
      </c>
      <c r="I34" s="940"/>
      <c r="J34" s="198"/>
    </row>
    <row r="35" spans="1:112">
      <c r="A35" s="1426" t="s">
        <v>1195</v>
      </c>
      <c r="B35" s="1435">
        <f>'Input''s from Initial Design'!G540</f>
        <v>290000</v>
      </c>
      <c r="C35" s="941">
        <f>IF($G$18&lt;1,0,'Input''s from Initial Design'!I55)</f>
        <v>0</v>
      </c>
      <c r="D35" s="942" t="s">
        <v>1196</v>
      </c>
      <c r="E35" s="1578">
        <f t="shared" si="0"/>
        <v>0</v>
      </c>
      <c r="F35" s="1582">
        <f t="shared" si="1"/>
        <v>0</v>
      </c>
      <c r="G35" s="1880" t="str">
        <f>IF(C35&gt;0,IF('Input''s from Initial Design'!I24&gt;0,H34&amp;" "&amp;'Input''s from Initial Design'!I24&amp;" "&amp;"kW",""),"")</f>
        <v/>
      </c>
      <c r="H35" s="2352"/>
      <c r="I35" s="943"/>
    </row>
    <row r="36" spans="1:112">
      <c r="A36" s="1426" t="s">
        <v>1195</v>
      </c>
      <c r="B36" s="1435">
        <f>'Input''s from Initial Design'!H540</f>
        <v>255000</v>
      </c>
      <c r="C36" s="944">
        <f>IF($G$18&lt;1,0,'Input''s from Initial Design'!J55)</f>
        <v>0</v>
      </c>
      <c r="D36" s="942" t="s">
        <v>1196</v>
      </c>
      <c r="E36" s="1578">
        <f t="shared" si="0"/>
        <v>0</v>
      </c>
      <c r="F36" s="1582">
        <f t="shared" si="1"/>
        <v>0</v>
      </c>
      <c r="G36" s="1880" t="str">
        <f>IF(C36&gt;0,IF('Input''s from Initial Design'!J24&gt;0,H34&amp;" "&amp;'Input''s from Initial Design'!J24&amp;" "&amp;"kW",""),"")</f>
        <v/>
      </c>
      <c r="H36" s="2352"/>
      <c r="I36" s="943"/>
      <c r="J36" s="198"/>
    </row>
    <row r="37" spans="1:112">
      <c r="A37" s="1426" t="s">
        <v>1195</v>
      </c>
      <c r="B37" s="1435">
        <f>'Input''s from Initial Design'!I540</f>
        <v>135000</v>
      </c>
      <c r="C37" s="944">
        <f>IF($G$18&lt;1,0,'Input''s from Initial Design'!K55)</f>
        <v>0</v>
      </c>
      <c r="D37" s="942" t="s">
        <v>1196</v>
      </c>
      <c r="E37" s="1578">
        <f t="shared" si="0"/>
        <v>0</v>
      </c>
      <c r="F37" s="1582">
        <f t="shared" si="1"/>
        <v>0</v>
      </c>
      <c r="G37" s="1880" t="str">
        <f>IF(C37&gt;0,IF('Input''s from Initial Design'!K24&gt;0,H34&amp;" "&amp;'Input''s from Initial Design'!K24&amp;" "&amp;"kW",""),"")</f>
        <v/>
      </c>
      <c r="H37" s="2352"/>
      <c r="I37" s="943"/>
    </row>
    <row r="38" spans="1:112">
      <c r="A38" s="1426" t="s">
        <v>1195</v>
      </c>
      <c r="B38" s="1435">
        <f>'Input''s from Initial Design'!J540</f>
        <v>125000</v>
      </c>
      <c r="C38" s="944">
        <f>IF($G$18&lt;1,0,'Input''s from Initial Design'!L55)</f>
        <v>0</v>
      </c>
      <c r="D38" s="942" t="s">
        <v>1196</v>
      </c>
      <c r="E38" s="1578">
        <f t="shared" si="0"/>
        <v>0</v>
      </c>
      <c r="F38" s="1582">
        <f t="shared" si="1"/>
        <v>0</v>
      </c>
      <c r="G38" s="1880" t="str">
        <f>IF(C38&gt;0,IF('Input''s from Initial Design'!L24&gt;0,H34&amp;" "&amp;'Input''s from Initial Design'!L24&amp;" "&amp;"kW",""),"")</f>
        <v/>
      </c>
      <c r="H38" s="2352"/>
      <c r="I38" s="943"/>
    </row>
    <row r="39" spans="1:112">
      <c r="A39" s="1426" t="s">
        <v>1195</v>
      </c>
      <c r="B39" s="1435">
        <f>'Input''s from Initial Design'!K540</f>
        <v>95000</v>
      </c>
      <c r="C39" s="944">
        <f>IF($G$18&lt;1,0,'Input''s from Initial Design'!M55)</f>
        <v>0</v>
      </c>
      <c r="D39" s="942" t="s">
        <v>1196</v>
      </c>
      <c r="E39" s="1578">
        <f t="shared" si="0"/>
        <v>0</v>
      </c>
      <c r="F39" s="1582">
        <f t="shared" si="1"/>
        <v>0</v>
      </c>
      <c r="G39" s="1880" t="str">
        <f>IF(C39&gt;0,IF('Input''s from Initial Design'!M24&gt;0,H34&amp;" "&amp;'Input''s from Initial Design'!M24&amp;" "&amp;"kW",""),"")</f>
        <v/>
      </c>
      <c r="H39" s="2352"/>
      <c r="I39" s="943"/>
    </row>
    <row r="40" spans="1:112">
      <c r="A40" s="1426" t="s">
        <v>1195</v>
      </c>
      <c r="B40" s="1435">
        <f>'Input''s from Initial Design'!L540</f>
        <v>85000</v>
      </c>
      <c r="C40" s="944">
        <f>IF($G$18&lt;1,0,'Input''s from Initial Design'!N55)</f>
        <v>0</v>
      </c>
      <c r="D40" s="942" t="s">
        <v>1196</v>
      </c>
      <c r="E40" s="1578">
        <f t="shared" si="0"/>
        <v>0</v>
      </c>
      <c r="F40" s="1582">
        <f t="shared" si="1"/>
        <v>0</v>
      </c>
      <c r="G40" s="1880" t="str">
        <f>IF(C40&gt;0,IF('Input''s from Initial Design'!N24&gt;0,H34&amp;" "&amp;'Input''s from Initial Design'!N24&amp;" "&amp;"kW",""),"")</f>
        <v/>
      </c>
      <c r="H40" s="2352"/>
      <c r="I40" s="943"/>
    </row>
    <row r="41" spans="1:112">
      <c r="A41" s="1426" t="s">
        <v>1195</v>
      </c>
      <c r="B41" s="1435">
        <f>'Input''s from Initial Design'!M540</f>
        <v>70000</v>
      </c>
      <c r="C41" s="944">
        <f>IF($G$18&lt;1,0,'Input''s from Initial Design'!O55)</f>
        <v>0</v>
      </c>
      <c r="D41" s="942" t="s">
        <v>1196</v>
      </c>
      <c r="E41" s="1578">
        <f t="shared" si="0"/>
        <v>0</v>
      </c>
      <c r="F41" s="1582">
        <f t="shared" si="1"/>
        <v>0</v>
      </c>
      <c r="G41" s="1880" t="str">
        <f>IF(C41&gt;0,IF('Input''s from Initial Design'!O24&gt;0,H34&amp;" "&amp;'Input''s from Initial Design'!O24&amp;" "&amp;"kW",""),"")</f>
        <v/>
      </c>
      <c r="H41" s="2352"/>
      <c r="I41" s="943"/>
    </row>
    <row r="42" spans="1:112">
      <c r="A42" s="1426" t="s">
        <v>1195</v>
      </c>
      <c r="B42" s="1435">
        <f>'Input''s from Initial Design'!N540</f>
        <v>69000</v>
      </c>
      <c r="C42" s="944">
        <f>IF($G$18&lt;1,0,'Input''s from Initial Design'!P55)</f>
        <v>0</v>
      </c>
      <c r="D42" s="942" t="s">
        <v>1196</v>
      </c>
      <c r="E42" s="1578">
        <f t="shared" si="0"/>
        <v>0</v>
      </c>
      <c r="F42" s="1582">
        <f t="shared" si="1"/>
        <v>0</v>
      </c>
      <c r="G42" s="1880" t="str">
        <f>IF(C42&gt;0,IF('Input''s from Initial Design'!P24&gt;0,H34&amp;" "&amp;'Input''s from Initial Design'!P24&amp;" "&amp;"kW",""),"")</f>
        <v/>
      </c>
      <c r="H42" s="2352"/>
      <c r="I42" s="943"/>
    </row>
    <row r="43" spans="1:112">
      <c r="A43" s="1426" t="s">
        <v>1195</v>
      </c>
      <c r="B43" s="1436">
        <f>'Input''s from Initial Design'!O540</f>
        <v>75000</v>
      </c>
      <c r="C43" s="945">
        <f>IF($G$18&lt;1,0,'Input''s from Initial Design'!Q55)</f>
        <v>0</v>
      </c>
      <c r="D43" s="946" t="s">
        <v>1196</v>
      </c>
      <c r="E43" s="1579">
        <f t="shared" si="0"/>
        <v>0</v>
      </c>
      <c r="F43" s="1583">
        <f t="shared" si="1"/>
        <v>0</v>
      </c>
      <c r="G43" s="1881" t="str">
        <f>IF(C43&gt;0,IF('Input''s from Initial Design'!Q24&gt;0,H34&amp;" "&amp;'Input''s from Initial Design'!Q24&amp;" "&amp;"kW",""),"")</f>
        <v/>
      </c>
      <c r="H43" s="2352"/>
      <c r="I43" s="947"/>
    </row>
    <row r="44" spans="1:112" ht="15" thickBot="1">
      <c r="A44" s="1427" t="s">
        <v>1197</v>
      </c>
      <c r="B44" s="1437" cm="1">
        <f t="array" ref="B44">SUMPRODUCT(25%*B34:B43*IF(C34:C43=1,1,IF(C34:C43&gt;1,C34:C43,0)))</f>
        <v>150000</v>
      </c>
      <c r="C44" s="948">
        <v>1</v>
      </c>
      <c r="D44" s="949" t="s">
        <v>1196</v>
      </c>
      <c r="E44" s="1580" t="b">
        <f>IF(G44="YES",B44*C44)</f>
        <v>0</v>
      </c>
      <c r="F44" s="1584">
        <f>IFERROR(E44/$G$18/1000,"-")</f>
        <v>0</v>
      </c>
      <c r="G44" s="1882" t="str">
        <f>'Input''s from BD(Sales)'!B71</f>
        <v>No</v>
      </c>
      <c r="H44" s="2353"/>
      <c r="I44" s="947"/>
    </row>
    <row r="45" spans="1:112" ht="16.2" thickBot="1">
      <c r="A45" s="2166" t="s">
        <v>1198</v>
      </c>
      <c r="B45" s="2166"/>
      <c r="C45" s="2166"/>
      <c r="D45" s="2166"/>
      <c r="E45" s="1729">
        <f>IF($G$18&lt;1,0,SUM(E34:E44))</f>
        <v>600000</v>
      </c>
      <c r="F45" s="1730">
        <f>E45/$G$18/1000</f>
        <v>1.4980525317087785</v>
      </c>
      <c r="G45" s="1731"/>
      <c r="H45" s="1732"/>
      <c r="I45" s="1733"/>
    </row>
    <row r="46" spans="1:112" customFormat="1" ht="16.2" thickBot="1">
      <c r="A46" s="1738" t="s">
        <v>1199</v>
      </c>
      <c r="B46" s="2294"/>
      <c r="C46" s="2294"/>
      <c r="D46" s="2294"/>
      <c r="E46" s="2294"/>
      <c r="F46" s="2294"/>
      <c r="G46" s="2294"/>
      <c r="H46" s="2294"/>
      <c r="I46" s="2295"/>
      <c r="DH46" s="931"/>
    </row>
    <row r="47" spans="1:112" customFormat="1" ht="15" customHeight="1" thickBot="1">
      <c r="A47" s="1072" t="s">
        <v>1200</v>
      </c>
      <c r="B47" s="1438" t="e">
        <f>VLOOKUP(G47,G559:H563,2,0)</f>
        <v>#N/A</v>
      </c>
      <c r="C47" s="950">
        <f>IF(G47&lt;&gt;0,'Input''s from Initial Design'!F379,0)</f>
        <v>0</v>
      </c>
      <c r="D47" s="951" t="s">
        <v>1196</v>
      </c>
      <c r="E47" s="1585">
        <f>IF(G47=0,0,B47*C47)</f>
        <v>0</v>
      </c>
      <c r="F47" s="1589">
        <f t="shared" ref="F47:F59" si="2">E47/$G$18/1000</f>
        <v>0</v>
      </c>
      <c r="G47" s="2045"/>
      <c r="H47" s="2328" t="s">
        <v>1202</v>
      </c>
      <c r="I47" s="2009" t="s">
        <v>1203</v>
      </c>
      <c r="DH47" s="931"/>
    </row>
    <row r="48" spans="1:112" customFormat="1">
      <c r="A48" s="1428" t="s">
        <v>1204</v>
      </c>
      <c r="B48" s="1439" t="e">
        <f>VLOOKUP(G48,G552:H555,2,0)</f>
        <v>#N/A</v>
      </c>
      <c r="C48" s="952">
        <f>IF(G48&lt;&gt;0,'Input''s from Initial Design'!F379,0)</f>
        <v>0</v>
      </c>
      <c r="D48" s="936" t="s">
        <v>1196</v>
      </c>
      <c r="E48" s="1586">
        <f>IF(G48=0,0,B48*C48)</f>
        <v>0</v>
      </c>
      <c r="F48" s="1590">
        <f t="shared" si="2"/>
        <v>0</v>
      </c>
      <c r="G48" s="2046"/>
      <c r="H48" s="2186"/>
      <c r="I48" s="2007" t="e" cm="1" vm="1">
        <f t="array" ref="I48">_xlfn.UNIQUE(_xlfn._xlws.FILTER('Input''s from Initial Design'!$D$25:$D$54,'Input''s from Initial Design'!$D$25:$D$54&lt;&gt;""))</f>
        <v>#VALUE!</v>
      </c>
      <c r="DH48" s="931"/>
    </row>
    <row r="49" spans="1:112" customFormat="1">
      <c r="A49" s="1429" t="s">
        <v>1205</v>
      </c>
      <c r="B49" s="1440">
        <v>31</v>
      </c>
      <c r="C49" s="952">
        <f>C47+C48</f>
        <v>0</v>
      </c>
      <c r="D49" s="936" t="s">
        <v>1196</v>
      </c>
      <c r="E49" s="1586">
        <f>IF($G$18=0,0,B49*C49)</f>
        <v>0</v>
      </c>
      <c r="F49" s="1590">
        <f t="shared" si="2"/>
        <v>0</v>
      </c>
      <c r="G49" s="1885"/>
      <c r="H49" s="2186"/>
      <c r="I49" s="2007"/>
      <c r="DH49" s="931"/>
    </row>
    <row r="50" spans="1:112" customFormat="1">
      <c r="A50" s="1428" t="s">
        <v>1206</v>
      </c>
      <c r="B50" s="1440">
        <v>2500</v>
      </c>
      <c r="C50" s="953">
        <f t="shared" ref="C50" si="3">G10</f>
        <v>0</v>
      </c>
      <c r="D50" s="954" t="s">
        <v>1192</v>
      </c>
      <c r="E50" s="1586">
        <f>IF($G$10&lt;1,0,B50*C50)</f>
        <v>0</v>
      </c>
      <c r="F50" s="1591">
        <f t="shared" si="2"/>
        <v>0</v>
      </c>
      <c r="G50" s="2068" t="s">
        <v>1207</v>
      </c>
      <c r="H50" s="2187"/>
      <c r="I50" s="2007"/>
      <c r="DH50" s="931"/>
    </row>
    <row r="51" spans="1:112" customFormat="1">
      <c r="A51" s="1428" t="s">
        <v>1208</v>
      </c>
      <c r="B51" s="1440">
        <v>110</v>
      </c>
      <c r="C51" s="1714">
        <f>(G11*27)/1000</f>
        <v>0</v>
      </c>
      <c r="D51" s="954" t="s">
        <v>1209</v>
      </c>
      <c r="E51" s="1586">
        <f>IF($G$11&lt;1,0,B51*C51*1000)</f>
        <v>0</v>
      </c>
      <c r="F51" s="1591">
        <f t="shared" si="2"/>
        <v>0</v>
      </c>
      <c r="G51" s="2069" t="s">
        <v>1210</v>
      </c>
      <c r="H51" s="2185" t="s">
        <v>1211</v>
      </c>
      <c r="I51" s="2007"/>
      <c r="DH51" s="931"/>
    </row>
    <row r="52" spans="1:112" customFormat="1">
      <c r="A52" s="1428" t="s">
        <v>1212</v>
      </c>
      <c r="B52" s="1440">
        <v>140</v>
      </c>
      <c r="C52" s="1714">
        <f>(G12*100)/1000</f>
        <v>40.052</v>
      </c>
      <c r="D52" s="954" t="s">
        <v>1209</v>
      </c>
      <c r="E52" s="1586">
        <f>IF($G$12&lt;1,0,B52*C52*1000)</f>
        <v>5607280</v>
      </c>
      <c r="F52" s="1591">
        <f t="shared" si="2"/>
        <v>14</v>
      </c>
      <c r="G52" s="2371" t="s">
        <v>1213</v>
      </c>
      <c r="H52" s="2186"/>
      <c r="I52" s="2007"/>
      <c r="DH52" s="931"/>
    </row>
    <row r="53" spans="1:112" customFormat="1">
      <c r="A53" s="1428" t="s">
        <v>1214</v>
      </c>
      <c r="B53" s="1440">
        <v>120</v>
      </c>
      <c r="C53" s="1714">
        <f>(G13*90)/1000</f>
        <v>0</v>
      </c>
      <c r="D53" s="954" t="s">
        <v>1209</v>
      </c>
      <c r="E53" s="1586">
        <f>IF($G$13&lt;1,0,B53*C53*1000)</f>
        <v>0</v>
      </c>
      <c r="F53" s="1591">
        <f t="shared" si="2"/>
        <v>0</v>
      </c>
      <c r="G53" s="2372"/>
      <c r="H53" s="2186"/>
      <c r="I53" s="2007"/>
      <c r="DH53" s="931"/>
    </row>
    <row r="54" spans="1:112" customFormat="1">
      <c r="A54" s="1428" t="s">
        <v>1215</v>
      </c>
      <c r="B54" s="1440">
        <v>97</v>
      </c>
      <c r="C54" s="1714">
        <f>(G14*22)/1000</f>
        <v>0</v>
      </c>
      <c r="D54" s="954" t="s">
        <v>1209</v>
      </c>
      <c r="E54" s="1586">
        <f>IF($G$14&lt;1,0,B54*C54*1000)</f>
        <v>0</v>
      </c>
      <c r="F54" s="1591">
        <f t="shared" si="2"/>
        <v>0</v>
      </c>
      <c r="G54" s="2070" t="s">
        <v>1210</v>
      </c>
      <c r="H54" s="2186"/>
      <c r="I54" s="2007"/>
      <c r="DH54" s="931"/>
    </row>
    <row r="55" spans="1:112" customFormat="1">
      <c r="A55" s="1428" t="s">
        <v>1216</v>
      </c>
      <c r="B55" s="1440">
        <v>140</v>
      </c>
      <c r="C55" s="1714">
        <f>(G15*100)/1000</f>
        <v>0</v>
      </c>
      <c r="D55" s="954" t="s">
        <v>1209</v>
      </c>
      <c r="E55" s="1586">
        <f>IF($G$15&lt;1,0,B55*C55*1000)</f>
        <v>0</v>
      </c>
      <c r="F55" s="1591">
        <f t="shared" si="2"/>
        <v>0</v>
      </c>
      <c r="G55" s="2071" t="s">
        <v>1217</v>
      </c>
      <c r="H55" s="2186"/>
      <c r="I55" s="2007"/>
      <c r="DH55" s="931"/>
    </row>
    <row r="56" spans="1:112" customFormat="1">
      <c r="A56" s="1428" t="s">
        <v>1218</v>
      </c>
      <c r="B56" s="1999">
        <v>120</v>
      </c>
      <c r="C56" s="1714">
        <f>(G16*140)/1000</f>
        <v>0</v>
      </c>
      <c r="D56" s="954" t="s">
        <v>1209</v>
      </c>
      <c r="E56" s="1586">
        <f>IF($G$16&lt;1,0,B56*C56*1000)</f>
        <v>0</v>
      </c>
      <c r="F56" s="1591">
        <f>E56/$G$18/1000</f>
        <v>0</v>
      </c>
      <c r="G56" s="2071" t="s">
        <v>1219</v>
      </c>
      <c r="H56" s="2187"/>
      <c r="I56" s="2007"/>
      <c r="DH56" s="931"/>
    </row>
    <row r="57" spans="1:112" customFormat="1">
      <c r="A57" s="1458" t="s">
        <v>1220</v>
      </c>
      <c r="B57" s="1441">
        <f>10000</f>
        <v>10000</v>
      </c>
      <c r="C57" s="955">
        <f>G17</f>
        <v>0</v>
      </c>
      <c r="D57" s="956" t="s">
        <v>1192</v>
      </c>
      <c r="E57" s="1587">
        <f>IF($G$17&lt;1,0,B57*C57)</f>
        <v>0</v>
      </c>
      <c r="F57" s="1592">
        <f t="shared" si="2"/>
        <v>0</v>
      </c>
      <c r="G57" s="1588"/>
      <c r="H57" s="1511" t="s">
        <v>1221</v>
      </c>
      <c r="I57" s="2007"/>
      <c r="DH57" s="931"/>
    </row>
    <row r="58" spans="1:112" customFormat="1" ht="15" thickBot="1">
      <c r="A58" s="1073" t="s">
        <v>1222</v>
      </c>
      <c r="B58" s="1441">
        <v>240</v>
      </c>
      <c r="C58" s="1635">
        <f>((G11+G14)*1+(G12+G13+G15+G16)*3)/1000</f>
        <v>1.20156</v>
      </c>
      <c r="D58" s="956" t="s">
        <v>1209</v>
      </c>
      <c r="E58" s="1587">
        <f>IF($G$18&lt;1,0,B58*C58*1000)</f>
        <v>288374.39999999997</v>
      </c>
      <c r="F58" s="1592">
        <f t="shared" ref="F58" si="4">E58/$G$18/1000</f>
        <v>0.72</v>
      </c>
      <c r="G58" s="1588"/>
      <c r="H58" s="1821" t="s">
        <v>1221</v>
      </c>
      <c r="I58" s="2008"/>
      <c r="DH58" s="931"/>
    </row>
    <row r="59" spans="1:112" customFormat="1" ht="16.2" thickBot="1">
      <c r="A59" s="2166" t="s">
        <v>1223</v>
      </c>
      <c r="B59" s="2166"/>
      <c r="C59" s="2166"/>
      <c r="D59" s="2166"/>
      <c r="E59" s="1729">
        <f>IF($G$18&lt;1,0,SUM(E47:E58))</f>
        <v>5895654.4000000004</v>
      </c>
      <c r="F59" s="1730">
        <f t="shared" si="2"/>
        <v>14.720000000000002</v>
      </c>
      <c r="G59" s="1731"/>
      <c r="H59" s="1732"/>
      <c r="I59" s="1733"/>
      <c r="DH59" s="931"/>
    </row>
    <row r="60" spans="1:112" ht="16.2" thickBot="1">
      <c r="A60" s="1734" t="s">
        <v>1224</v>
      </c>
      <c r="B60" s="2180"/>
      <c r="C60" s="2180"/>
      <c r="D60" s="2180"/>
      <c r="E60" s="2180"/>
      <c r="F60" s="2180"/>
      <c r="G60" s="2180"/>
      <c r="H60" s="2180"/>
      <c r="I60" s="2181"/>
    </row>
    <row r="61" spans="1:112">
      <c r="A61" s="2025" t="s">
        <v>1225</v>
      </c>
      <c r="B61" s="2026">
        <v>120000</v>
      </c>
      <c r="C61" s="2027">
        <f>SUM(C34:C43)</f>
        <v>2</v>
      </c>
      <c r="D61" s="1030" t="s">
        <v>1196</v>
      </c>
      <c r="E61" s="1575">
        <f>IF(H34&lt;&gt;'Input''s from Initial Design'!E499,0,B61*C61)</f>
        <v>0</v>
      </c>
      <c r="F61" s="2028">
        <f t="shared" ref="F61:F66" si="5">E61/$G$18/1000</f>
        <v>0</v>
      </c>
      <c r="G61" s="1827" t="str">
        <f>IF(OR('Input''s from Initial Design'!$H$23&lt;&gt;'Input''s from Initial Design'!$E$491),"Only for Solar edge inverter model",'Input''s from Initial Design'!$E$491)</f>
        <v>Only for Solar edge inverter model</v>
      </c>
      <c r="H61" s="2328" t="s">
        <v>1115</v>
      </c>
      <c r="I61" s="937"/>
    </row>
    <row r="62" spans="1:112">
      <c r="A62" s="1428" t="s">
        <v>1226</v>
      </c>
      <c r="B62" s="1431">
        <v>85000</v>
      </c>
      <c r="C62" s="957">
        <f>C61</f>
        <v>2</v>
      </c>
      <c r="D62" s="954" t="s">
        <v>1196</v>
      </c>
      <c r="E62" s="1586">
        <f>IF(H34&lt;&gt;'Input''s from Initial Design'!E499,0,B62*C62)</f>
        <v>0</v>
      </c>
      <c r="F62" s="1591">
        <f t="shared" si="5"/>
        <v>0</v>
      </c>
      <c r="G62" s="1827" t="str">
        <f>IF(OR('Input''s from Initial Design'!$H$23&lt;&gt;'Input''s from Initial Design'!$E$491),"Only for Solar edge inverter model",'Input''s from Initial Design'!$E$491)</f>
        <v>Only for Solar edge inverter model</v>
      </c>
      <c r="H62" s="2186"/>
      <c r="I62" s="937"/>
    </row>
    <row r="63" spans="1:112">
      <c r="A63" s="1428" t="s">
        <v>1227</v>
      </c>
      <c r="B63" s="1431">
        <f>IFERROR(VLOOKUP(G63,A594:B595,2,0),0)</f>
        <v>3650</v>
      </c>
      <c r="C63" s="957">
        <f>'Input''s from Initial Design'!F55/2</f>
        <v>323</v>
      </c>
      <c r="D63" s="954" t="s">
        <v>1196</v>
      </c>
      <c r="E63" s="1586">
        <f>IF(H34&lt;&gt;'Input''s from Initial Design'!E499,0,B63*C63)</f>
        <v>0</v>
      </c>
      <c r="F63" s="1591">
        <f t="shared" si="5"/>
        <v>0</v>
      </c>
      <c r="G63" s="1828" t="str">
        <f>'Input''s from Initial Design'!O21</f>
        <v>Optimizers- Model-S 1400/ S 1500</v>
      </c>
      <c r="H63" s="2187"/>
      <c r="I63" s="943"/>
    </row>
    <row r="64" spans="1:112">
      <c r="A64" s="1428" t="s">
        <v>1228</v>
      </c>
      <c r="B64" s="1431">
        <f>35000+28000</f>
        <v>63000</v>
      </c>
      <c r="C64" s="957">
        <f>SUM(C34:C43)</f>
        <v>2</v>
      </c>
      <c r="D64" s="954" t="s">
        <v>1196</v>
      </c>
      <c r="E64" s="1586">
        <f>IF($G$8&lt;&gt;'Input''s from Initial Design'!B394,0,B64*C64)</f>
        <v>0</v>
      </c>
      <c r="F64" s="1591">
        <f t="shared" si="5"/>
        <v>0</v>
      </c>
      <c r="G64" s="1771" t="s">
        <v>1229</v>
      </c>
      <c r="H64" s="1512" t="s">
        <v>1230</v>
      </c>
      <c r="I64" s="943"/>
    </row>
    <row r="65" spans="1:9 16384:16384" ht="15" thickBot="1">
      <c r="A65" s="1073" t="s">
        <v>1231</v>
      </c>
      <c r="B65" s="1432">
        <v>3500</v>
      </c>
      <c r="C65" s="958">
        <f>SUM(C39:C43)</f>
        <v>0</v>
      </c>
      <c r="D65" s="956" t="s">
        <v>1196</v>
      </c>
      <c r="E65" s="1587">
        <f>IF(H34&lt;&gt;'Input''s from Initial Design'!D516,0,B65*C65)</f>
        <v>0</v>
      </c>
      <c r="F65" s="1592">
        <f t="shared" si="5"/>
        <v>0</v>
      </c>
      <c r="G65" s="1772" t="s">
        <v>1232</v>
      </c>
      <c r="H65" s="1511" t="s">
        <v>1233</v>
      </c>
      <c r="I65" s="947"/>
    </row>
    <row r="66" spans="1:9 16384:16384" ht="16.2" thickBot="1">
      <c r="A66" s="2166" t="s">
        <v>1234</v>
      </c>
      <c r="B66" s="2166"/>
      <c r="C66" s="2166"/>
      <c r="D66" s="2166"/>
      <c r="E66" s="1729">
        <f>IF($G$18&lt;1,0,SUM(E61:E65))</f>
        <v>0</v>
      </c>
      <c r="F66" s="1730">
        <f t="shared" si="5"/>
        <v>0</v>
      </c>
      <c r="G66" s="1731"/>
      <c r="H66" s="1732"/>
      <c r="I66" s="1733"/>
    </row>
    <row r="67" spans="1:9 16384:16384" ht="16.2" thickBot="1">
      <c r="A67" s="1734" t="s">
        <v>1235</v>
      </c>
      <c r="B67" s="2355"/>
      <c r="C67" s="2355"/>
      <c r="D67" s="2355"/>
      <c r="E67" s="2355"/>
      <c r="F67" s="2355"/>
      <c r="G67" s="2355"/>
      <c r="H67" s="2355"/>
      <c r="I67" s="2356"/>
    </row>
    <row r="68" spans="1:9 16384:16384" ht="15" customHeight="1">
      <c r="A68" s="1425" t="s">
        <v>1236</v>
      </c>
      <c r="B68" s="2032">
        <f>IF(AND($G$18&gt;1,'Input''s from BD(Sales)'!B11='Input''s from BD(Sales)'!A159),'Input''s from Initial Design'!I374*8,'Input''s from Initial Design'!I374)</f>
        <v>381600</v>
      </c>
      <c r="C68" s="959">
        <f>IF('Input''s from BD(Sales)'!B61='Input''s from Initial Design'!B381,1,0)</f>
        <v>0</v>
      </c>
      <c r="D68" s="960" t="s">
        <v>1237</v>
      </c>
      <c r="E68" s="1578">
        <f>IF($G$18&lt;1,0,B68*C68)</f>
        <v>0</v>
      </c>
      <c r="F68" s="1581">
        <f t="shared" ref="F68:F73" si="6">E68/$G$18/1000</f>
        <v>0</v>
      </c>
      <c r="G68" s="1788" t="str">
        <f>'Input''s from Initial Design'!AN93&amp;" Set's of Spare Feeder Extention"</f>
        <v>2 Set's of Spare Feeder Extention</v>
      </c>
      <c r="H68" s="2288" t="s">
        <v>1238</v>
      </c>
      <c r="I68" s="961"/>
      <c r="XFD68" s="160"/>
    </row>
    <row r="69" spans="1:9 16384:16384">
      <c r="A69" s="1426" t="s">
        <v>1239</v>
      </c>
      <c r="B69" s="1442">
        <f>IF('Input''s from BD(Sales)'!B11='Input''s from BD(Sales)'!A159,'Input''s from Initial Design'!AE159*6,'Input''s from Initial Design'!AE159)</f>
        <v>344336</v>
      </c>
      <c r="C69" s="962">
        <f>IF(G18&gt;1,1,0)</f>
        <v>1</v>
      </c>
      <c r="D69" s="942" t="s">
        <v>1237</v>
      </c>
      <c r="E69" s="1594">
        <f>IF(C69&lt;&gt;1,0,B69*C69)</f>
        <v>344336</v>
      </c>
      <c r="F69" s="1582">
        <f t="shared" si="6"/>
        <v>0.85972236093079002</v>
      </c>
      <c r="G69" s="1789" t="str">
        <f>'Input''s from Initial Design'!AN93&amp;" Set's of ACCB Panels"</f>
        <v>2 Set's of ACCB Panels</v>
      </c>
      <c r="H69" s="2289"/>
      <c r="I69" s="963"/>
    </row>
    <row r="70" spans="1:9 16384:16384">
      <c r="A70" s="1426" t="s">
        <v>1240</v>
      </c>
      <c r="B70" s="1442">
        <f>IF(G18&lt;1,0,'Input''s from Initial Design'!I354)</f>
        <v>37092</v>
      </c>
      <c r="C70" s="964">
        <f>IF(G8='Input''s from BD(Sales)'!A281,1,0)</f>
        <v>0</v>
      </c>
      <c r="D70" s="965" t="s">
        <v>1237</v>
      </c>
      <c r="E70" s="1594">
        <f>IF($G$8='Input''s from BD(Sales)'!A281,B70*C70,0)</f>
        <v>0</v>
      </c>
      <c r="F70" s="1582">
        <f t="shared" si="6"/>
        <v>0</v>
      </c>
      <c r="G70" s="1789" t="str">
        <f>'Input''s from Initial Design'!AN93&amp;" Set's of NVR or UVR Panels"</f>
        <v>2 Set's of NVR or UVR Panels</v>
      </c>
      <c r="H70" s="2289"/>
      <c r="I70" s="963"/>
    </row>
    <row r="71" spans="1:9 16384:16384">
      <c r="A71" s="1426" t="s">
        <v>1241</v>
      </c>
      <c r="B71" s="1442">
        <f>IF(G18&lt;1,0,'Input''s from Initial Design'!O372)</f>
        <v>74000</v>
      </c>
      <c r="C71" s="964">
        <f>IF(G8='Input''s from BD(Sales)'!A275,1,0)</f>
        <v>0</v>
      </c>
      <c r="D71" s="965" t="s">
        <v>1237</v>
      </c>
      <c r="E71" s="1594">
        <f>IF($G$8='Input''s from BD(Sales)'!A275,B71*C71,0)</f>
        <v>0</v>
      </c>
      <c r="F71" s="1582">
        <f t="shared" si="6"/>
        <v>0</v>
      </c>
      <c r="G71" s="1923" t="str">
        <f>'Input''s from Initial Design'!AN93&amp;" Set's of Contractor or ACB Panels"</f>
        <v>2 Set's of Contractor or ACB Panels</v>
      </c>
      <c r="H71" s="2289"/>
      <c r="I71" s="963"/>
    </row>
    <row r="72" spans="1:9 16384:16384" ht="15" thickBot="1">
      <c r="A72" s="1443" t="s">
        <v>1242</v>
      </c>
      <c r="B72" s="1715">
        <v>0</v>
      </c>
      <c r="C72" s="966">
        <v>0</v>
      </c>
      <c r="D72" s="946" t="s">
        <v>1196</v>
      </c>
      <c r="E72" s="1595">
        <f>IF($G$18&lt;1,0,B72*C72)</f>
        <v>0</v>
      </c>
      <c r="F72" s="1583">
        <f t="shared" si="6"/>
        <v>0</v>
      </c>
      <c r="G72" s="1596"/>
      <c r="H72" s="2290"/>
      <c r="I72" s="967"/>
    </row>
    <row r="73" spans="1:9 16384:16384" ht="16.2" thickBot="1">
      <c r="A73" s="2166" t="s">
        <v>1243</v>
      </c>
      <c r="B73" s="2166"/>
      <c r="C73" s="2166"/>
      <c r="D73" s="2166"/>
      <c r="E73" s="1729">
        <f>IF($G$18&lt;1,0,SUM(E68:E72))</f>
        <v>344336</v>
      </c>
      <c r="F73" s="1739">
        <f t="shared" si="6"/>
        <v>0.85972236093079002</v>
      </c>
      <c r="G73" s="1740"/>
      <c r="H73" s="1741"/>
      <c r="I73" s="1742"/>
    </row>
    <row r="74" spans="1:9 16384:16384" ht="16.2" thickBot="1">
      <c r="A74" s="1743" t="s">
        <v>1244</v>
      </c>
      <c r="B74" s="2180"/>
      <c r="C74" s="2180"/>
      <c r="D74" s="2180"/>
      <c r="E74" s="2180"/>
      <c r="F74" s="2180"/>
      <c r="G74" s="2180"/>
      <c r="H74" s="2180"/>
      <c r="I74" s="2181"/>
    </row>
    <row r="75" spans="1:9 16384:16384">
      <c r="A75" s="1444" t="s">
        <v>1245</v>
      </c>
      <c r="B75" s="1445">
        <f>VLOOKUP(H75,A556:B559,2,0)-1</f>
        <v>57</v>
      </c>
      <c r="C75" s="1638">
        <f>'Input''s from Initial Design'!AN55</f>
        <v>4050</v>
      </c>
      <c r="D75" s="936" t="s">
        <v>1246</v>
      </c>
      <c r="E75" s="1593">
        <f>IF(H75=0,0,B75*C75)</f>
        <v>230850</v>
      </c>
      <c r="F75" s="1589">
        <f>E75/$G$18/1000</f>
        <v>0.5763757115749526</v>
      </c>
      <c r="G75" s="1766" t="str">
        <f>'Input''s from Initial Design'!V184&amp;" Mtrs "&amp;"Positive"&amp;" &amp; " &amp;'Input''s from Initial Design'!V185&amp;" Mtrs "&amp;"Negative"</f>
        <v>2025 Mtrs Positive &amp; 2025 Mtrs Negative</v>
      </c>
      <c r="H75" s="2340" t="s">
        <v>1247</v>
      </c>
      <c r="I75" s="968"/>
    </row>
    <row r="76" spans="1:9 16384:16384" ht="15" thickBot="1">
      <c r="A76" s="1446" t="s">
        <v>1248</v>
      </c>
      <c r="B76" s="1447">
        <f>VLOOKUP(H75,A562:B565,2,0)</f>
        <v>78</v>
      </c>
      <c r="C76" s="1639">
        <f>'Input''s from Initial Design'!AO55</f>
        <v>0</v>
      </c>
      <c r="D76" s="956" t="s">
        <v>1246</v>
      </c>
      <c r="E76" s="1587">
        <f>IF(H75=0,0,B76*C76)</f>
        <v>0</v>
      </c>
      <c r="F76" s="1592">
        <f>E76/$G$18/1000</f>
        <v>0</v>
      </c>
      <c r="G76" s="1766" t="str">
        <f>'Input''s from Initial Design'!V186&amp;" Mtrs"&amp;" Positive"&amp;" &amp; " &amp;'Input''s from Initial Design'!V187&amp;" Mtrs"&amp;" Negative"</f>
        <v>0 Mtrs Positive &amp; 0 Mtrs Negative</v>
      </c>
      <c r="H76" s="2340"/>
      <c r="I76" s="969"/>
    </row>
    <row r="77" spans="1:9 16384:16384" ht="16.2" thickBot="1">
      <c r="A77" s="2166" t="s">
        <v>1249</v>
      </c>
      <c r="B77" s="2166"/>
      <c r="C77" s="2166"/>
      <c r="D77" s="2166"/>
      <c r="E77" s="1729">
        <f>IF($G$18&lt;1,0,SUM(E75:E76))</f>
        <v>230850</v>
      </c>
      <c r="F77" s="1730">
        <f>E77/$G$18/1000</f>
        <v>0.5763757115749526</v>
      </c>
      <c r="G77" s="2319"/>
      <c r="H77" s="2320"/>
      <c r="I77" s="2321"/>
    </row>
    <row r="78" spans="1:9 16384:16384" ht="16.2" thickBot="1">
      <c r="A78" s="1734" t="s">
        <v>1250</v>
      </c>
      <c r="B78" s="2180"/>
      <c r="C78" s="2180"/>
      <c r="D78" s="2180"/>
      <c r="E78" s="2180"/>
      <c r="F78" s="2180"/>
      <c r="G78" s="2180"/>
      <c r="H78" s="2180"/>
      <c r="I78" s="2181"/>
    </row>
    <row r="79" spans="1:9 16384:16384">
      <c r="A79" s="1448" t="s">
        <v>1251</v>
      </c>
      <c r="B79" s="1449">
        <v>1168</v>
      </c>
      <c r="C79" s="970">
        <f>SUM(C41:C43)*2</f>
        <v>0</v>
      </c>
      <c r="D79" s="936" t="s">
        <v>1246</v>
      </c>
      <c r="E79" s="1593">
        <f>IF($G$18&lt;1,0,B79*C79)</f>
        <v>0</v>
      </c>
      <c r="F79" s="1589">
        <f>E79/$G$18/1000</f>
        <v>0</v>
      </c>
      <c r="G79" s="1767" t="str">
        <f>SUM(C41:C43) &amp;" Run's of cables with 2 mtrs each on inverters"</f>
        <v>0 Run's of cables with 2 mtrs each on inverters</v>
      </c>
      <c r="H79" s="2287" t="s">
        <v>1252</v>
      </c>
      <c r="I79" s="971"/>
    </row>
    <row r="80" spans="1:9 16384:16384" ht="15" thickBot="1">
      <c r="A80" s="1450" t="s">
        <v>1253</v>
      </c>
      <c r="B80" s="1451">
        <v>2336</v>
      </c>
      <c r="C80" s="972">
        <f>SUM(C39:C40)*2</f>
        <v>0</v>
      </c>
      <c r="D80" s="956" t="s">
        <v>1246</v>
      </c>
      <c r="E80" s="1575">
        <f>IF($G$18&lt;1,0,B80*C80)</f>
        <v>0</v>
      </c>
      <c r="F80" s="1592">
        <f>E80/$G$18/1000</f>
        <v>0</v>
      </c>
      <c r="G80" s="1768" t="str">
        <f>SUM(C39:C40) &amp; " Run's of cables with 2 mtrs each on inverters"</f>
        <v>0 Run's of cables with 2 mtrs each on inverters</v>
      </c>
      <c r="H80" s="2287"/>
      <c r="I80" s="973"/>
    </row>
    <row r="81" spans="1:9" ht="16.2" thickBot="1">
      <c r="A81" s="2166" t="s">
        <v>1254</v>
      </c>
      <c r="B81" s="2166"/>
      <c r="C81" s="2166"/>
      <c r="D81" s="2166"/>
      <c r="E81" s="1729">
        <f>IF($G$18&lt;1,0,SUM(E79:E80))</f>
        <v>0</v>
      </c>
      <c r="F81" s="1730">
        <f>E81/$G$18/1000</f>
        <v>0</v>
      </c>
      <c r="G81" s="1744"/>
      <c r="H81" s="1745"/>
      <c r="I81" s="1746"/>
    </row>
    <row r="82" spans="1:9" ht="16.2" thickBot="1">
      <c r="A82" s="1734" t="s">
        <v>1255</v>
      </c>
      <c r="B82" s="2180"/>
      <c r="C82" s="2180"/>
      <c r="D82" s="2180"/>
      <c r="E82" s="2180"/>
      <c r="F82" s="2180"/>
      <c r="G82" s="2238"/>
      <c r="H82" s="2180"/>
      <c r="I82" s="2181"/>
    </row>
    <row r="83" spans="1:9">
      <c r="A83" s="1448" t="s">
        <v>1256</v>
      </c>
      <c r="B83" s="1449">
        <f t="shared" ref="B83:B93" si="7">B96</f>
        <v>176.08</v>
      </c>
      <c r="C83" s="970">
        <f>'Input''s from Initial Design'!Q170</f>
        <v>0</v>
      </c>
      <c r="D83" s="936" t="s">
        <v>1246</v>
      </c>
      <c r="E83" s="1593">
        <f t="shared" ref="E83:E93" si="8">IF($G$18&lt;1,0,B83*C83)</f>
        <v>0</v>
      </c>
      <c r="F83" s="1589">
        <f t="shared" ref="F83:F94" si="9">E83/$G$18/1000</f>
        <v>0</v>
      </c>
      <c r="G83" s="1767" t="str">
        <f>'Input''s from Initial Design'!O170 &amp; " Run's"</f>
        <v>0 Run's</v>
      </c>
      <c r="H83" s="2299" t="s">
        <v>1252</v>
      </c>
      <c r="I83" s="968"/>
    </row>
    <row r="84" spans="1:9">
      <c r="A84" s="1452" t="s">
        <v>1257</v>
      </c>
      <c r="B84" s="1453">
        <f t="shared" si="7"/>
        <v>194.06</v>
      </c>
      <c r="C84" s="970">
        <f>'Input''s from Initial Design'!Q171</f>
        <v>0</v>
      </c>
      <c r="D84" s="954" t="s">
        <v>1246</v>
      </c>
      <c r="E84" s="1593">
        <f t="shared" si="8"/>
        <v>0</v>
      </c>
      <c r="F84" s="1591">
        <f t="shared" si="9"/>
        <v>0</v>
      </c>
      <c r="G84" s="1794" t="str">
        <f>'Input''s from Initial Design'!O171 &amp; " Run's"</f>
        <v>0 Run's</v>
      </c>
      <c r="H84" s="2299"/>
      <c r="I84" s="974"/>
    </row>
    <row r="85" spans="1:9">
      <c r="A85" s="1452" t="s">
        <v>1258</v>
      </c>
      <c r="B85" s="1453">
        <f t="shared" si="7"/>
        <v>250.79</v>
      </c>
      <c r="C85" s="970">
        <f>'Input''s from Initial Design'!Q172</f>
        <v>0</v>
      </c>
      <c r="D85" s="954" t="s">
        <v>1246</v>
      </c>
      <c r="E85" s="1593">
        <f t="shared" si="8"/>
        <v>0</v>
      </c>
      <c r="F85" s="1591">
        <f t="shared" si="9"/>
        <v>0</v>
      </c>
      <c r="G85" s="1794" t="str">
        <f>'Input''s from Initial Design'!O172 &amp; " Run's"</f>
        <v>0 Run's</v>
      </c>
      <c r="H85" s="2299"/>
      <c r="I85" s="974"/>
    </row>
    <row r="86" spans="1:9">
      <c r="A86" s="1452" t="s">
        <v>1259</v>
      </c>
      <c r="B86" s="1453">
        <f t="shared" si="7"/>
        <v>334.18</v>
      </c>
      <c r="C86" s="970">
        <f>'Input''s from Initial Design'!Q173</f>
        <v>0</v>
      </c>
      <c r="D86" s="954" t="s">
        <v>1246</v>
      </c>
      <c r="E86" s="1593">
        <f t="shared" si="8"/>
        <v>0</v>
      </c>
      <c r="F86" s="1591">
        <f t="shared" si="9"/>
        <v>0</v>
      </c>
      <c r="G86" s="1794" t="str">
        <f>'Input''s from Initial Design'!O173 &amp; " Run's"</f>
        <v>0 Run's</v>
      </c>
      <c r="H86" s="2299"/>
      <c r="I86" s="974"/>
    </row>
    <row r="87" spans="1:9">
      <c r="A87" s="1452" t="s">
        <v>1260</v>
      </c>
      <c r="B87" s="1453">
        <f t="shared" si="7"/>
        <v>455.39</v>
      </c>
      <c r="C87" s="970">
        <f>'Input''s from Initial Design'!Q174</f>
        <v>0</v>
      </c>
      <c r="D87" s="954" t="s">
        <v>1246</v>
      </c>
      <c r="E87" s="1593">
        <f t="shared" si="8"/>
        <v>0</v>
      </c>
      <c r="F87" s="1591">
        <f t="shared" si="9"/>
        <v>0</v>
      </c>
      <c r="G87" s="1794" t="str">
        <f>'Input''s from Initial Design'!O174 &amp; " Run's"</f>
        <v>0 Run's</v>
      </c>
      <c r="H87" s="2299"/>
      <c r="I87" s="974"/>
    </row>
    <row r="88" spans="1:9">
      <c r="A88" s="1452" t="s">
        <v>1261</v>
      </c>
      <c r="B88" s="1453">
        <f t="shared" si="7"/>
        <v>576.6</v>
      </c>
      <c r="C88" s="970">
        <f>'Input''s from Initial Design'!Q175</f>
        <v>0</v>
      </c>
      <c r="D88" s="954" t="s">
        <v>1246</v>
      </c>
      <c r="E88" s="1593">
        <f t="shared" si="8"/>
        <v>0</v>
      </c>
      <c r="F88" s="1591">
        <f t="shared" si="9"/>
        <v>0</v>
      </c>
      <c r="G88" s="1794" t="str">
        <f>'Input''s from Initial Design'!O175 &amp; " Run's"</f>
        <v>0 Run's</v>
      </c>
      <c r="H88" s="2299"/>
      <c r="I88" s="974"/>
    </row>
    <row r="89" spans="1:9">
      <c r="A89" s="1452" t="s">
        <v>1262</v>
      </c>
      <c r="B89" s="1453">
        <f t="shared" si="7"/>
        <v>722.92</v>
      </c>
      <c r="C89" s="970">
        <f>'Input''s from Initial Design'!Q176</f>
        <v>0</v>
      </c>
      <c r="D89" s="954" t="s">
        <v>1246</v>
      </c>
      <c r="E89" s="1593">
        <f t="shared" si="8"/>
        <v>0</v>
      </c>
      <c r="F89" s="1591">
        <f t="shared" si="9"/>
        <v>0</v>
      </c>
      <c r="G89" s="1794" t="str">
        <f>'Input''s from Initial Design'!O176 &amp; " Run's"</f>
        <v>0 Run's</v>
      </c>
      <c r="H89" s="2299"/>
      <c r="I89" s="974"/>
    </row>
    <row r="90" spans="1:9">
      <c r="A90" s="1452" t="s">
        <v>1263</v>
      </c>
      <c r="B90" s="1453">
        <f t="shared" si="7"/>
        <v>843.2</v>
      </c>
      <c r="C90" s="970">
        <f>'Input''s from Initial Design'!Q177</f>
        <v>0</v>
      </c>
      <c r="D90" s="954" t="s">
        <v>1246</v>
      </c>
      <c r="E90" s="1593">
        <f t="shared" si="8"/>
        <v>0</v>
      </c>
      <c r="F90" s="1591">
        <f t="shared" si="9"/>
        <v>0</v>
      </c>
      <c r="G90" s="1794" t="str">
        <f>'Input''s from Initial Design'!O177 &amp; " Run's"</f>
        <v>0 Run's</v>
      </c>
      <c r="H90" s="2299"/>
      <c r="I90" s="974"/>
    </row>
    <row r="91" spans="1:9">
      <c r="A91" s="1452" t="s">
        <v>1264</v>
      </c>
      <c r="B91" s="1453">
        <f t="shared" si="7"/>
        <v>1066.71</v>
      </c>
      <c r="C91" s="970">
        <f>'Input''s from Initial Design'!Q178</f>
        <v>0</v>
      </c>
      <c r="D91" s="954" t="s">
        <v>1246</v>
      </c>
      <c r="E91" s="1593">
        <f t="shared" si="8"/>
        <v>0</v>
      </c>
      <c r="F91" s="1591">
        <f t="shared" si="9"/>
        <v>0</v>
      </c>
      <c r="G91" s="1794" t="str">
        <f>'Input''s from Initial Design'!O178 &amp; " Run's"</f>
        <v>0 Run's</v>
      </c>
      <c r="H91" s="2299"/>
      <c r="I91" s="974"/>
    </row>
    <row r="92" spans="1:9">
      <c r="A92" s="1452" t="s">
        <v>1265</v>
      </c>
      <c r="B92" s="1453">
        <f t="shared" si="7"/>
        <v>1359.66</v>
      </c>
      <c r="C92" s="970">
        <f>'Input''s from Initial Design'!Q179</f>
        <v>0</v>
      </c>
      <c r="D92" s="954" t="s">
        <v>1246</v>
      </c>
      <c r="E92" s="1593">
        <f t="shared" si="8"/>
        <v>0</v>
      </c>
      <c r="F92" s="1591">
        <f t="shared" si="9"/>
        <v>0</v>
      </c>
      <c r="G92" s="1794" t="str">
        <f>'Input''s from Initial Design'!O179 &amp; " Run's"</f>
        <v>0 Run's</v>
      </c>
      <c r="H92" s="2299"/>
      <c r="I92" s="974"/>
    </row>
    <row r="93" spans="1:9" ht="15" thickBot="1">
      <c r="A93" s="1454" t="s">
        <v>1266</v>
      </c>
      <c r="B93" s="1451">
        <f t="shared" si="7"/>
        <v>1686.4</v>
      </c>
      <c r="C93" s="972">
        <f>'Input''s from Initial Design'!Q180</f>
        <v>20</v>
      </c>
      <c r="D93" s="956" t="s">
        <v>1246</v>
      </c>
      <c r="E93" s="1575">
        <f t="shared" si="8"/>
        <v>33728</v>
      </c>
      <c r="F93" s="1592">
        <f t="shared" si="9"/>
        <v>8.4210526315789486E-2</v>
      </c>
      <c r="G93" s="1795" t="str">
        <f>'Input''s from Initial Design'!O180 &amp; " Run's"</f>
        <v>2 Run's</v>
      </c>
      <c r="H93" s="2299"/>
      <c r="I93" s="973"/>
    </row>
    <row r="94" spans="1:9" ht="16.2" thickBot="1">
      <c r="A94" s="2166" t="s">
        <v>1267</v>
      </c>
      <c r="B94" s="2166"/>
      <c r="C94" s="2166"/>
      <c r="D94" s="2166"/>
      <c r="E94" s="1729">
        <f>IF($G$18&lt;1,0,SUM(E83:E93))</f>
        <v>33728</v>
      </c>
      <c r="F94" s="1730">
        <f t="shared" si="9"/>
        <v>8.4210526315789486E-2</v>
      </c>
      <c r="G94" s="1747"/>
      <c r="H94" s="1745"/>
      <c r="I94" s="1746"/>
    </row>
    <row r="95" spans="1:9" ht="16.2" thickBot="1">
      <c r="A95" s="1734" t="s">
        <v>1268</v>
      </c>
      <c r="B95" s="2180"/>
      <c r="C95" s="2180"/>
      <c r="D95" s="2180"/>
      <c r="E95" s="2180"/>
      <c r="F95" s="2180"/>
      <c r="G95" s="2180"/>
      <c r="H95" s="2180"/>
      <c r="I95" s="2181"/>
    </row>
    <row r="96" spans="1:9">
      <c r="A96" s="1448" t="s">
        <v>1269</v>
      </c>
      <c r="B96" s="1455">
        <v>176.08</v>
      </c>
      <c r="C96" s="975">
        <f>'Input''s from Initial Design'!V170</f>
        <v>0</v>
      </c>
      <c r="D96" s="936" t="s">
        <v>1246</v>
      </c>
      <c r="E96" s="1593">
        <f t="shared" ref="E96:E106" si="10">IF($G$18&lt;1,0,B96*C96)</f>
        <v>0</v>
      </c>
      <c r="F96" s="1589">
        <f t="shared" ref="F96:F107" si="11">E96/$G$18/1000</f>
        <v>0</v>
      </c>
      <c r="G96" s="1796" t="str">
        <f>'Input''s from Initial Design'!W170 &amp; " Run's"</f>
        <v>0 Run's</v>
      </c>
      <c r="H96" s="2287" t="s">
        <v>1252</v>
      </c>
      <c r="I96" s="968"/>
    </row>
    <row r="97" spans="1:13">
      <c r="A97" s="1452" t="s">
        <v>1257</v>
      </c>
      <c r="B97" s="1456">
        <v>194.06</v>
      </c>
      <c r="C97" s="976">
        <f>'Input''s from Initial Design'!V171</f>
        <v>0</v>
      </c>
      <c r="D97" s="954" t="s">
        <v>1246</v>
      </c>
      <c r="E97" s="1586">
        <f t="shared" si="10"/>
        <v>0</v>
      </c>
      <c r="F97" s="1591">
        <f t="shared" si="11"/>
        <v>0</v>
      </c>
      <c r="G97" s="1796" t="str">
        <f>'Input''s from Initial Design'!W171 &amp; " Run's"</f>
        <v>0 Run's</v>
      </c>
      <c r="H97" s="2287"/>
      <c r="I97" s="974"/>
    </row>
    <row r="98" spans="1:13">
      <c r="A98" s="1452" t="s">
        <v>1258</v>
      </c>
      <c r="B98" s="1456">
        <v>250.79</v>
      </c>
      <c r="C98" s="976">
        <f>'Input''s from Initial Design'!V172</f>
        <v>0</v>
      </c>
      <c r="D98" s="954" t="s">
        <v>1246</v>
      </c>
      <c r="E98" s="1586">
        <f t="shared" si="10"/>
        <v>0</v>
      </c>
      <c r="F98" s="1591">
        <f t="shared" si="11"/>
        <v>0</v>
      </c>
      <c r="G98" s="1796" t="str">
        <f>'Input''s from Initial Design'!W172 &amp; " Run's"</f>
        <v>0 Run's</v>
      </c>
      <c r="H98" s="2287"/>
      <c r="I98" s="974"/>
    </row>
    <row r="99" spans="1:13">
      <c r="A99" s="1452" t="s">
        <v>1259</v>
      </c>
      <c r="B99" s="1456">
        <v>334.18</v>
      </c>
      <c r="C99" s="976">
        <f>'Input''s from Initial Design'!V173</f>
        <v>0</v>
      </c>
      <c r="D99" s="954" t="s">
        <v>1246</v>
      </c>
      <c r="E99" s="1586">
        <f t="shared" si="10"/>
        <v>0</v>
      </c>
      <c r="F99" s="1591">
        <f t="shared" si="11"/>
        <v>0</v>
      </c>
      <c r="G99" s="1796" t="str">
        <f>'Input''s from Initial Design'!W173 &amp; " Run's"</f>
        <v>0 Run's</v>
      </c>
      <c r="H99" s="2287"/>
      <c r="I99" s="974"/>
    </row>
    <row r="100" spans="1:13">
      <c r="A100" s="1452" t="s">
        <v>1260</v>
      </c>
      <c r="B100" s="1456">
        <v>455.39</v>
      </c>
      <c r="C100" s="976">
        <f>'Input''s from Initial Design'!V174</f>
        <v>0</v>
      </c>
      <c r="D100" s="954" t="s">
        <v>1246</v>
      </c>
      <c r="E100" s="1586">
        <f t="shared" si="10"/>
        <v>0</v>
      </c>
      <c r="F100" s="1591">
        <f t="shared" si="11"/>
        <v>0</v>
      </c>
      <c r="G100" s="1796" t="str">
        <f>'Input''s from Initial Design'!W174 &amp; " Run's"</f>
        <v>0 Run's</v>
      </c>
      <c r="H100" s="2287"/>
      <c r="I100" s="974"/>
    </row>
    <row r="101" spans="1:13">
      <c r="A101" s="1452" t="s">
        <v>1261</v>
      </c>
      <c r="B101" s="1456">
        <v>576.6</v>
      </c>
      <c r="C101" s="976">
        <f>'Input''s from Initial Design'!V175</f>
        <v>0</v>
      </c>
      <c r="D101" s="954" t="s">
        <v>1246</v>
      </c>
      <c r="E101" s="1586">
        <f t="shared" si="10"/>
        <v>0</v>
      </c>
      <c r="F101" s="1591">
        <f t="shared" si="11"/>
        <v>0</v>
      </c>
      <c r="G101" s="1796" t="str">
        <f>'Input''s from Initial Design'!W175 &amp; " Run's"</f>
        <v>0 Run's</v>
      </c>
      <c r="H101" s="2287"/>
      <c r="I101" s="974"/>
    </row>
    <row r="102" spans="1:13">
      <c r="A102" s="1452" t="s">
        <v>1262</v>
      </c>
      <c r="B102" s="1456">
        <v>722.92</v>
      </c>
      <c r="C102" s="976">
        <f>'Input''s from Initial Design'!V176</f>
        <v>0</v>
      </c>
      <c r="D102" s="954" t="s">
        <v>1246</v>
      </c>
      <c r="E102" s="1586">
        <f t="shared" si="10"/>
        <v>0</v>
      </c>
      <c r="F102" s="1591">
        <f t="shared" si="11"/>
        <v>0</v>
      </c>
      <c r="G102" s="1796" t="str">
        <f>'Input''s from Initial Design'!W176 &amp; " Run's"</f>
        <v>0 Run's</v>
      </c>
      <c r="H102" s="2287"/>
      <c r="I102" s="974"/>
    </row>
    <row r="103" spans="1:13">
      <c r="A103" s="1452" t="s">
        <v>1263</v>
      </c>
      <c r="B103" s="1456">
        <v>843.2</v>
      </c>
      <c r="C103" s="976">
        <f>'Input''s from Initial Design'!V177</f>
        <v>0</v>
      </c>
      <c r="D103" s="954" t="s">
        <v>1246</v>
      </c>
      <c r="E103" s="1586">
        <f t="shared" si="10"/>
        <v>0</v>
      </c>
      <c r="F103" s="1591">
        <f t="shared" si="11"/>
        <v>0</v>
      </c>
      <c r="G103" s="1796" t="str">
        <f>'Input''s from Initial Design'!W177 &amp; " Run's"</f>
        <v>0 Run's</v>
      </c>
      <c r="H103" s="2287"/>
      <c r="I103" s="974"/>
    </row>
    <row r="104" spans="1:13">
      <c r="A104" s="1452" t="s">
        <v>1264</v>
      </c>
      <c r="B104" s="1456">
        <v>1066.71</v>
      </c>
      <c r="C104" s="976">
        <f>'Input''s from Initial Design'!V178</f>
        <v>440</v>
      </c>
      <c r="D104" s="954" t="s">
        <v>1246</v>
      </c>
      <c r="E104" s="1586">
        <f t="shared" si="10"/>
        <v>469352.4</v>
      </c>
      <c r="F104" s="1591">
        <f t="shared" si="11"/>
        <v>1.1718575851393191</v>
      </c>
      <c r="G104" s="1796" t="str">
        <f>'Input''s from Initial Design'!W178 &amp; " Run's"</f>
        <v>2 Run's</v>
      </c>
      <c r="H104" s="2287"/>
      <c r="I104" s="974"/>
    </row>
    <row r="105" spans="1:13">
      <c r="A105" s="1452" t="s">
        <v>1265</v>
      </c>
      <c r="B105" s="1456">
        <v>1359.66</v>
      </c>
      <c r="C105" s="976">
        <f>'Input''s from Initial Design'!V179</f>
        <v>0</v>
      </c>
      <c r="D105" s="954" t="s">
        <v>1246</v>
      </c>
      <c r="E105" s="1586">
        <f t="shared" si="10"/>
        <v>0</v>
      </c>
      <c r="F105" s="1591">
        <f t="shared" si="11"/>
        <v>0</v>
      </c>
      <c r="G105" s="1796" t="str">
        <f>'Input''s from Initial Design'!W179 &amp; " Run's"</f>
        <v>0 Run's</v>
      </c>
      <c r="H105" s="2287"/>
      <c r="I105" s="974"/>
      <c r="K105" s="159"/>
    </row>
    <row r="106" spans="1:13" ht="15" thickBot="1">
      <c r="A106" s="1454" t="s">
        <v>1266</v>
      </c>
      <c r="B106" s="1457">
        <v>1686.4</v>
      </c>
      <c r="C106" s="979">
        <f>'Input''s from Initial Design'!V180</f>
        <v>170</v>
      </c>
      <c r="D106" s="956" t="s">
        <v>1246</v>
      </c>
      <c r="E106" s="1597">
        <f t="shared" si="10"/>
        <v>286688</v>
      </c>
      <c r="F106" s="1598">
        <f t="shared" si="11"/>
        <v>0.71578947368421053</v>
      </c>
      <c r="G106" s="1796" t="str">
        <f>'Input''s from Initial Design'!W180 &amp; " Run's"</f>
        <v>1 Run's</v>
      </c>
      <c r="H106" s="2287"/>
      <c r="I106" s="973"/>
    </row>
    <row r="107" spans="1:13" ht="16.2" thickBot="1">
      <c r="A107" s="2166" t="s">
        <v>1270</v>
      </c>
      <c r="B107" s="2166"/>
      <c r="C107" s="2166"/>
      <c r="D107" s="2302"/>
      <c r="E107" s="1729">
        <f>IF($G$18&lt;1,0,SUM(E96:E106))</f>
        <v>756040.4</v>
      </c>
      <c r="F107" s="1748">
        <f t="shared" si="11"/>
        <v>1.8876470588235295</v>
      </c>
      <c r="G107" s="1744"/>
      <c r="H107" s="1745"/>
      <c r="I107" s="1746"/>
    </row>
    <row r="108" spans="1:13" ht="16.2" thickBot="1">
      <c r="A108" s="1749" t="s">
        <v>1271</v>
      </c>
      <c r="B108" s="2294"/>
      <c r="C108" s="2294"/>
      <c r="D108" s="2294"/>
      <c r="E108" s="2294"/>
      <c r="F108" s="2294"/>
      <c r="G108" s="2294"/>
      <c r="H108" s="2294"/>
      <c r="I108" s="2295"/>
    </row>
    <row r="109" spans="1:13" ht="15" thickBot="1">
      <c r="A109" s="1072" t="s">
        <v>1272</v>
      </c>
      <c r="B109" s="1430">
        <f>1.06*59</f>
        <v>62.540000000000006</v>
      </c>
      <c r="C109" s="975">
        <f>IF(E314&gt;0,0,ROUNDUP(('Input''s from Initial Design'!F55/2),0)*0.35*1.2)</f>
        <v>135.66</v>
      </c>
      <c r="D109" s="936" t="s">
        <v>1246</v>
      </c>
      <c r="E109" s="1593">
        <f>IF($G$18&lt;1,0,B109*C109)</f>
        <v>8484.1764000000003</v>
      </c>
      <c r="F109" s="1877">
        <f>E109/$G$18/1000</f>
        <v>2.1182903225806453E-2</v>
      </c>
      <c r="G109" s="1769" t="str">
        <f>SUM('Input''s from Initial Design'!F55) &amp;" no. of Modules with 200 mm cut length cable"</f>
        <v>646 no. of Modules with 200 mm cut length cable</v>
      </c>
      <c r="H109" s="2287" t="s">
        <v>1252</v>
      </c>
      <c r="I109" s="1784"/>
    </row>
    <row r="110" spans="1:13" ht="15" thickBot="1">
      <c r="A110" s="1428" t="s">
        <v>1273</v>
      </c>
      <c r="B110" s="1431">
        <f>1.06*376</f>
        <v>398.56</v>
      </c>
      <c r="C110" s="976">
        <f>2*SUM(C42:C43)</f>
        <v>0</v>
      </c>
      <c r="D110" s="954" t="s">
        <v>1246</v>
      </c>
      <c r="E110" s="1586">
        <f t="shared" ref="E110:E119" si="12">IF($G$18&lt;1,0,B110*C110)</f>
        <v>0</v>
      </c>
      <c r="F110" s="1591">
        <f t="shared" ref="F110:F121" si="13">E110/$G$18/1000</f>
        <v>0</v>
      </c>
      <c r="G110" s="1769" t="str">
        <f>SUM(C42:C43) &amp;" Run's of cables with 2 mtrs on each inverters"</f>
        <v>0 Run's of cables with 2 mtrs on each inverters</v>
      </c>
      <c r="H110" s="2296"/>
      <c r="I110" s="978"/>
      <c r="L110" s="177" t="s">
        <v>1274</v>
      </c>
      <c r="M110" s="177" t="s">
        <v>1275</v>
      </c>
    </row>
    <row r="111" spans="1:13" ht="15" thickBot="1">
      <c r="A111" s="1428" t="s">
        <v>1276</v>
      </c>
      <c r="B111" s="1431">
        <f>1.06*557</f>
        <v>590.42000000000007</v>
      </c>
      <c r="C111" s="976">
        <f>2*SUM(C40:C41)</f>
        <v>0</v>
      </c>
      <c r="D111" s="954" t="s">
        <v>1246</v>
      </c>
      <c r="E111" s="1586">
        <f t="shared" si="12"/>
        <v>0</v>
      </c>
      <c r="F111" s="1591">
        <f t="shared" si="13"/>
        <v>0</v>
      </c>
      <c r="G111" s="1769" t="str">
        <f>SUM(C40:C41) &amp;" Run's of cables with 2 mtrs on each inverters"</f>
        <v>0 Run's of cables with 2 mtrs on each inverters</v>
      </c>
      <c r="H111" s="2296"/>
      <c r="I111" s="978"/>
      <c r="L111" s="177">
        <v>4538412683</v>
      </c>
      <c r="M111" s="177">
        <v>4538322698</v>
      </c>
    </row>
    <row r="112" spans="1:13" ht="15" thickBot="1">
      <c r="A112" s="1428" t="s">
        <v>1277</v>
      </c>
      <c r="B112" s="1431">
        <f>1.06*756</f>
        <v>801.36</v>
      </c>
      <c r="C112" s="976">
        <f>2*SUM(C38:C39)</f>
        <v>0</v>
      </c>
      <c r="D112" s="954" t="s">
        <v>1246</v>
      </c>
      <c r="E112" s="1586">
        <f t="shared" si="12"/>
        <v>0</v>
      </c>
      <c r="F112" s="1591">
        <f t="shared" si="13"/>
        <v>0</v>
      </c>
      <c r="G112" s="1769" t="str">
        <f>SUM(C38:C39) &amp;" Run's of cables with 2 mtrs on each inverters"</f>
        <v>0 Run's of cables with 2 mtrs on each inverters</v>
      </c>
      <c r="H112" s="2296"/>
      <c r="I112" s="1659"/>
      <c r="L112" s="177">
        <f>4+5+3+8+4+1+2+6+8+3</f>
        <v>44</v>
      </c>
      <c r="M112" s="177">
        <v>50</v>
      </c>
    </row>
    <row r="113" spans="1:13" ht="15" thickBot="1">
      <c r="A113" s="1428" t="s">
        <v>1278</v>
      </c>
      <c r="B113" s="1431">
        <f>1.06*1021</f>
        <v>1082.26</v>
      </c>
      <c r="C113" s="976">
        <f>SUM(C36:C37)*2</f>
        <v>0</v>
      </c>
      <c r="D113" s="954" t="s">
        <v>1246</v>
      </c>
      <c r="E113" s="1586">
        <f t="shared" si="12"/>
        <v>0</v>
      </c>
      <c r="F113" s="1591">
        <f t="shared" si="13"/>
        <v>0</v>
      </c>
      <c r="G113" s="1769" t="str">
        <f>SUM(C36:C37) &amp;" Run's of cables with 2 mtrs on each inverters"</f>
        <v>0 Run's of cables with 2 mtrs on each inverters</v>
      </c>
      <c r="H113" s="2296"/>
      <c r="I113" s="978"/>
      <c r="L113" s="177">
        <v>8</v>
      </c>
      <c r="M113" s="177">
        <v>5</v>
      </c>
    </row>
    <row r="114" spans="1:13" ht="15" thickBot="1">
      <c r="A114" s="1428" t="s">
        <v>1279</v>
      </c>
      <c r="B114" s="1431">
        <f>1.06*1434</f>
        <v>1520.04</v>
      </c>
      <c r="C114" s="976">
        <f>C123*15+SUM(C34:C35)*2</f>
        <v>19</v>
      </c>
      <c r="D114" s="954" t="s">
        <v>1246</v>
      </c>
      <c r="E114" s="1586">
        <f t="shared" si="12"/>
        <v>28880.76</v>
      </c>
      <c r="F114" s="1591">
        <f t="shared" si="13"/>
        <v>7.2108159392789375E-2</v>
      </c>
      <c r="G114" s="1770" t="str">
        <f>SUM(C34:C35)&amp;" Run's with 2 mtrs each inv. &amp; " &amp;C123&amp;" no. of LA with 20 Mtrs each"</f>
        <v>2 Run's with 2 mtrs each inv. &amp; 1 no. of LA with 20 Mtrs each</v>
      </c>
      <c r="H114" s="2296"/>
      <c r="I114" s="978"/>
    </row>
    <row r="115" spans="1:13" ht="15" thickBot="1">
      <c r="A115" s="1458" t="s">
        <v>1280</v>
      </c>
      <c r="B115" s="1431">
        <f>1.06*394</f>
        <v>417.64000000000004</v>
      </c>
      <c r="C115" s="979">
        <f>25*(C192+C193)</f>
        <v>25</v>
      </c>
      <c r="D115" s="954" t="s">
        <v>1246</v>
      </c>
      <c r="E115" s="1586">
        <f t="shared" si="12"/>
        <v>10441.000000000002</v>
      </c>
      <c r="F115" s="1591">
        <f t="shared" si="13"/>
        <v>2.6068610805952269E-2</v>
      </c>
      <c r="G115" s="1769" t="str">
        <f>SUM(C192:C193) &amp;" Run's of cables with 25 mtrs each on ZFD &amp; DGPD"</f>
        <v>1 Run's of cables with 25 mtrs each on ZFD &amp; DGPD</v>
      </c>
      <c r="H115" s="2296"/>
      <c r="I115" s="978"/>
      <c r="L115" s="156">
        <v>4</v>
      </c>
      <c r="M115" s="156">
        <v>4</v>
      </c>
    </row>
    <row r="116" spans="1:13" ht="15.75" customHeight="1" thickBot="1">
      <c r="A116" s="1428" t="s">
        <v>1281</v>
      </c>
      <c r="B116" s="1459">
        <f>1.06*114</f>
        <v>120.84</v>
      </c>
      <c r="C116" s="980">
        <f>C271*45</f>
        <v>90</v>
      </c>
      <c r="D116" s="981" t="s">
        <v>1246</v>
      </c>
      <c r="E116" s="1586">
        <f t="shared" si="12"/>
        <v>10875.6</v>
      </c>
      <c r="F116" s="1591">
        <f t="shared" si="13"/>
        <v>2.7153700189753324E-2</v>
      </c>
      <c r="G116" s="1769" t="str">
        <f>C271 &amp;" Run's of cables with 45 mtrs on each 1HP Water Pump"</f>
        <v>2 Run's of cables with 45 mtrs on each 1HP Water Pump</v>
      </c>
      <c r="H116" s="2296"/>
      <c r="I116" s="978"/>
      <c r="L116" s="156">
        <v>5</v>
      </c>
      <c r="M116" s="156">
        <v>5</v>
      </c>
    </row>
    <row r="117" spans="1:13" ht="15" thickBot="1">
      <c r="A117" s="1428" t="s">
        <v>1282</v>
      </c>
      <c r="B117" s="1459">
        <f>1.06*195</f>
        <v>206.70000000000002</v>
      </c>
      <c r="C117" s="980">
        <f>SUM(C272:C273)*45</f>
        <v>0</v>
      </c>
      <c r="D117" s="981" t="s">
        <v>1246</v>
      </c>
      <c r="E117" s="1586">
        <f t="shared" si="12"/>
        <v>0</v>
      </c>
      <c r="F117" s="1591">
        <f t="shared" si="13"/>
        <v>0</v>
      </c>
      <c r="G117" s="1769" t="str">
        <f>SUM(C272:C273) &amp;" Run's of cables with 45 mtrs each on Booster Pump"</f>
        <v>0 Run's of cables with 45 mtrs each on Booster Pump</v>
      </c>
      <c r="H117" s="2296"/>
      <c r="I117" s="978"/>
      <c r="L117" s="156">
        <v>3</v>
      </c>
      <c r="M117" s="156">
        <v>3</v>
      </c>
    </row>
    <row r="118" spans="1:13" ht="15" thickBot="1">
      <c r="A118" s="1428" t="s">
        <v>1283</v>
      </c>
      <c r="B118" s="1459">
        <f>1.06*150</f>
        <v>159</v>
      </c>
      <c r="C118" s="980">
        <f>SUM(C83:C93)+50*C193</f>
        <v>70</v>
      </c>
      <c r="D118" s="981" t="s">
        <v>1246</v>
      </c>
      <c r="E118" s="1586">
        <f t="shared" si="12"/>
        <v>11130</v>
      </c>
      <c r="F118" s="1591">
        <f t="shared" si="13"/>
        <v>2.7788874463197843E-2</v>
      </c>
      <c r="G118" s="1770" t="str">
        <f>SUM('Input''s from Initial Design'!O181)&amp;" no. of Inverters"&amp;" with "&amp;'Input''s from Initial Design'!O185&amp;" mtr's lenthg each"</f>
        <v>2 no. of Inverters with 10 mtr's lenthg each</v>
      </c>
      <c r="H118" s="2296"/>
      <c r="I118" s="978"/>
      <c r="L118" s="156">
        <v>8</v>
      </c>
      <c r="M118" s="156">
        <v>8</v>
      </c>
    </row>
    <row r="119" spans="1:13" ht="15" thickBot="1">
      <c r="A119" s="1428" t="s">
        <v>1284</v>
      </c>
      <c r="B119" s="1459">
        <f>1.06*33</f>
        <v>34.980000000000004</v>
      </c>
      <c r="C119" s="980">
        <f>'Input''s from Initial Design'!AN93*100</f>
        <v>200</v>
      </c>
      <c r="D119" s="981" t="s">
        <v>1246</v>
      </c>
      <c r="E119" s="1586">
        <f t="shared" si="12"/>
        <v>6996.0000000000009</v>
      </c>
      <c r="F119" s="1591">
        <f t="shared" si="13"/>
        <v>1.746729251972436E-2</v>
      </c>
      <c r="G119" s="1770" t="str">
        <f>'Input''s from Initial Design'!AN93&amp;" no. of ACCB Panel with "&amp;" 100 mtrs length each"</f>
        <v>2 no. of ACCB Panel with  100 mtrs length each</v>
      </c>
      <c r="H119" s="2296"/>
      <c r="I119" s="982"/>
      <c r="L119" s="156">
        <v>4</v>
      </c>
      <c r="M119" s="156">
        <v>3</v>
      </c>
    </row>
    <row r="120" spans="1:13" ht="16.5" customHeight="1" thickBot="1">
      <c r="A120" s="1073" t="s">
        <v>1285</v>
      </c>
      <c r="B120" s="1432">
        <f>B96</f>
        <v>176.08</v>
      </c>
      <c r="C120" s="983">
        <f>C196+50</f>
        <v>50</v>
      </c>
      <c r="D120" s="956" t="s">
        <v>1246</v>
      </c>
      <c r="E120" s="1587">
        <f>IF(G14&lt;1,0,B120*C120)</f>
        <v>0</v>
      </c>
      <c r="F120" s="1592">
        <f t="shared" si="13"/>
        <v>0</v>
      </c>
      <c r="G120" s="1661" t="s">
        <v>1286</v>
      </c>
      <c r="H120" s="2296"/>
      <c r="I120" s="982"/>
      <c r="L120" s="156">
        <v>1</v>
      </c>
      <c r="M120" s="156">
        <v>2</v>
      </c>
    </row>
    <row r="121" spans="1:13" ht="16.2" thickBot="1">
      <c r="A121" s="2373" t="s">
        <v>1287</v>
      </c>
      <c r="B121" s="2373"/>
      <c r="C121" s="2373"/>
      <c r="D121" s="2374"/>
      <c r="E121" s="1729">
        <f>IF($G$18&lt;1,0,SUM(E109:E120))</f>
        <v>76807.536399999997</v>
      </c>
      <c r="F121" s="1730">
        <f t="shared" si="13"/>
        <v>0.19176954059722362</v>
      </c>
      <c r="G121" s="1744"/>
      <c r="H121" s="1746"/>
      <c r="I121" s="1750"/>
      <c r="L121" s="156">
        <v>2</v>
      </c>
      <c r="M121" s="156">
        <v>2</v>
      </c>
    </row>
    <row r="122" spans="1:13" ht="16.2" thickBot="1">
      <c r="A122" s="1751" t="s">
        <v>1288</v>
      </c>
      <c r="B122" s="2303"/>
      <c r="C122" s="2303"/>
      <c r="D122" s="2303"/>
      <c r="E122" s="2304"/>
      <c r="F122" s="2304"/>
      <c r="G122" s="2304"/>
      <c r="H122" s="2304"/>
      <c r="I122" s="2305"/>
      <c r="L122" s="156">
        <v>6</v>
      </c>
      <c r="M122" s="156">
        <v>6</v>
      </c>
    </row>
    <row r="123" spans="1:13">
      <c r="A123" s="1072" t="s">
        <v>1289</v>
      </c>
      <c r="B123" s="1460">
        <v>20000</v>
      </c>
      <c r="C123" s="959">
        <f>'Input''s from Initial Design'!Q199</f>
        <v>1</v>
      </c>
      <c r="D123" s="960" t="s">
        <v>1196</v>
      </c>
      <c r="E123" s="1578">
        <f>IF($G$18&lt;1,0,B123*C123)</f>
        <v>20000</v>
      </c>
      <c r="F123" s="1581">
        <f t="shared" ref="F123:F132" si="14">E123/$G$18/1000</f>
        <v>4.9935084390292622E-2</v>
      </c>
      <c r="G123" s="1769" t="str">
        <f>C123 &amp;" no. LA 107m radius without Counter"</f>
        <v>1 no. LA 107m radius without Counter</v>
      </c>
      <c r="H123" s="1510" t="s">
        <v>1290</v>
      </c>
      <c r="I123" s="984"/>
      <c r="L123" s="156">
        <v>8</v>
      </c>
      <c r="M123" s="156">
        <v>9</v>
      </c>
    </row>
    <row r="124" spans="1:13">
      <c r="A124" s="1428" t="s">
        <v>1291</v>
      </c>
      <c r="B124" s="1435" cm="1">
        <f t="array" ref="B124">_xlfn.IFS(G18&lt;101,G576,G18&lt;501,G577,G18&lt;1001,G578,G18&lt;2001,G579,G18&lt;5001,G580,G18&gt;5001,G581)</f>
        <v>535185.18518518517</v>
      </c>
      <c r="C124" s="985">
        <f>IF(COUNTIF('Input''s from Initial Design'!AG25:AG54,'Input''s from Initial Design'!P200),1,0)</f>
        <v>0</v>
      </c>
      <c r="D124" s="942" t="s">
        <v>1292</v>
      </c>
      <c r="E124" s="1594">
        <f>IF($G$18&lt;1,0,B124*C124)</f>
        <v>0</v>
      </c>
      <c r="F124" s="1582">
        <f t="shared" si="14"/>
        <v>0</v>
      </c>
      <c r="G124" s="1599" t="s">
        <v>1293</v>
      </c>
      <c r="H124" s="1512" t="s">
        <v>1221</v>
      </c>
      <c r="I124" s="986"/>
      <c r="K124" s="159"/>
      <c r="L124" s="156">
        <v>3</v>
      </c>
      <c r="M124" s="156">
        <v>8</v>
      </c>
    </row>
    <row r="125" spans="1:13">
      <c r="A125" s="1426" t="str">
        <f>IF(B125=1400,"GI Earthing electrode","CU Earthing electrode")</f>
        <v>GI Earthing electrode</v>
      </c>
      <c r="B125" s="1461">
        <f>IF(G125="3 mtrs GI Earthing Electrode",B578,B579)</f>
        <v>1400</v>
      </c>
      <c r="C125" s="987">
        <f>'Input''s from Initial Design'!N357</f>
        <v>13</v>
      </c>
      <c r="D125" s="988" t="s">
        <v>1196</v>
      </c>
      <c r="E125" s="1594">
        <f t="shared" ref="E125:E131" si="15">IF($G$18&lt;1,0,B125*C125)</f>
        <v>18200</v>
      </c>
      <c r="F125" s="1582">
        <f t="shared" si="14"/>
        <v>4.5440926795166287E-2</v>
      </c>
      <c r="G125" s="1886" t="s">
        <v>1294</v>
      </c>
      <c r="H125" s="1511" t="s">
        <v>1295</v>
      </c>
      <c r="I125" s="974"/>
      <c r="L125" s="156">
        <f>SUM(L115:L124)</f>
        <v>44</v>
      </c>
      <c r="M125" s="156">
        <f>SUM(M115:M124)</f>
        <v>50</v>
      </c>
    </row>
    <row r="126" spans="1:13">
      <c r="A126" s="1426" t="s">
        <v>1296</v>
      </c>
      <c r="B126" s="1461">
        <f>1850</f>
        <v>1850</v>
      </c>
      <c r="C126" s="987">
        <f>C125</f>
        <v>13</v>
      </c>
      <c r="D126" s="988" t="s">
        <v>1196</v>
      </c>
      <c r="E126" s="1594">
        <f t="shared" si="15"/>
        <v>24050</v>
      </c>
      <c r="F126" s="1582">
        <f t="shared" si="14"/>
        <v>6.0046938979326878E-2</v>
      </c>
      <c r="G126" s="1601" t="str">
        <f>C126&amp;" no. of 2 feet x 2 feet size GI Earthpit Chember cover"</f>
        <v>13 no. of 2 feet x 2 feet size GI Earthpit Chember cover</v>
      </c>
      <c r="H126" s="1512" t="s">
        <v>1221</v>
      </c>
      <c r="I126" s="974"/>
      <c r="L126" s="156">
        <f>8</f>
        <v>8</v>
      </c>
    </row>
    <row r="127" spans="1:13">
      <c r="A127" s="1426" t="s">
        <v>1297</v>
      </c>
      <c r="B127" s="1461">
        <v>550</v>
      </c>
      <c r="C127" s="987">
        <f>C125*2</f>
        <v>26</v>
      </c>
      <c r="D127" s="988" t="s">
        <v>1298</v>
      </c>
      <c r="E127" s="1594">
        <f t="shared" si="15"/>
        <v>14300</v>
      </c>
      <c r="F127" s="1582">
        <f t="shared" si="14"/>
        <v>3.5703585339059221E-2</v>
      </c>
      <c r="G127" s="1769" t="str">
        <f>C127 &amp;" no. of Pakage with 25kg each"</f>
        <v>26 no. of Pakage with 25kg each</v>
      </c>
      <c r="H127" s="1511" t="str">
        <f>H125</f>
        <v>Indelec/ Equilent</v>
      </c>
      <c r="I127" s="974"/>
    </row>
    <row r="128" spans="1:13">
      <c r="A128" s="1426" t="s">
        <v>1299</v>
      </c>
      <c r="B128" s="1461">
        <v>80</v>
      </c>
      <c r="C128" s="987">
        <f>'Input''s from Initial Design'!AA155*0.6</f>
        <v>614.4</v>
      </c>
      <c r="D128" s="988" t="s">
        <v>1300</v>
      </c>
      <c r="E128" s="1594">
        <f t="shared" si="15"/>
        <v>49152</v>
      </c>
      <c r="F128" s="1582">
        <f t="shared" si="14"/>
        <v>0.12272046339758315</v>
      </c>
      <c r="G128" s="1600" t="s">
        <v>1301</v>
      </c>
      <c r="H128" s="2185" t="s">
        <v>1302</v>
      </c>
      <c r="I128" s="974"/>
      <c r="K128" s="164"/>
    </row>
    <row r="129" spans="1:112">
      <c r="A129" s="1426" t="s">
        <v>1303</v>
      </c>
      <c r="B129" s="1461">
        <v>75</v>
      </c>
      <c r="C129" s="987">
        <f>'Input''s from Initial Design'!AA156*1.18</f>
        <v>141.6</v>
      </c>
      <c r="D129" s="988" t="s">
        <v>1300</v>
      </c>
      <c r="E129" s="1594">
        <f t="shared" si="15"/>
        <v>10620</v>
      </c>
      <c r="F129" s="1582">
        <f t="shared" si="14"/>
        <v>2.6515529811245383E-2</v>
      </c>
      <c r="G129" s="1600" t="s">
        <v>1304</v>
      </c>
      <c r="H129" s="2185"/>
      <c r="I129" s="974"/>
      <c r="K129" s="164"/>
    </row>
    <row r="130" spans="1:112">
      <c r="A130" s="1426" t="s">
        <v>1305</v>
      </c>
      <c r="B130" s="1461">
        <v>75</v>
      </c>
      <c r="C130" s="987">
        <f>'Input''s from Initial Design'!AA157*2</f>
        <v>0</v>
      </c>
      <c r="D130" s="988" t="s">
        <v>1300</v>
      </c>
      <c r="E130" s="1594">
        <f t="shared" si="15"/>
        <v>0</v>
      </c>
      <c r="F130" s="1582">
        <f t="shared" si="14"/>
        <v>0</v>
      </c>
      <c r="G130" s="1600" t="s">
        <v>1306</v>
      </c>
      <c r="H130" s="2185"/>
      <c r="I130" s="974"/>
      <c r="K130" s="164"/>
    </row>
    <row r="131" spans="1:112" ht="15" thickBot="1">
      <c r="A131" s="1443" t="s">
        <v>1307</v>
      </c>
      <c r="B131" s="1461">
        <v>75</v>
      </c>
      <c r="C131" s="987">
        <f>'Input''s from Initial Design'!AA158*2.34</f>
        <v>0</v>
      </c>
      <c r="D131" s="988" t="s">
        <v>1300</v>
      </c>
      <c r="E131" s="1594">
        <f t="shared" si="15"/>
        <v>0</v>
      </c>
      <c r="F131" s="1582">
        <f t="shared" si="14"/>
        <v>0</v>
      </c>
      <c r="G131" s="1601" t="s">
        <v>1308</v>
      </c>
      <c r="H131" s="2185"/>
      <c r="I131" s="973"/>
      <c r="K131" s="164"/>
    </row>
    <row r="132" spans="1:112" ht="16.2" thickBot="1">
      <c r="A132" s="2166" t="s">
        <v>1309</v>
      </c>
      <c r="B132" s="2166"/>
      <c r="C132" s="2166"/>
      <c r="D132" s="2166"/>
      <c r="E132" s="1729">
        <f>IF($G$18&lt;1,0,SUM(E123:E131))</f>
        <v>136322</v>
      </c>
      <c r="F132" s="1730">
        <f t="shared" si="14"/>
        <v>0.34036252871267358</v>
      </c>
      <c r="G132" s="1744"/>
      <c r="H132" s="1745"/>
      <c r="I132" s="1746"/>
    </row>
    <row r="133" spans="1:112" ht="16.2" thickBot="1">
      <c r="A133" s="1752" t="s">
        <v>1310</v>
      </c>
      <c r="B133" s="2180"/>
      <c r="C133" s="2180"/>
      <c r="D133" s="2180"/>
      <c r="E133" s="2180"/>
      <c r="F133" s="2180"/>
      <c r="G133" s="2180"/>
      <c r="H133" s="2180"/>
      <c r="I133" s="2181"/>
    </row>
    <row r="134" spans="1:112" s="161" customFormat="1" ht="15" thickBot="1">
      <c r="A134" s="1072" t="s">
        <v>1310</v>
      </c>
      <c r="B134" s="1462">
        <f>VLOOKUP(H134&amp;G134,G585:H590,2,FALSE)</f>
        <v>420</v>
      </c>
      <c r="C134" s="989">
        <f>'Input''s from Initial Design'!AJ55</f>
        <v>350</v>
      </c>
      <c r="D134" s="951" t="s">
        <v>1246</v>
      </c>
      <c r="E134" s="1585">
        <f>IF(H134=0,0,B134*C134)</f>
        <v>147000</v>
      </c>
      <c r="F134" s="1589">
        <f>E134/$G$18/1000</f>
        <v>0.36702287026865077</v>
      </c>
      <c r="G134" s="2293" t="s">
        <v>1311</v>
      </c>
      <c r="H134" s="2292" t="str">
        <f>'Input''s from BD(Sales)'!B38</f>
        <v>FRP</v>
      </c>
      <c r="I134" s="961"/>
      <c r="M134" s="156"/>
      <c r="N134" s="156"/>
      <c r="O134" s="156"/>
      <c r="P134" s="156"/>
      <c r="Q134" s="156"/>
      <c r="R134" s="156"/>
      <c r="S134" s="156"/>
      <c r="T134" s="156"/>
      <c r="U134" s="156"/>
      <c r="V134" s="156"/>
      <c r="W134" s="156"/>
      <c r="DH134" s="218"/>
    </row>
    <row r="135" spans="1:112" s="161" customFormat="1" ht="15" thickBot="1">
      <c r="A135" s="1428" t="s">
        <v>1312</v>
      </c>
      <c r="B135" s="1463">
        <f>VLOOKUP(H134,G601:H603,2,0)</f>
        <v>462.00000000000006</v>
      </c>
      <c r="C135" s="957">
        <f>'Input''s from Initial Design'!AS55</f>
        <v>0</v>
      </c>
      <c r="D135" s="954" t="s">
        <v>1246</v>
      </c>
      <c r="E135" s="1586">
        <f>IF(H134=0,0,B135*C135)</f>
        <v>0</v>
      </c>
      <c r="F135" s="1591">
        <f>E135/$G$18/1000</f>
        <v>0</v>
      </c>
      <c r="G135" s="2293"/>
      <c r="H135" s="2292"/>
      <c r="I135" s="961"/>
      <c r="M135" s="156"/>
      <c r="N135" s="156"/>
      <c r="O135" s="156"/>
      <c r="P135" s="156"/>
      <c r="Q135" s="156"/>
      <c r="R135" s="156"/>
      <c r="S135" s="156"/>
      <c r="T135" s="156"/>
      <c r="U135" s="156"/>
      <c r="V135" s="156"/>
      <c r="W135" s="156"/>
      <c r="DH135" s="218"/>
    </row>
    <row r="136" spans="1:112" s="161" customFormat="1" ht="15" thickBot="1">
      <c r="A136" s="1464" t="s">
        <v>1313</v>
      </c>
      <c r="B136" s="1465">
        <f>VLOOKUP(H134&amp;G134,G593:H598,2,FALSE)</f>
        <v>420</v>
      </c>
      <c r="C136" s="990">
        <f>'Input''s from Initial Design'!AR55</f>
        <v>0</v>
      </c>
      <c r="D136" s="977" t="s">
        <v>1246</v>
      </c>
      <c r="E136" s="1597">
        <f>IF(H134=0,0,B136*C136)</f>
        <v>0</v>
      </c>
      <c r="F136" s="1598">
        <f>E136/$G$18/1000</f>
        <v>0</v>
      </c>
      <c r="G136" s="2293"/>
      <c r="H136" s="2292"/>
      <c r="I136" s="967"/>
      <c r="M136" s="156"/>
      <c r="N136" s="156"/>
      <c r="O136" s="156"/>
      <c r="P136" s="156"/>
      <c r="Q136" s="156"/>
      <c r="R136" s="156"/>
      <c r="S136" s="156"/>
      <c r="T136" s="156"/>
      <c r="U136" s="156"/>
      <c r="V136" s="156"/>
      <c r="W136" s="156"/>
      <c r="DH136" s="218"/>
    </row>
    <row r="137" spans="1:112" ht="16.2" thickBot="1">
      <c r="A137" s="2377" t="s">
        <v>1314</v>
      </c>
      <c r="B137" s="2377"/>
      <c r="C137" s="2377"/>
      <c r="D137" s="2377"/>
      <c r="E137" s="1729">
        <f>IF($G$18&lt;1,0,SUM(E134:E136))</f>
        <v>147000</v>
      </c>
      <c r="F137" s="1748">
        <f>E137/$G$18/1000</f>
        <v>0.36702287026865077</v>
      </c>
      <c r="G137" s="1744"/>
      <c r="H137" s="1745"/>
      <c r="I137" s="1746"/>
    </row>
    <row r="138" spans="1:112" ht="16.2" thickBot="1">
      <c r="A138" s="1753" t="s">
        <v>1315</v>
      </c>
      <c r="B138" s="2180"/>
      <c r="C138" s="2180"/>
      <c r="D138" s="2180"/>
      <c r="E138" s="2180"/>
      <c r="F138" s="2180"/>
      <c r="G138" s="2180"/>
      <c r="H138" s="2180"/>
      <c r="I138" s="2181"/>
    </row>
    <row r="139" spans="1:112" s="161" customFormat="1">
      <c r="A139" s="2300" t="s">
        <v>1316</v>
      </c>
      <c r="B139" s="1466">
        <v>365</v>
      </c>
      <c r="C139" s="991">
        <f>'Input''s from Initial Design'!AP55</f>
        <v>350</v>
      </c>
      <c r="D139" s="956" t="s">
        <v>1246</v>
      </c>
      <c r="E139" s="1587">
        <f>IF(H139=0,0,B139*C139)</f>
        <v>127750</v>
      </c>
      <c r="F139" s="2028">
        <f>E139/$G$18/1000</f>
        <v>0.31896035154299412</v>
      </c>
      <c r="G139" s="2124" t="s">
        <v>1317</v>
      </c>
      <c r="H139" s="2223" t="str">
        <f>'Input''s from BD(Sales)'!B39</f>
        <v>FRP</v>
      </c>
      <c r="I139" s="973"/>
      <c r="DH139" s="218"/>
    </row>
    <row r="140" spans="1:112" s="161" customFormat="1" ht="15" thickBot="1">
      <c r="A140" s="2301"/>
      <c r="B140" s="1466">
        <f>VLOOKUP(H139&amp;G140,G606:H611,2,FALSE)</f>
        <v>339.19</v>
      </c>
      <c r="C140" s="991">
        <f>'Input''s from Initial Design'!AQ55</f>
        <v>0</v>
      </c>
      <c r="D140" s="956" t="s">
        <v>1246</v>
      </c>
      <c r="E140" s="1587">
        <f>IF(H139=0,0,B140*C140)</f>
        <v>0</v>
      </c>
      <c r="F140" s="1598">
        <f>E140/$G$18/1000</f>
        <v>0</v>
      </c>
      <c r="G140" s="2125" t="s">
        <v>1318</v>
      </c>
      <c r="H140" s="2224"/>
      <c r="I140" s="1026"/>
      <c r="DH140" s="218"/>
    </row>
    <row r="141" spans="1:112" ht="16.2" thickBot="1">
      <c r="A141" s="2166" t="s">
        <v>1319</v>
      </c>
      <c r="B141" s="2167"/>
      <c r="C141" s="2167"/>
      <c r="D141" s="2168"/>
      <c r="E141" s="1729">
        <f>IF($G$18&lt;1,0,SUM(E139:E140))</f>
        <v>127750</v>
      </c>
      <c r="F141" s="1754">
        <f>E141/$G$18/1000</f>
        <v>0.31896035154299412</v>
      </c>
      <c r="G141" s="1745"/>
      <c r="H141" s="1745"/>
      <c r="I141" s="1746"/>
    </row>
    <row r="142" spans="1:112" ht="16.2" thickBot="1">
      <c r="A142" s="1752" t="s">
        <v>1320</v>
      </c>
      <c r="B142" s="2180"/>
      <c r="C142" s="2180"/>
      <c r="D142" s="2180"/>
      <c r="E142" s="2180"/>
      <c r="F142" s="2180"/>
      <c r="G142" s="2180"/>
      <c r="H142" s="2180"/>
      <c r="I142" s="2181"/>
    </row>
    <row r="143" spans="1:112" s="161" customFormat="1">
      <c r="A143" s="1485" t="s">
        <v>1321</v>
      </c>
      <c r="B143" s="1483">
        <f>IFERROR(VLOOKUP(H143,B628:C631,2,0),0)</f>
        <v>332.64000000000004</v>
      </c>
      <c r="C143" s="992">
        <f>'Input''s from Initial Design'!R145</f>
        <v>20</v>
      </c>
      <c r="D143" s="993" t="s">
        <v>1246</v>
      </c>
      <c r="E143" s="1602">
        <f t="shared" ref="E143:E149" si="16">IF($H$143=0,0,B143*C143)</f>
        <v>6652.8000000000011</v>
      </c>
      <c r="F143" s="1603">
        <f t="shared" ref="F143:F150" si="17">E143/$G$18/1000</f>
        <v>1.6610406471586941E-2</v>
      </c>
      <c r="G143" s="2297" t="s">
        <v>1322</v>
      </c>
      <c r="H143" s="2298" t="str">
        <f>'Input''s from BD(Sales)'!B40</f>
        <v>GI</v>
      </c>
      <c r="I143" s="994"/>
      <c r="DH143" s="218"/>
    </row>
    <row r="144" spans="1:112" s="161" customFormat="1">
      <c r="A144" s="1486" t="s">
        <v>1323</v>
      </c>
      <c r="B144" s="1435">
        <f>IFERROR(VLOOKUP(H143,B632:C635,2,0),0)</f>
        <v>349.92</v>
      </c>
      <c r="C144" s="985">
        <f>'Input''s from Initial Design'!R146</f>
        <v>0</v>
      </c>
      <c r="D144" s="946" t="s">
        <v>1246</v>
      </c>
      <c r="E144" s="1595">
        <f t="shared" si="16"/>
        <v>0</v>
      </c>
      <c r="F144" s="1583">
        <f t="shared" si="17"/>
        <v>0</v>
      </c>
      <c r="G144" s="2297"/>
      <c r="H144" s="2298"/>
      <c r="I144" s="973"/>
      <c r="DH144" s="218"/>
    </row>
    <row r="145" spans="1:112" s="161" customFormat="1">
      <c r="A145" s="1486" t="s">
        <v>1324</v>
      </c>
      <c r="B145" s="1435">
        <f>IFERROR(VLOOKUP(H143,B636:C639,2,0),0)</f>
        <v>368.28000000000003</v>
      </c>
      <c r="C145" s="985">
        <f>'Input''s from Initial Design'!R147</f>
        <v>0</v>
      </c>
      <c r="D145" s="946" t="s">
        <v>1246</v>
      </c>
      <c r="E145" s="1595">
        <f t="shared" si="16"/>
        <v>0</v>
      </c>
      <c r="F145" s="1583">
        <f t="shared" si="17"/>
        <v>0</v>
      </c>
      <c r="G145" s="2297"/>
      <c r="H145" s="2298"/>
      <c r="I145" s="973"/>
      <c r="DH145" s="218"/>
    </row>
    <row r="146" spans="1:112" s="161" customFormat="1">
      <c r="A146" s="1486" t="s">
        <v>1325</v>
      </c>
      <c r="B146" s="1435">
        <f>IFERROR(VLOOKUP(H143,B640:C643,2,0),0)</f>
        <v>403.92</v>
      </c>
      <c r="C146" s="985">
        <f>'Input''s from Initial Design'!R148</f>
        <v>0</v>
      </c>
      <c r="D146" s="946" t="s">
        <v>1246</v>
      </c>
      <c r="E146" s="1595">
        <f t="shared" si="16"/>
        <v>0</v>
      </c>
      <c r="F146" s="1583">
        <f t="shared" si="17"/>
        <v>0</v>
      </c>
      <c r="G146" s="2297"/>
      <c r="H146" s="2298"/>
      <c r="I146" s="973"/>
      <c r="DH146" s="218"/>
    </row>
    <row r="147" spans="1:112" s="161" customFormat="1">
      <c r="A147" s="1486" t="s">
        <v>1326</v>
      </c>
      <c r="B147" s="1435">
        <f>IFERROR(VLOOKUP(H143,B644:C647,2,0),0)</f>
        <v>439.56</v>
      </c>
      <c r="C147" s="985">
        <f>'Input''s from Initial Design'!R149</f>
        <v>0</v>
      </c>
      <c r="D147" s="946" t="s">
        <v>1246</v>
      </c>
      <c r="E147" s="1595">
        <f t="shared" si="16"/>
        <v>0</v>
      </c>
      <c r="F147" s="1583">
        <f t="shared" si="17"/>
        <v>0</v>
      </c>
      <c r="G147" s="2297"/>
      <c r="H147" s="2298"/>
      <c r="I147" s="973"/>
      <c r="DH147" s="218"/>
    </row>
    <row r="148" spans="1:112" s="161" customFormat="1">
      <c r="A148" s="1486" t="s">
        <v>1327</v>
      </c>
      <c r="B148" s="1435">
        <f>IFERROR(VLOOKUP(H143,B648:C651,2,0),0)</f>
        <v>475.20000000000005</v>
      </c>
      <c r="C148" s="985">
        <f>'Input''s from Initial Design'!R150</f>
        <v>0</v>
      </c>
      <c r="D148" s="946" t="s">
        <v>1246</v>
      </c>
      <c r="E148" s="1595">
        <f t="shared" si="16"/>
        <v>0</v>
      </c>
      <c r="F148" s="1583">
        <f t="shared" si="17"/>
        <v>0</v>
      </c>
      <c r="G148" s="2297"/>
      <c r="H148" s="2298"/>
      <c r="I148" s="973"/>
      <c r="DH148" s="218"/>
    </row>
    <row r="149" spans="1:112" s="161" customFormat="1" ht="15" thickBot="1">
      <c r="A149" s="1443" t="s">
        <v>1328</v>
      </c>
      <c r="B149" s="1436">
        <f>IFERROR(VLOOKUP(H143,B652:C655,2,0),0)</f>
        <v>510.84000000000003</v>
      </c>
      <c r="C149" s="995">
        <f>'Input''s from Initial Design'!R151</f>
        <v>0</v>
      </c>
      <c r="D149" s="946" t="s">
        <v>1246</v>
      </c>
      <c r="E149" s="1595">
        <f t="shared" si="16"/>
        <v>0</v>
      </c>
      <c r="F149" s="1583">
        <f t="shared" si="17"/>
        <v>0</v>
      </c>
      <c r="G149" s="2297"/>
      <c r="H149" s="2298"/>
      <c r="I149" s="973"/>
      <c r="DH149" s="218"/>
    </row>
    <row r="150" spans="1:112" ht="16.2" thickBot="1">
      <c r="A150" s="2166" t="s">
        <v>1329</v>
      </c>
      <c r="B150" s="2167"/>
      <c r="C150" s="2167"/>
      <c r="D150" s="2168"/>
      <c r="E150" s="1729">
        <f>IF($G$18&lt;1,0,SUM(E143:E149))</f>
        <v>6652.8000000000011</v>
      </c>
      <c r="F150" s="1730">
        <f t="shared" si="17"/>
        <v>1.6610406471586941E-2</v>
      </c>
      <c r="G150" s="1744"/>
      <c r="H150" s="1745"/>
      <c r="I150" s="1746"/>
    </row>
    <row r="151" spans="1:112" ht="16.2" thickBot="1">
      <c r="A151" s="1734" t="s">
        <v>1330</v>
      </c>
      <c r="B151" s="2180"/>
      <c r="C151" s="2180"/>
      <c r="D151" s="2180"/>
      <c r="E151" s="2180"/>
      <c r="F151" s="2180"/>
      <c r="G151" s="2180"/>
      <c r="H151" s="2180"/>
      <c r="I151" s="2181"/>
    </row>
    <row r="152" spans="1:112" s="161" customFormat="1" ht="15" thickBot="1">
      <c r="A152" s="1485" t="s">
        <v>1321</v>
      </c>
      <c r="B152" s="1483">
        <f>IFERROR(VLOOKUP(H152,B628:C631,2,0),0)</f>
        <v>332.64000000000004</v>
      </c>
      <c r="C152" s="992">
        <f>'Input''s from Initial Design'!R157</f>
        <v>170</v>
      </c>
      <c r="D152" s="993" t="s">
        <v>1246</v>
      </c>
      <c r="E152" s="1602">
        <f t="shared" ref="E152:E158" si="18">IF($H$152=0,0,B152*C152)</f>
        <v>56548.80000000001</v>
      </c>
      <c r="F152" s="1603">
        <f t="shared" ref="F152:F159" si="19">E152/$G$18/1000</f>
        <v>0.14118845500848901</v>
      </c>
      <c r="G152" s="2297" t="s">
        <v>1322</v>
      </c>
      <c r="H152" s="2291" t="str">
        <f>'Input''s from BD(Sales)'!B41</f>
        <v>GI</v>
      </c>
      <c r="I152" s="973"/>
      <c r="DH152" s="218"/>
    </row>
    <row r="153" spans="1:112" s="161" customFormat="1" ht="15" thickBot="1">
      <c r="A153" s="1486" t="s">
        <v>1323</v>
      </c>
      <c r="B153" s="1435">
        <f>IFERROR(VLOOKUP(H152,B632:C635,2,0),0)</f>
        <v>349.92</v>
      </c>
      <c r="C153" s="985">
        <f>'Input''s from Initial Design'!R158</f>
        <v>0</v>
      </c>
      <c r="D153" s="946" t="s">
        <v>1246</v>
      </c>
      <c r="E153" s="1595">
        <f t="shared" si="18"/>
        <v>0</v>
      </c>
      <c r="F153" s="1583">
        <f t="shared" si="19"/>
        <v>0</v>
      </c>
      <c r="G153" s="2297"/>
      <c r="H153" s="2291"/>
      <c r="I153" s="973"/>
      <c r="DH153" s="218"/>
    </row>
    <row r="154" spans="1:112" s="161" customFormat="1" ht="15" thickBot="1">
      <c r="A154" s="1486" t="s">
        <v>1324</v>
      </c>
      <c r="B154" s="1435">
        <f>IFERROR(VLOOKUP(H152,B636:C639,2,0),0)</f>
        <v>368.28000000000003</v>
      </c>
      <c r="C154" s="985">
        <f>'Input''s from Initial Design'!R159</f>
        <v>220</v>
      </c>
      <c r="D154" s="946" t="s">
        <v>1246</v>
      </c>
      <c r="E154" s="1595">
        <f t="shared" si="18"/>
        <v>81021.600000000006</v>
      </c>
      <c r="F154" s="1583">
        <f t="shared" si="19"/>
        <v>0.20229102167182667</v>
      </c>
      <c r="G154" s="2297"/>
      <c r="H154" s="2291"/>
      <c r="I154" s="973"/>
      <c r="DH154" s="218"/>
    </row>
    <row r="155" spans="1:112" s="161" customFormat="1" ht="15" thickBot="1">
      <c r="A155" s="1486" t="s">
        <v>1325</v>
      </c>
      <c r="B155" s="1435">
        <f>IFERROR(VLOOKUP(H152,B640:C643,2,0),0)</f>
        <v>403.92</v>
      </c>
      <c r="C155" s="985">
        <f>'Input''s from Initial Design'!R160</f>
        <v>0</v>
      </c>
      <c r="D155" s="946" t="s">
        <v>1246</v>
      </c>
      <c r="E155" s="1595">
        <f t="shared" si="18"/>
        <v>0</v>
      </c>
      <c r="F155" s="1583">
        <f t="shared" si="19"/>
        <v>0</v>
      </c>
      <c r="G155" s="2297"/>
      <c r="H155" s="2291"/>
      <c r="I155" s="973"/>
      <c r="DH155" s="218"/>
    </row>
    <row r="156" spans="1:112" s="161" customFormat="1" ht="15" thickBot="1">
      <c r="A156" s="1486" t="s">
        <v>1326</v>
      </c>
      <c r="B156" s="1435">
        <f>IFERROR(VLOOKUP(H152,B644:C647,2,0),0)</f>
        <v>439.56</v>
      </c>
      <c r="C156" s="985">
        <f>'Input''s from Initial Design'!R161</f>
        <v>0</v>
      </c>
      <c r="D156" s="988" t="s">
        <v>1246</v>
      </c>
      <c r="E156" s="1595">
        <f t="shared" si="18"/>
        <v>0</v>
      </c>
      <c r="F156" s="1582">
        <f t="shared" si="19"/>
        <v>0</v>
      </c>
      <c r="G156" s="2297"/>
      <c r="H156" s="2291"/>
      <c r="I156" s="974"/>
      <c r="DH156" s="218"/>
    </row>
    <row r="157" spans="1:112" s="161" customFormat="1" ht="15" thickBot="1">
      <c r="A157" s="1486" t="s">
        <v>1327</v>
      </c>
      <c r="B157" s="1435">
        <f>IFERROR(VLOOKUP(H152,B648:C651,2,0),0)</f>
        <v>475.20000000000005</v>
      </c>
      <c r="C157" s="985">
        <f>'Input''s from Initial Design'!R162</f>
        <v>0</v>
      </c>
      <c r="D157" s="988" t="s">
        <v>1246</v>
      </c>
      <c r="E157" s="1595">
        <f t="shared" si="18"/>
        <v>0</v>
      </c>
      <c r="F157" s="1582">
        <f t="shared" si="19"/>
        <v>0</v>
      </c>
      <c r="G157" s="2297"/>
      <c r="H157" s="2291"/>
      <c r="I157" s="974"/>
      <c r="DH157" s="218"/>
    </row>
    <row r="158" spans="1:112" s="161" customFormat="1" ht="15" thickBot="1">
      <c r="A158" s="1443" t="s">
        <v>1328</v>
      </c>
      <c r="B158" s="1436">
        <f>IFERROR(VLOOKUP(H152,B652:C655,2,0),0)</f>
        <v>510.84000000000003</v>
      </c>
      <c r="C158" s="995">
        <f>'Input''s from Initial Design'!R163</f>
        <v>0</v>
      </c>
      <c r="D158" s="996" t="s">
        <v>1246</v>
      </c>
      <c r="E158" s="1595">
        <f t="shared" si="18"/>
        <v>0</v>
      </c>
      <c r="F158" s="1583">
        <f t="shared" si="19"/>
        <v>0</v>
      </c>
      <c r="G158" s="2297"/>
      <c r="H158" s="2291"/>
      <c r="I158" s="997"/>
      <c r="K158" s="166"/>
      <c r="DH158" s="218"/>
    </row>
    <row r="159" spans="1:112" ht="16.2" thickBot="1">
      <c r="A159" s="2166" t="s">
        <v>1331</v>
      </c>
      <c r="B159" s="2167"/>
      <c r="C159" s="2167"/>
      <c r="D159" s="2168"/>
      <c r="E159" s="1729">
        <f>IF($G$18&lt;1,0,SUM(E152:E158))</f>
        <v>137570.40000000002</v>
      </c>
      <c r="F159" s="1730">
        <f t="shared" si="19"/>
        <v>0.34347947668031564</v>
      </c>
      <c r="G159" s="1744"/>
      <c r="H159" s="1745"/>
      <c r="I159" s="1746"/>
    </row>
    <row r="160" spans="1:112" ht="16.2" thickBot="1">
      <c r="A160" s="1734" t="s">
        <v>1332</v>
      </c>
      <c r="B160" s="2180"/>
      <c r="C160" s="2180"/>
      <c r="D160" s="2180"/>
      <c r="E160" s="2180"/>
      <c r="F160" s="2180"/>
      <c r="G160" s="2180"/>
      <c r="H160" s="2180"/>
      <c r="I160" s="2181"/>
    </row>
    <row r="161" spans="1:112" s="161" customFormat="1" ht="15" customHeight="1">
      <c r="A161" s="1487" t="s">
        <v>1333</v>
      </c>
      <c r="B161" s="1484">
        <v>13500</v>
      </c>
      <c r="C161" s="998">
        <f>'Input''s from Initial Design'!Q192</f>
        <v>0</v>
      </c>
      <c r="D161" s="942" t="s">
        <v>1246</v>
      </c>
      <c r="E161" s="1594">
        <f>IF(G161&lt;&gt;'Input''s from BD(Sales)'!A147,0,B161*C161)</f>
        <v>0</v>
      </c>
      <c r="F161" s="1581">
        <f t="shared" ref="F161:F178" si="20">E161/$G$18/1000</f>
        <v>0</v>
      </c>
      <c r="G161" s="2191" t="str">
        <f>'Input''s from BD(Sales)'!B33</f>
        <v>Client Scope</v>
      </c>
      <c r="H161" s="2169" t="s">
        <v>1334</v>
      </c>
      <c r="I161" s="974"/>
      <c r="DH161" s="218"/>
    </row>
    <row r="162" spans="1:112" s="161" customFormat="1">
      <c r="A162" s="1487" t="s">
        <v>1335</v>
      </c>
      <c r="B162" s="1484">
        <v>65500</v>
      </c>
      <c r="C162" s="998">
        <f>'Input''s from Initial Design'!Q193</f>
        <v>0</v>
      </c>
      <c r="D162" s="942" t="s">
        <v>1246</v>
      </c>
      <c r="E162" s="1594">
        <f>IF(G161&lt;&gt;'Input''s from BD(Sales)'!A147,0,B162*C162)</f>
        <v>0</v>
      </c>
      <c r="F162" s="1582">
        <f t="shared" si="20"/>
        <v>0</v>
      </c>
      <c r="G162" s="2190"/>
      <c r="H162" s="2170"/>
      <c r="I162" s="974"/>
      <c r="DH162" s="218"/>
    </row>
    <row r="163" spans="1:112" s="161" customFormat="1">
      <c r="A163" s="1487" t="s">
        <v>1336</v>
      </c>
      <c r="B163" s="1484">
        <f>50000</f>
        <v>50000</v>
      </c>
      <c r="C163" s="998">
        <f>IF(AND(OR($G$12&gt;0,$G$13&gt;0,$G$15&gt;0,$G$16&gt;0)),'Input''s from Initial Design'!L209,0)</f>
        <v>1</v>
      </c>
      <c r="D163" s="942" t="s">
        <v>1196</v>
      </c>
      <c r="E163" s="1594">
        <f t="shared" ref="E163:E166" si="21">IF($G$18&lt;1,0,B163*C163)</f>
        <v>50000</v>
      </c>
      <c r="F163" s="1582">
        <f t="shared" ref="F163" si="22">E163/$G$18/1000</f>
        <v>0.12483771097573156</v>
      </c>
      <c r="G163" s="1827" t="str">
        <f>'Input''s from Initial Design'!K207 &amp;" No's of Movable ladder considered"</f>
        <v>1 No's of Movable ladder considered</v>
      </c>
      <c r="H163" s="2170"/>
      <c r="I163" s="974"/>
      <c r="DH163" s="218"/>
    </row>
    <row r="164" spans="1:112" s="161" customFormat="1">
      <c r="A164" s="1487" t="s">
        <v>1337</v>
      </c>
      <c r="B164" s="1484">
        <v>95000</v>
      </c>
      <c r="C164" s="999">
        <f>'Input''s from Initial Design'!AX55</f>
        <v>0</v>
      </c>
      <c r="D164" s="942" t="s">
        <v>1196</v>
      </c>
      <c r="E164" s="1594">
        <f t="shared" si="21"/>
        <v>0</v>
      </c>
      <c r="F164" s="1582">
        <f t="shared" si="20"/>
        <v>0</v>
      </c>
      <c r="G164" s="1789" t="str">
        <f>C164 &amp; " No's Considered as per designer input"</f>
        <v>0 No's Considered as per designer input</v>
      </c>
      <c r="H164" s="2170"/>
      <c r="I164" s="974"/>
      <c r="DH164" s="218"/>
    </row>
    <row r="165" spans="1:112" s="161" customFormat="1">
      <c r="A165" s="1487" t="s">
        <v>1338</v>
      </c>
      <c r="B165" s="1484">
        <v>10000</v>
      </c>
      <c r="C165" s="999">
        <f>'Input''s from Initial Design'!AY55</f>
        <v>0</v>
      </c>
      <c r="D165" s="942" t="s">
        <v>1246</v>
      </c>
      <c r="E165" s="1594">
        <f t="shared" si="21"/>
        <v>0</v>
      </c>
      <c r="F165" s="1582">
        <f t="shared" si="20"/>
        <v>0</v>
      </c>
      <c r="G165" s="1789" t="str">
        <f>C165&amp;" Mtr's Considered as per designer input"</f>
        <v>0 Mtr's Considered as per designer input</v>
      </c>
      <c r="H165" s="2170"/>
      <c r="I165" s="974"/>
      <c r="DH165" s="218"/>
    </row>
    <row r="166" spans="1:112" s="161" customFormat="1">
      <c r="A166" s="1487" t="s">
        <v>1339</v>
      </c>
      <c r="B166" s="1484">
        <f>IFERROR(VLOOKUP(G$7,'Input''s from BD(Sales)'!C230:D232,2,0),0)</f>
        <v>970</v>
      </c>
      <c r="C166" s="1000">
        <f>'Input''s from Initial Design'!AK55</f>
        <v>0</v>
      </c>
      <c r="D166" s="942" t="s">
        <v>1246</v>
      </c>
      <c r="E166" s="1594">
        <f t="shared" si="21"/>
        <v>0</v>
      </c>
      <c r="F166" s="1582">
        <f t="shared" si="20"/>
        <v>0</v>
      </c>
      <c r="G166" s="1828" t="str">
        <f>IF(OR(G8='Input''s from BD(Sales)'!A282,G8='Input''s from BD(Sales)'!A298),"Railings are mandate for Tamilnadu/Haryana","Consider Railings for Module tilt &gt;=8")</f>
        <v>Consider Railings for Module tilt &gt;=8</v>
      </c>
      <c r="H166" s="1703" t="str">
        <f>IFERROR(VLOOKUP(B166,A567:B568,2,0),0)</f>
        <v>HDG</v>
      </c>
      <c r="I166" s="974"/>
      <c r="DH166" s="218"/>
    </row>
    <row r="167" spans="1:112" s="161" customFormat="1">
      <c r="A167" s="1487" t="s">
        <v>1340</v>
      </c>
      <c r="B167" s="1484">
        <v>1033</v>
      </c>
      <c r="C167" s="998">
        <f>IF((G167='Input''s from BD(Sales)'!A147),'Input''s from Initial Design'!R137,0)</f>
        <v>0</v>
      </c>
      <c r="D167" s="988" t="s">
        <v>1341</v>
      </c>
      <c r="E167" s="1594">
        <f>IF($G$167&lt;&gt;'Input''s from BD(Sales)'!A147,0,B167*C167)</f>
        <v>0</v>
      </c>
      <c r="F167" s="1582">
        <f t="shared" si="20"/>
        <v>0</v>
      </c>
      <c r="G167" s="2188" t="str">
        <f>'Input''s from BD(Sales)'!B35</f>
        <v>Not Required</v>
      </c>
      <c r="H167" s="2185" t="s">
        <v>1342</v>
      </c>
      <c r="I167" s="974"/>
      <c r="DH167" s="218"/>
    </row>
    <row r="168" spans="1:112" s="161" customFormat="1">
      <c r="A168" s="1487" t="s">
        <v>1343</v>
      </c>
      <c r="B168" s="1484">
        <v>1133</v>
      </c>
      <c r="C168" s="998">
        <f>IF((G167='Input''s from BD(Sales)'!A147),'Input''s from Initial Design'!R138,0)</f>
        <v>0</v>
      </c>
      <c r="D168" s="988" t="s">
        <v>1341</v>
      </c>
      <c r="E168" s="1594">
        <f>IF($G$167&lt;&gt;'Input''s from BD(Sales)'!A147,0,B168*C168)</f>
        <v>0</v>
      </c>
      <c r="F168" s="1582">
        <f t="shared" si="20"/>
        <v>0</v>
      </c>
      <c r="G168" s="2189"/>
      <c r="H168" s="2186"/>
      <c r="I168" s="974"/>
      <c r="DH168" s="218"/>
    </row>
    <row r="169" spans="1:112" s="161" customFormat="1">
      <c r="A169" s="1487" t="s">
        <v>1344</v>
      </c>
      <c r="B169" s="1484">
        <v>2000</v>
      </c>
      <c r="C169" s="998">
        <f>IF((G167='Input''s from BD(Sales)'!A147),'Input''s from Initial Design'!R139,0)</f>
        <v>0</v>
      </c>
      <c r="D169" s="988" t="s">
        <v>1341</v>
      </c>
      <c r="E169" s="1594">
        <f>IF($G$167&lt;&gt;'Input''s from BD(Sales)'!A147,0,B169*C169)</f>
        <v>0</v>
      </c>
      <c r="F169" s="1582">
        <f t="shared" si="20"/>
        <v>0</v>
      </c>
      <c r="G169" s="2189"/>
      <c r="H169" s="2186"/>
      <c r="I169" s="974"/>
      <c r="DH169" s="218"/>
    </row>
    <row r="170" spans="1:112" s="161" customFormat="1">
      <c r="A170" s="1487" t="s">
        <v>1345</v>
      </c>
      <c r="B170" s="1484">
        <v>2600</v>
      </c>
      <c r="C170" s="998">
        <f>IF((G167='Input''s from BD(Sales)'!A147),'Input''s from Initial Design'!R140,0)</f>
        <v>0</v>
      </c>
      <c r="D170" s="988" t="s">
        <v>1341</v>
      </c>
      <c r="E170" s="1594">
        <f>IF($G$167&lt;&gt;'Input''s from BD(Sales)'!A147,0,B170*C170)</f>
        <v>0</v>
      </c>
      <c r="F170" s="1582">
        <f t="shared" si="20"/>
        <v>0</v>
      </c>
      <c r="G170" s="2190"/>
      <c r="H170" s="2187"/>
      <c r="I170" s="974"/>
      <c r="DH170" s="218"/>
    </row>
    <row r="171" spans="1:112" s="161" customFormat="1">
      <c r="A171" s="1487" t="s">
        <v>1954</v>
      </c>
      <c r="B171" s="1484">
        <v>3500</v>
      </c>
      <c r="C171" s="998">
        <f>IF((G171='Input''s from BD(Sales)'!A147),'Input''s from Initial Design'!AW55,0)</f>
        <v>0</v>
      </c>
      <c r="D171" s="988" t="s">
        <v>1196</v>
      </c>
      <c r="E171" s="1594">
        <f>IF($G$171&lt;&gt;'Input''s from BD(Sales)'!A147,0,B171*C171)</f>
        <v>0</v>
      </c>
      <c r="F171" s="1582">
        <f>E171/$G$18/1000</f>
        <v>0</v>
      </c>
      <c r="G171" s="1771" t="str">
        <f>'Input''s from BD(Sales)'!B36</f>
        <v>Not Applicable</v>
      </c>
      <c r="H171" s="1509"/>
      <c r="I171" s="974"/>
      <c r="DH171" s="218"/>
    </row>
    <row r="172" spans="1:112" s="161" customFormat="1" ht="15" customHeight="1">
      <c r="A172" s="1426" t="s">
        <v>1346</v>
      </c>
      <c r="B172" s="1435">
        <f>VLOOKUP(G172,A572:B574,2,0)</f>
        <v>1100</v>
      </c>
      <c r="C172" s="962">
        <f>'Input''s from Initial Design'!AL55</f>
        <v>350</v>
      </c>
      <c r="D172" s="942" t="s">
        <v>1246</v>
      </c>
      <c r="E172" s="1594">
        <f>IF($G$18&lt;1,0,B172*C172)</f>
        <v>385000</v>
      </c>
      <c r="F172" s="1582">
        <f t="shared" si="20"/>
        <v>0.961250374513133</v>
      </c>
      <c r="G172" s="2409" t="s">
        <v>1347</v>
      </c>
      <c r="H172" s="2185" t="s">
        <v>1348</v>
      </c>
      <c r="I172" s="963"/>
      <c r="DH172" s="218"/>
    </row>
    <row r="173" spans="1:112" s="161" customFormat="1">
      <c r="A173" s="1426" t="s">
        <v>1349</v>
      </c>
      <c r="B173" s="1435">
        <v>3546</v>
      </c>
      <c r="C173" s="962">
        <f>'Input''s from Initial Design'!AM55</f>
        <v>51</v>
      </c>
      <c r="D173" s="942" t="s">
        <v>1196</v>
      </c>
      <c r="E173" s="1594">
        <f>IF($G$18&lt;1,0,B173*C173)</f>
        <v>180846</v>
      </c>
      <c r="F173" s="1582">
        <f t="shared" si="20"/>
        <v>0.45152801358234296</v>
      </c>
      <c r="G173" s="2410"/>
      <c r="H173" s="2186"/>
      <c r="I173" s="963"/>
      <c r="DH173" s="218"/>
    </row>
    <row r="174" spans="1:112" s="161" customFormat="1">
      <c r="A174" s="1426" t="s">
        <v>1350</v>
      </c>
      <c r="B174" s="1435">
        <v>3080</v>
      </c>
      <c r="C174" s="962">
        <f>SUM('Input''s from Initial Design'!AN60:AN67)*4+SUM('Input''s from Initial Design'!AN69:AN78)*2*4+SUM('Input''s from Initial Design'!AN79:AN92)*4*4</f>
        <v>8</v>
      </c>
      <c r="D174" s="942" t="s">
        <v>1196</v>
      </c>
      <c r="E174" s="1594">
        <f>IF(C173&lt;1,0,B174*C174)</f>
        <v>24640</v>
      </c>
      <c r="F174" s="1582">
        <f t="shared" si="20"/>
        <v>6.1520023968840515E-2</v>
      </c>
      <c r="G174" s="2411"/>
      <c r="H174" s="2186"/>
      <c r="I174" s="963"/>
      <c r="DH174" s="218"/>
    </row>
    <row r="175" spans="1:112" s="161" customFormat="1">
      <c r="A175" s="1426" t="s">
        <v>1351</v>
      </c>
      <c r="B175" s="1435">
        <v>3250</v>
      </c>
      <c r="C175" s="962">
        <f>C161</f>
        <v>0</v>
      </c>
      <c r="D175" s="942" t="s">
        <v>1352</v>
      </c>
      <c r="E175" s="1594">
        <f>IF($G$161&lt;&gt;'Input''s from BD(Sales)'!A147,0,B175*C175)</f>
        <v>0</v>
      </c>
      <c r="F175" s="1582">
        <f t="shared" si="20"/>
        <v>0</v>
      </c>
      <c r="G175" s="1789" t="str">
        <f>C161 &amp; " Mtr's Considered as per ladder Height"</f>
        <v>0 Mtr's Considered as per ladder Height</v>
      </c>
      <c r="H175" s="2187"/>
      <c r="I175" s="963"/>
      <c r="DH175" s="218"/>
    </row>
    <row r="176" spans="1:112">
      <c r="A176" s="1426" t="s">
        <v>1353</v>
      </c>
      <c r="B176" s="1435">
        <v>2500</v>
      </c>
      <c r="C176" s="962">
        <f>'Input''s from Initial Design'!AT55</f>
        <v>0</v>
      </c>
      <c r="D176" s="942" t="s">
        <v>1246</v>
      </c>
      <c r="E176" s="1594">
        <f>IF($G$176&lt;&gt;'Input''s from Initial Design'!B381,0,B176*C176)</f>
        <v>0</v>
      </c>
      <c r="F176" s="1582">
        <f t="shared" si="20"/>
        <v>0</v>
      </c>
      <c r="G176" s="2366" t="str">
        <f>'Input''s from BD(Sales)'!B34</f>
        <v>Not Required</v>
      </c>
      <c r="H176" s="1511" t="s">
        <v>1221</v>
      </c>
      <c r="I176" s="986"/>
    </row>
    <row r="177" spans="1:112" ht="15" thickBot="1">
      <c r="A177" s="1443" t="s">
        <v>1354</v>
      </c>
      <c r="B177" s="1435">
        <v>3500</v>
      </c>
      <c r="C177" s="962">
        <f>C176/10</f>
        <v>0</v>
      </c>
      <c r="D177" s="942" t="s">
        <v>1196</v>
      </c>
      <c r="E177" s="1594">
        <f>IF($G$176&lt;&gt;'Input''s from Initial Design'!B381,0,B177*C177)</f>
        <v>0</v>
      </c>
      <c r="F177" s="1582">
        <f t="shared" si="20"/>
        <v>0</v>
      </c>
      <c r="G177" s="2366"/>
      <c r="H177" s="1511" t="s">
        <v>1221</v>
      </c>
      <c r="I177" s="1001"/>
    </row>
    <row r="178" spans="1:112" ht="16.2" thickBot="1">
      <c r="A178" s="2166" t="s">
        <v>1355</v>
      </c>
      <c r="B178" s="2166"/>
      <c r="C178" s="2166"/>
      <c r="D178" s="2166"/>
      <c r="E178" s="1729">
        <f>IF($G$18&lt;1,0,SUM(E161:E177))</f>
        <v>640486</v>
      </c>
      <c r="F178" s="1730">
        <f t="shared" si="20"/>
        <v>1.599136123040048</v>
      </c>
      <c r="G178" s="1744"/>
      <c r="H178" s="1745"/>
      <c r="I178" s="1746"/>
    </row>
    <row r="179" spans="1:112" ht="16.2" thickBot="1">
      <c r="A179" s="1734" t="s">
        <v>1356</v>
      </c>
      <c r="B179" s="2180"/>
      <c r="C179" s="2180"/>
      <c r="D179" s="2180"/>
      <c r="E179" s="2180"/>
      <c r="F179" s="2180"/>
      <c r="G179" s="2180"/>
      <c r="H179" s="2180"/>
      <c r="I179" s="2181"/>
    </row>
    <row r="180" spans="1:112" s="161" customFormat="1">
      <c r="A180" s="1425" t="s">
        <v>1357</v>
      </c>
      <c r="B180" s="1435">
        <v>25000</v>
      </c>
      <c r="C180" s="962">
        <f>'Input''s from Initial Design'!AN93</f>
        <v>2</v>
      </c>
      <c r="D180" s="942" t="s">
        <v>1196</v>
      </c>
      <c r="E180" s="1594">
        <f t="shared" ref="E180:E191" si="23">IF($G$18&lt;1,0,B180*C180)</f>
        <v>50000</v>
      </c>
      <c r="F180" s="1581">
        <f t="shared" ref="F180:F194" si="24">E180/$G$18/1000</f>
        <v>0.12483771097573156</v>
      </c>
      <c r="G180" s="1887" t="str">
        <f>C180&amp;" Nos. of Online monitoring"</f>
        <v>2 Nos. of Online monitoring</v>
      </c>
      <c r="H180" s="1514" t="s">
        <v>1358</v>
      </c>
      <c r="I180" s="963"/>
      <c r="DH180" s="218"/>
    </row>
    <row r="181" spans="1:112">
      <c r="A181" s="1426" t="s">
        <v>1359</v>
      </c>
      <c r="B181" s="1435">
        <f>VLOOKUP(G181,A551:B552,2,0)</f>
        <v>1000000</v>
      </c>
      <c r="C181" s="1002">
        <v>0</v>
      </c>
      <c r="D181" s="988" t="s">
        <v>1196</v>
      </c>
      <c r="E181" s="1594">
        <f t="shared" si="23"/>
        <v>0</v>
      </c>
      <c r="F181" s="1582">
        <f t="shared" si="24"/>
        <v>0</v>
      </c>
      <c r="G181" s="1888" t="s">
        <v>1360</v>
      </c>
      <c r="H181" s="1513" t="str">
        <f>VLOOKUP(G181,A547:B548,2,0)</f>
        <v>4PEL Make</v>
      </c>
      <c r="I181" s="963"/>
    </row>
    <row r="182" spans="1:112">
      <c r="A182" s="1426" t="s">
        <v>1361</v>
      </c>
      <c r="B182" s="1435">
        <v>28000</v>
      </c>
      <c r="C182" s="1002">
        <f>IF(G$18&lt;999,1,0)</f>
        <v>1</v>
      </c>
      <c r="D182" s="988" t="s">
        <v>1196</v>
      </c>
      <c r="E182" s="1594">
        <f t="shared" ref="E182" si="25">IF($G$18&lt;1,0,B182*C182)</f>
        <v>28000</v>
      </c>
      <c r="F182" s="1582">
        <f t="shared" ref="F182" si="26">E182/$G$18/1000</f>
        <v>6.9909118146409668E-2</v>
      </c>
      <c r="G182" s="1605"/>
      <c r="H182" s="1787" t="s">
        <v>1362</v>
      </c>
      <c r="I182" s="963"/>
    </row>
    <row r="183" spans="1:112">
      <c r="A183" s="1488" t="s">
        <v>1363</v>
      </c>
      <c r="B183" s="1435" cm="1">
        <f t="array" ref="B183">_xlfn.IFS($G$18&lt;1000,0,$G$18&lt;3000,$B$538,$G$18&lt;5000,$B$539,$G$18&gt;=5000,$B$540)</f>
        <v>0</v>
      </c>
      <c r="C183" s="1002">
        <f>IF(G$18&gt;999,1,0)</f>
        <v>0</v>
      </c>
      <c r="D183" s="942" t="s">
        <v>1196</v>
      </c>
      <c r="E183" s="1594">
        <f t="shared" si="23"/>
        <v>0</v>
      </c>
      <c r="F183" s="1582">
        <f t="shared" si="24"/>
        <v>0</v>
      </c>
      <c r="G183" s="1605"/>
      <c r="H183" s="2178" t="s">
        <v>1364</v>
      </c>
      <c r="I183" s="974"/>
    </row>
    <row r="184" spans="1:112">
      <c r="A184" s="1488" t="s">
        <v>1365</v>
      </c>
      <c r="B184" s="1435" cm="1">
        <f t="array" ref="B184">_xlfn.IFS($G$18&lt;1000,0,$G$18&lt;3000,$B$538,$G$18&lt;5000,$B$539,$G$18&gt;=5000,$B$540)</f>
        <v>0</v>
      </c>
      <c r="C184" s="1002">
        <f>IF(G$18&gt;2999,1,0)</f>
        <v>0</v>
      </c>
      <c r="D184" s="942" t="s">
        <v>1196</v>
      </c>
      <c r="E184" s="1594">
        <f t="shared" ref="E184" si="27">IF($G$18&lt;1,0,B184*C184)</f>
        <v>0</v>
      </c>
      <c r="F184" s="1582">
        <f t="shared" ref="F184" si="28">E184/$G$18/1000</f>
        <v>0</v>
      </c>
      <c r="G184" s="1605"/>
      <c r="H184" s="2179"/>
      <c r="I184" s="974"/>
    </row>
    <row r="185" spans="1:112">
      <c r="A185" s="1428" t="s">
        <v>1366</v>
      </c>
      <c r="B185" s="1435">
        <v>29000</v>
      </c>
      <c r="C185" s="999" cm="1">
        <f t="array" ref="C185">_xlfn.IFS(G$18=0,0,G$18&lt;999.01,0,G$18&lt;2000.01,1,G$18&lt;3000.01,3,G$18&lt;5000.01,3,G$18&gt;5000.01,4)</f>
        <v>0</v>
      </c>
      <c r="D185" s="942" t="s">
        <v>1196</v>
      </c>
      <c r="E185" s="1594">
        <f t="shared" si="23"/>
        <v>0</v>
      </c>
      <c r="F185" s="1582">
        <f t="shared" si="24"/>
        <v>0</v>
      </c>
      <c r="G185" s="1606" t="s">
        <v>1367</v>
      </c>
      <c r="H185" s="2192" t="s">
        <v>1362</v>
      </c>
      <c r="I185" s="974"/>
    </row>
    <row r="186" spans="1:112">
      <c r="A186" s="1428" t="s">
        <v>1368</v>
      </c>
      <c r="B186" s="1435">
        <v>26000</v>
      </c>
      <c r="C186" s="999" cm="1">
        <f t="array" ref="C186">IFERROR(_xlfn.IFS(G$18&gt;3000,1,G$18&gt;5000,2),0)</f>
        <v>0</v>
      </c>
      <c r="D186" s="942" t="s">
        <v>1196</v>
      </c>
      <c r="E186" s="1594">
        <f t="shared" si="23"/>
        <v>0</v>
      </c>
      <c r="F186" s="1582">
        <f t="shared" si="24"/>
        <v>0</v>
      </c>
      <c r="G186" s="1606" t="s">
        <v>1369</v>
      </c>
      <c r="H186" s="2192"/>
      <c r="I186" s="974"/>
    </row>
    <row r="187" spans="1:112">
      <c r="A187" s="1428" t="s">
        <v>1370</v>
      </c>
      <c r="B187" s="1435">
        <v>20000</v>
      </c>
      <c r="C187" s="999" cm="1">
        <f t="array" ref="C187">IFERROR(_xlfn.IFS(G$15&gt;3000,1,G$15&gt;5000,2),0)</f>
        <v>0</v>
      </c>
      <c r="D187" s="942" t="s">
        <v>1196</v>
      </c>
      <c r="E187" s="1594">
        <f t="shared" si="23"/>
        <v>0</v>
      </c>
      <c r="F187" s="1582">
        <f t="shared" si="24"/>
        <v>0</v>
      </c>
      <c r="G187" s="1606" t="s">
        <v>1371</v>
      </c>
      <c r="H187" s="2192"/>
      <c r="I187" s="974"/>
    </row>
    <row r="188" spans="1:112">
      <c r="A188" s="1489" t="s">
        <v>1372</v>
      </c>
      <c r="B188" s="1435">
        <v>20000</v>
      </c>
      <c r="C188" s="999" cm="1">
        <f t="array" ref="C188">IFERROR(_xlfn.IFS(G$15&gt;3000,1,G$15&gt;5000,2),0)</f>
        <v>0</v>
      </c>
      <c r="D188" s="942" t="s">
        <v>1196</v>
      </c>
      <c r="E188" s="1594">
        <f t="shared" si="23"/>
        <v>0</v>
      </c>
      <c r="F188" s="1582">
        <f t="shared" si="24"/>
        <v>0</v>
      </c>
      <c r="G188" s="1607" t="s">
        <v>1373</v>
      </c>
      <c r="H188" s="2192"/>
      <c r="I188" s="974"/>
    </row>
    <row r="189" spans="1:112">
      <c r="A189" s="1489" t="s">
        <v>1374</v>
      </c>
      <c r="B189" s="1435">
        <f>19400+8100</f>
        <v>27500</v>
      </c>
      <c r="C189" s="999">
        <f>IF(G$18&gt;2999,1,0)</f>
        <v>0</v>
      </c>
      <c r="D189" s="942" t="s">
        <v>1196</v>
      </c>
      <c r="E189" s="1594">
        <f t="shared" si="23"/>
        <v>0</v>
      </c>
      <c r="F189" s="1582">
        <f t="shared" si="24"/>
        <v>0</v>
      </c>
      <c r="G189" s="1607" t="s">
        <v>1375</v>
      </c>
      <c r="H189" s="2192"/>
      <c r="I189" s="974"/>
    </row>
    <row r="190" spans="1:112">
      <c r="A190" s="1489" t="s">
        <v>1376</v>
      </c>
      <c r="B190" s="1435">
        <v>25000</v>
      </c>
      <c r="C190" s="999">
        <f>IF(G$18&gt;2999,1,0)</f>
        <v>0</v>
      </c>
      <c r="D190" s="942" t="s">
        <v>1196</v>
      </c>
      <c r="E190" s="1594">
        <f t="shared" si="23"/>
        <v>0</v>
      </c>
      <c r="F190" s="1582">
        <f t="shared" si="24"/>
        <v>0</v>
      </c>
      <c r="G190" s="1607"/>
      <c r="H190" s="2192"/>
      <c r="I190" s="974"/>
    </row>
    <row r="191" spans="1:112">
      <c r="A191" s="1489" t="s">
        <v>1377</v>
      </c>
      <c r="B191" s="1435">
        <v>13250</v>
      </c>
      <c r="C191" s="999" cm="1">
        <f t="array" ref="C191">IFERROR(_xlfn.IFS(G$18&gt;3000,1,G$18&gt;5000,2),0)</f>
        <v>0</v>
      </c>
      <c r="D191" s="942" t="s">
        <v>1196</v>
      </c>
      <c r="E191" s="1594">
        <f t="shared" si="23"/>
        <v>0</v>
      </c>
      <c r="F191" s="1582">
        <f t="shared" si="24"/>
        <v>0</v>
      </c>
      <c r="G191" s="1607" t="s">
        <v>1378</v>
      </c>
      <c r="H191" s="2192"/>
      <c r="I191" s="963"/>
    </row>
    <row r="192" spans="1:112">
      <c r="A192" s="1426" t="s">
        <v>1960</v>
      </c>
      <c r="B192" s="1435">
        <v>45000</v>
      </c>
      <c r="C192" s="999">
        <f>IF(G192='Input''s from BD(Sales)'!A161,'Site Vist fomat  (Design)'!B26,0)</f>
        <v>0</v>
      </c>
      <c r="D192" s="942" t="s">
        <v>1196</v>
      </c>
      <c r="E192" s="1594">
        <f>IF(G192&lt;&gt;'Input''s from BD(Sales)'!A161,0,B192*C192)</f>
        <v>0</v>
      </c>
      <c r="F192" s="1582">
        <f t="shared" si="24"/>
        <v>0</v>
      </c>
      <c r="G192" s="1771" t="str">
        <f>'Input''s from BD(Sales)'!B64</f>
        <v>Net Metering/Net Billing</v>
      </c>
      <c r="H192" s="2369" t="str">
        <f>H180</f>
        <v>Wattmon / Equilent</v>
      </c>
      <c r="I192" s="963"/>
    </row>
    <row r="193" spans="1:9" ht="13.5" customHeight="1" thickBot="1">
      <c r="A193" s="1073" t="s">
        <v>1379</v>
      </c>
      <c r="B193" s="1435">
        <v>45000</v>
      </c>
      <c r="C193" s="999">
        <f>IF($G$18&gt;1,1,0)</f>
        <v>1</v>
      </c>
      <c r="D193" s="942" t="s">
        <v>1196</v>
      </c>
      <c r="E193" s="1594">
        <f>IF($G$18&lt;1,0,B193*C193)</f>
        <v>45000</v>
      </c>
      <c r="F193" s="1582">
        <f t="shared" si="24"/>
        <v>0.11235393987815839</v>
      </c>
      <c r="G193" s="1608" t="s">
        <v>1380</v>
      </c>
      <c r="H193" s="2369"/>
      <c r="I193" s="1003"/>
    </row>
    <row r="194" spans="1:9" ht="16.2" thickBot="1">
      <c r="A194" s="2166" t="s">
        <v>1381</v>
      </c>
      <c r="B194" s="2167"/>
      <c r="C194" s="2167"/>
      <c r="D194" s="2168"/>
      <c r="E194" s="1729">
        <f>IF($G$18&lt;1,0,SUM(E180:E193))</f>
        <v>123000</v>
      </c>
      <c r="F194" s="1730">
        <f t="shared" si="24"/>
        <v>0.30710076900029964</v>
      </c>
      <c r="G194" s="1744"/>
      <c r="H194" s="1745"/>
      <c r="I194" s="1746"/>
    </row>
    <row r="195" spans="1:9" ht="16.2" thickBot="1">
      <c r="A195" s="1734" t="s">
        <v>1382</v>
      </c>
      <c r="B195" s="2180"/>
      <c r="C195" s="2194"/>
      <c r="D195" s="2194"/>
      <c r="E195" s="2194"/>
      <c r="F195" s="2194"/>
      <c r="G195" s="2194"/>
      <c r="H195" s="2194"/>
      <c r="I195" s="2195"/>
    </row>
    <row r="196" spans="1:9">
      <c r="A196" s="1426" t="s">
        <v>1383</v>
      </c>
      <c r="B196" s="1435">
        <f>IFERROR(VLOOKUP(G196,'Input''s from BD(Sales)'!B157:C159,2,0),0)</f>
        <v>0</v>
      </c>
      <c r="C196" s="1005" t="b">
        <f>IF(OR('Input''s from BD(Sales)'!B51='Input''s from BD(Sales)'!A147,'Input''s from Initial Design'!BG55),'Input''s from Initial Design'!BG55)</f>
        <v>0</v>
      </c>
      <c r="D196" s="988" t="s">
        <v>1246</v>
      </c>
      <c r="E196" s="1594">
        <f>IF(SUM($G$14:$G$17)&lt;&gt;0,IF('Input''s from BD(Sales)'!B51='Input''s from BD(Sales)'!A147,B196*C196,0),0)</f>
        <v>0</v>
      </c>
      <c r="F196" s="1581">
        <f t="shared" ref="F196:F200" si="29">E196/$G$18/1000</f>
        <v>0</v>
      </c>
      <c r="G196" s="2109">
        <f>'Input''s from BD(Sales)'!B52</f>
        <v>0</v>
      </c>
      <c r="H196" s="1511" t="s">
        <v>1221</v>
      </c>
      <c r="I196" s="963"/>
    </row>
    <row r="197" spans="1:9">
      <c r="A197" s="1426" t="s">
        <v>1384</v>
      </c>
      <c r="B197" s="1435">
        <v>50000</v>
      </c>
      <c r="C197" s="1005">
        <f>IF(OR(E196&gt;0,0),1,0)</f>
        <v>0</v>
      </c>
      <c r="D197" s="988" t="s">
        <v>1196</v>
      </c>
      <c r="E197" s="1594">
        <f>IF(SUM($G$14:$G$17)&lt;&gt;0,IF('Input''s from BD(Sales)'!A147='Input''s from BD(Sales)'!A147,B197*C197,0),0)</f>
        <v>0</v>
      </c>
      <c r="F197" s="1582">
        <f>E197/$G$18/1000</f>
        <v>0</v>
      </c>
      <c r="G197" s="2140">
        <f>'Input''s from BD(Sales)'!B51</f>
        <v>0</v>
      </c>
      <c r="H197" s="1512" t="s">
        <v>1221</v>
      </c>
      <c r="I197" s="963"/>
    </row>
    <row r="198" spans="1:9">
      <c r="A198" s="1505" t="s">
        <v>1385</v>
      </c>
      <c r="B198" s="1460">
        <v>5000</v>
      </c>
      <c r="C198" s="1708">
        <f>ROUNDUP('Input''s from Initial Design'!BG55/25,0)</f>
        <v>0</v>
      </c>
      <c r="D198" s="1709" t="s">
        <v>1196</v>
      </c>
      <c r="E198" s="1578">
        <f>IF(SUM($G$14:$G$17)&lt;&gt;0,IF(G198='Input''s from BD(Sales)'!A147,B198*C198,0),0)</f>
        <v>0</v>
      </c>
      <c r="F198" s="1710">
        <f t="shared" si="29"/>
        <v>0</v>
      </c>
      <c r="G198" s="2176">
        <f>'Input''s from BD(Sales)'!B53</f>
        <v>0</v>
      </c>
      <c r="H198" s="1509" t="s">
        <v>1221</v>
      </c>
      <c r="I198" s="961"/>
    </row>
    <row r="199" spans="1:9" ht="15" thickBot="1">
      <c r="A199" s="1426" t="s">
        <v>1386</v>
      </c>
      <c r="B199" s="1435">
        <v>6000</v>
      </c>
      <c r="C199" s="1006">
        <f>C198</f>
        <v>0</v>
      </c>
      <c r="D199" s="988" t="s">
        <v>1196</v>
      </c>
      <c r="E199" s="1594">
        <f>IF(SUM($G$14:$G$17)&lt;&gt;0,IF(G198='Input''s from BD(Sales)'!A147,B199*C199,0),0)</f>
        <v>0</v>
      </c>
      <c r="F199" s="1582">
        <f t="shared" si="29"/>
        <v>0</v>
      </c>
      <c r="G199" s="2177"/>
      <c r="H199" s="1511" t="s">
        <v>1387</v>
      </c>
      <c r="I199" s="963"/>
    </row>
    <row r="200" spans="1:9" ht="16.2" thickBot="1">
      <c r="A200" s="2166" t="s">
        <v>1388</v>
      </c>
      <c r="B200" s="2167"/>
      <c r="C200" s="2167"/>
      <c r="D200" s="2168"/>
      <c r="E200" s="1729">
        <f>IF($G$18&lt;1,0,SUM(E195:E199))</f>
        <v>0</v>
      </c>
      <c r="F200" s="1730">
        <f t="shared" si="29"/>
        <v>0</v>
      </c>
      <c r="G200" s="1744"/>
      <c r="H200" s="1746"/>
      <c r="I200" s="1750"/>
    </row>
    <row r="201" spans="1:9" ht="16.2" thickBot="1">
      <c r="A201" s="1734" t="s">
        <v>1389</v>
      </c>
      <c r="B201" s="2180"/>
      <c r="C201" s="2180"/>
      <c r="D201" s="2180"/>
      <c r="E201" s="2180"/>
      <c r="F201" s="2180"/>
      <c r="G201" s="2180"/>
      <c r="H201" s="2180"/>
      <c r="I201" s="2181"/>
    </row>
    <row r="202" spans="1:9" ht="16.2" thickBot="1">
      <c r="A202" s="1664" t="s">
        <v>1390</v>
      </c>
      <c r="B202" s="2197"/>
      <c r="C202" s="2198"/>
      <c r="D202" s="2198"/>
      <c r="E202" s="2198"/>
      <c r="F202" s="2198"/>
      <c r="G202" s="2198"/>
      <c r="H202" s="2198"/>
      <c r="I202" s="2199"/>
    </row>
    <row r="203" spans="1:9">
      <c r="A203" s="1429" t="s">
        <v>1391</v>
      </c>
      <c r="B203" s="1430">
        <v>2500</v>
      </c>
      <c r="C203" s="1007" cm="1">
        <f t="array" ref="C203">IFERROR(_xlfn.IFS(AND(G47&gt;0,G47=G559),C47/75,AND(G47&gt;0,G47=G560),C47/40,AND(G47&gt;0,OR(G47=G562,G47=G563)),C47/63,AND(G47&gt;0,G47=G561),C47/50),0)*1.05</f>
        <v>0</v>
      </c>
      <c r="D203" s="1008" t="s">
        <v>1196</v>
      </c>
      <c r="E203" s="1593">
        <f t="shared" ref="E203:E211" si="30">IF($G$18&lt;1,0,B203*C203)</f>
        <v>0</v>
      </c>
      <c r="F203" s="1589">
        <f t="shared" ref="F203:F217" si="31">E203/$G$18/1000</f>
        <v>0</v>
      </c>
      <c r="G203" s="1609" t="s">
        <v>1392</v>
      </c>
      <c r="H203" s="2202" t="s">
        <v>1393</v>
      </c>
      <c r="I203" s="1009"/>
    </row>
    <row r="204" spans="1:9">
      <c r="A204" s="1428" t="s">
        <v>1394</v>
      </c>
      <c r="B204" s="1431">
        <v>2500</v>
      </c>
      <c r="C204" s="1010">
        <f>IF(AND(G$47&gt;0,G$48&gt;0),ROUNDUP(('Input''s from Initial Design'!AI55/94)+(C$139/130)+(SUM(C167:C168)*2.6/94)+(SUM(C169:C170)*5.2/94)+(C171*2/94)+(C$134*3.2/94)+(C$215/25),0),IF(G$47&gt;0,ROUNDUP(('Input''s from Initial Design'!AI55/94)+(C$139/130)+(SUM(C167:C168)*2.6/94)+(SUM(C169:C170)*5.2/94)+(C171*2/94)+(C$134*3.2/94)+(C$215/25),0),IF(G$48&gt;0,ROUNDUP(('Input''s from Initial Design'!AI55/94)+(C$139/130)+(SUM(C167:C168)*2.6/94)+(SUM(C169:C170)*5.2/94)+(C171*2/94)+(C$215/25),0),0)))*1.05</f>
        <v>0</v>
      </c>
      <c r="D204" s="1011" t="s">
        <v>1196</v>
      </c>
      <c r="E204" s="1586">
        <f t="shared" si="30"/>
        <v>0</v>
      </c>
      <c r="F204" s="1591">
        <f t="shared" si="31"/>
        <v>0</v>
      </c>
      <c r="G204" s="1610" t="s">
        <v>1395</v>
      </c>
      <c r="H204" s="2173"/>
      <c r="I204" s="1012"/>
    </row>
    <row r="205" spans="1:9">
      <c r="A205" s="1428" t="s">
        <v>1396</v>
      </c>
      <c r="B205" s="1490">
        <v>6</v>
      </c>
      <c r="C205" s="1010">
        <f>ROUNDUP(SUM(C128),0)</f>
        <v>615</v>
      </c>
      <c r="D205" s="1011" t="s">
        <v>1196</v>
      </c>
      <c r="E205" s="1586">
        <f t="shared" si="30"/>
        <v>3690</v>
      </c>
      <c r="F205" s="1591">
        <f t="shared" si="31"/>
        <v>9.2130230700089889E-3</v>
      </c>
      <c r="G205" s="1611"/>
      <c r="H205" s="1515" t="s">
        <v>1221</v>
      </c>
      <c r="I205" s="1012"/>
    </row>
    <row r="206" spans="1:9">
      <c r="A206" s="1428" t="s">
        <v>1397</v>
      </c>
      <c r="B206" s="1490">
        <v>3.5</v>
      </c>
      <c r="C206" s="1010">
        <f>C205*2+C216+C208*2+(C247*2*1.2)+(SUM(C167:C170)/2.6)*1.1</f>
        <v>3179.6</v>
      </c>
      <c r="D206" s="1011" t="s">
        <v>1196</v>
      </c>
      <c r="E206" s="1586">
        <f t="shared" si="30"/>
        <v>11128.6</v>
      </c>
      <c r="F206" s="1591">
        <f t="shared" si="31"/>
        <v>2.7785379007290525E-2</v>
      </c>
      <c r="G206" s="1611"/>
      <c r="H206" s="2171" t="s">
        <v>1398</v>
      </c>
      <c r="I206" s="1012"/>
    </row>
    <row r="207" spans="1:9">
      <c r="A207" s="1428" t="s">
        <v>1399</v>
      </c>
      <c r="B207" s="1490">
        <v>6.5</v>
      </c>
      <c r="C207" s="1010">
        <f>ROUNDUP(SUM(C128:C129)*15%+C139,0)+C125*6</f>
        <v>542</v>
      </c>
      <c r="D207" s="1011" t="s">
        <v>1196</v>
      </c>
      <c r="E207" s="1586">
        <f t="shared" si="30"/>
        <v>3523</v>
      </c>
      <c r="F207" s="1591">
        <f t="shared" si="31"/>
        <v>8.7960651153500442E-3</v>
      </c>
      <c r="G207" s="1611"/>
      <c r="H207" s="2173"/>
      <c r="I207" s="1012"/>
    </row>
    <row r="208" spans="1:9">
      <c r="A208" s="1428" t="s">
        <v>1400</v>
      </c>
      <c r="B208" s="1431">
        <v>35</v>
      </c>
      <c r="C208" s="1010">
        <f>ROUNDUP(C139+C140,0)+C143+C144</f>
        <v>370</v>
      </c>
      <c r="D208" s="1011" t="s">
        <v>1196</v>
      </c>
      <c r="E208" s="1586">
        <f t="shared" si="30"/>
        <v>12950</v>
      </c>
      <c r="F208" s="1591">
        <f t="shared" si="31"/>
        <v>3.2332967142714476E-2</v>
      </c>
      <c r="G208" s="1611"/>
      <c r="H208" s="1515" t="s">
        <v>1221</v>
      </c>
      <c r="I208" s="1012"/>
    </row>
    <row r="209" spans="1:112">
      <c r="A209" s="1428" t="s">
        <v>1943</v>
      </c>
      <c r="B209" s="1431">
        <v>70</v>
      </c>
      <c r="C209" s="1010">
        <f>C145*1+C147*2</f>
        <v>0</v>
      </c>
      <c r="D209" s="1011" t="s">
        <v>1196</v>
      </c>
      <c r="E209" s="1586">
        <f>IF(SUM(G11:G13)&lt;1,0,B209*C209)</f>
        <v>0</v>
      </c>
      <c r="F209" s="1591">
        <f t="shared" ref="F209" si="32">E209/$G$18/1000</f>
        <v>0</v>
      </c>
      <c r="G209" s="1611"/>
      <c r="H209" s="1515" t="s">
        <v>1221</v>
      </c>
      <c r="I209" s="1012"/>
    </row>
    <row r="210" spans="1:112">
      <c r="A210" s="1428" t="s">
        <v>1944</v>
      </c>
      <c r="B210" s="1431">
        <v>120</v>
      </c>
      <c r="C210" s="1010">
        <f>ROUNDUP(C146*1+SUM(C148:C149)*2,0)</f>
        <v>0</v>
      </c>
      <c r="D210" s="1011" t="s">
        <v>1196</v>
      </c>
      <c r="E210" s="1586">
        <f>IF(SUM(G11:G13)&lt;1,0,B210*C210)</f>
        <v>0</v>
      </c>
      <c r="F210" s="1591">
        <f t="shared" ref="F210" si="33">E210/$G$18/1000</f>
        <v>0</v>
      </c>
      <c r="G210" s="1611"/>
      <c r="H210" s="1515" t="s">
        <v>1221</v>
      </c>
      <c r="I210" s="1012"/>
    </row>
    <row r="211" spans="1:112" s="161" customFormat="1">
      <c r="A211" s="1428" t="s">
        <v>1401</v>
      </c>
      <c r="B211" s="1453">
        <f>17</f>
        <v>17</v>
      </c>
      <c r="C211" s="1010">
        <f>(C134*3.2+C135*8.8+C136*4)*1.05</f>
        <v>1176</v>
      </c>
      <c r="D211" s="1011" t="s">
        <v>1196</v>
      </c>
      <c r="E211" s="1586">
        <f t="shared" si="30"/>
        <v>19992</v>
      </c>
      <c r="F211" s="1591">
        <f t="shared" si="31"/>
        <v>4.99151103565365E-2</v>
      </c>
      <c r="G211" s="1612"/>
      <c r="H211" s="1515" t="s">
        <v>1221</v>
      </c>
      <c r="I211" s="961"/>
      <c r="M211" s="156"/>
      <c r="N211" s="156"/>
      <c r="O211" s="156"/>
      <c r="P211" s="156"/>
      <c r="Q211" s="156"/>
      <c r="R211" s="156"/>
      <c r="S211" s="156"/>
      <c r="T211" s="156"/>
      <c r="U211" s="156"/>
      <c r="V211" s="156"/>
      <c r="W211" s="156"/>
      <c r="DH211" s="218"/>
    </row>
    <row r="212" spans="1:112" s="161" customFormat="1">
      <c r="A212" s="1428" t="s">
        <v>1402</v>
      </c>
      <c r="B212" s="1453">
        <f>49+5</f>
        <v>54</v>
      </c>
      <c r="C212" s="1010">
        <f>C134*3.2+'Input''s from Initial Design'!AI55+(SUM(C167:C170)/2.6)*1.1</f>
        <v>1528</v>
      </c>
      <c r="D212" s="1011" t="s">
        <v>1196</v>
      </c>
      <c r="E212" s="1586">
        <f>IF(G47&lt;1,0,B212*C212)</f>
        <v>0</v>
      </c>
      <c r="F212" s="1591">
        <f t="shared" si="31"/>
        <v>0</v>
      </c>
      <c r="G212" s="1613" t="s">
        <v>1403</v>
      </c>
      <c r="H212" s="2171" t="s">
        <v>1404</v>
      </c>
      <c r="I212" s="1015"/>
      <c r="M212" s="156"/>
      <c r="N212" s="156"/>
      <c r="O212" s="156"/>
      <c r="P212" s="156"/>
      <c r="Q212" s="156"/>
      <c r="R212" s="156"/>
      <c r="S212" s="156"/>
      <c r="T212" s="156"/>
      <c r="U212" s="156"/>
      <c r="V212" s="156"/>
      <c r="W212" s="156"/>
      <c r="DH212" s="218"/>
    </row>
    <row r="213" spans="1:112" s="161" customFormat="1">
      <c r="A213" s="1428" t="s">
        <v>1405</v>
      </c>
      <c r="B213" s="1453">
        <f>60+5</f>
        <v>65</v>
      </c>
      <c r="C213" s="1010">
        <f>C134*3.2+C168*2.6+C167*2.6+'Input''s from Initial Design'!AI55</f>
        <v>1528</v>
      </c>
      <c r="D213" s="1011" t="s">
        <v>1196</v>
      </c>
      <c r="E213" s="1586">
        <f>IF(G48&lt;1,0,B213*C213)</f>
        <v>0</v>
      </c>
      <c r="F213" s="1591">
        <f t="shared" si="31"/>
        <v>0</v>
      </c>
      <c r="G213" s="1613" t="s">
        <v>1406</v>
      </c>
      <c r="H213" s="2173"/>
      <c r="I213" s="1015"/>
      <c r="M213" s="156"/>
      <c r="N213" s="156"/>
      <c r="O213" s="156"/>
      <c r="P213" s="156"/>
      <c r="Q213" s="156"/>
      <c r="R213" s="156"/>
      <c r="S213" s="156"/>
      <c r="T213" s="156"/>
      <c r="U213" s="156"/>
      <c r="V213" s="156"/>
      <c r="W213" s="156"/>
      <c r="DH213" s="218"/>
    </row>
    <row r="214" spans="1:112" s="161" customFormat="1">
      <c r="A214" s="1428" t="s">
        <v>1407</v>
      </c>
      <c r="B214" s="1453">
        <f>25</f>
        <v>25</v>
      </c>
      <c r="C214" s="1010">
        <f>ROUNDUP((C134/3)*2,0)*1.05</f>
        <v>245.70000000000002</v>
      </c>
      <c r="D214" s="1011" t="s">
        <v>1196</v>
      </c>
      <c r="E214" s="1586">
        <f>IF($G$18&lt;1,0,B214*C214)</f>
        <v>6142.5</v>
      </c>
      <c r="F214" s="1591">
        <f t="shared" si="31"/>
        <v>1.5336312793368622E-2</v>
      </c>
      <c r="H214" s="1515" t="s">
        <v>1408</v>
      </c>
      <c r="I214" s="1015"/>
      <c r="M214" s="156"/>
      <c r="N214" s="156"/>
      <c r="O214" s="156"/>
      <c r="P214" s="156"/>
      <c r="Q214" s="156"/>
      <c r="R214" s="156"/>
      <c r="S214" s="156"/>
      <c r="T214" s="156"/>
      <c r="U214" s="156"/>
      <c r="V214" s="156"/>
      <c r="W214" s="156"/>
      <c r="DH214" s="218"/>
    </row>
    <row r="215" spans="1:112" s="161" customFormat="1">
      <c r="A215" s="1428" t="s">
        <v>1409</v>
      </c>
      <c r="B215" s="1431">
        <v>170</v>
      </c>
      <c r="C215" s="1010">
        <f>C135*4.4+C136*2</f>
        <v>0</v>
      </c>
      <c r="D215" s="1011" t="s">
        <v>1196</v>
      </c>
      <c r="E215" s="1586">
        <f>IF($G$18&lt;1,0,B215*C215)</f>
        <v>0</v>
      </c>
      <c r="F215" s="1591">
        <f t="shared" si="31"/>
        <v>0</v>
      </c>
      <c r="G215" s="1612"/>
      <c r="H215" s="1515" t="s">
        <v>1221</v>
      </c>
      <c r="I215" s="1015"/>
      <c r="M215" s="156"/>
      <c r="N215" s="156"/>
      <c r="O215" s="156"/>
      <c r="P215" s="156"/>
      <c r="Q215" s="156"/>
      <c r="R215" s="156"/>
      <c r="S215" s="156"/>
      <c r="T215" s="156"/>
      <c r="U215" s="156"/>
      <c r="V215" s="156"/>
      <c r="W215" s="156"/>
      <c r="DH215" s="218"/>
    </row>
    <row r="216" spans="1:112">
      <c r="A216" s="1428" t="s">
        <v>1410</v>
      </c>
      <c r="B216" s="1431">
        <v>35</v>
      </c>
      <c r="C216" s="1010">
        <f>'Input''s from Initial Design'!AE55</f>
        <v>0</v>
      </c>
      <c r="D216" s="1011" t="s">
        <v>1196</v>
      </c>
      <c r="E216" s="1586">
        <f>IF($G$18&lt;1,0,B216*C216)</f>
        <v>0</v>
      </c>
      <c r="F216" s="1591">
        <f t="shared" si="31"/>
        <v>0</v>
      </c>
      <c r="G216" s="1611"/>
      <c r="H216" s="1517" t="s">
        <v>1221</v>
      </c>
      <c r="I216" s="1016"/>
    </row>
    <row r="217" spans="1:112">
      <c r="A217" s="1458" t="s">
        <v>1411</v>
      </c>
      <c r="B217" s="1432">
        <v>95</v>
      </c>
      <c r="C217" s="1017">
        <f>ROUNDUP(G18/9,0)</f>
        <v>45</v>
      </c>
      <c r="D217" s="1018" t="s">
        <v>1246</v>
      </c>
      <c r="E217" s="1587">
        <f>IF($G$18&lt;1,0,B217*C217)</f>
        <v>4275</v>
      </c>
      <c r="F217" s="1592">
        <f t="shared" si="31"/>
        <v>1.0673624288425047E-2</v>
      </c>
      <c r="G217" s="1614"/>
      <c r="H217" s="1516" t="s">
        <v>1412</v>
      </c>
      <c r="I217" s="947"/>
    </row>
    <row r="218" spans="1:112" ht="15.6">
      <c r="A218" s="1663" t="s">
        <v>1413</v>
      </c>
      <c r="B218" s="1629"/>
      <c r="C218" s="1630"/>
      <c r="D218" s="1630"/>
      <c r="E218" s="1630"/>
      <c r="F218" s="1631"/>
      <c r="G218" s="1630"/>
      <c r="H218" s="1631"/>
      <c r="I218" s="1632"/>
    </row>
    <row r="219" spans="1:112">
      <c r="A219" s="1491" t="s">
        <v>1414</v>
      </c>
      <c r="B219" s="1430">
        <v>830</v>
      </c>
      <c r="C219" s="1007">
        <f>C271</f>
        <v>2</v>
      </c>
      <c r="D219" s="1008" t="s">
        <v>1196</v>
      </c>
      <c r="E219" s="1593">
        <f t="shared" ref="E219:E264" si="34">IF($G$18&lt;1,0,B219*C219)</f>
        <v>1660</v>
      </c>
      <c r="F219" s="1590">
        <f t="shared" ref="F219:F253" si="35">E219/$G$18/1000</f>
        <v>4.1446120043942877E-3</v>
      </c>
      <c r="G219" s="1609" t="s">
        <v>1415</v>
      </c>
      <c r="H219" s="1704" t="s">
        <v>1416</v>
      </c>
      <c r="I219" s="1009"/>
    </row>
    <row r="220" spans="1:112">
      <c r="A220" s="1492" t="s">
        <v>1417</v>
      </c>
      <c r="B220" s="1431">
        <v>1850</v>
      </c>
      <c r="C220" s="1010">
        <f>C272+C273</f>
        <v>0</v>
      </c>
      <c r="D220" s="1011" t="s">
        <v>1196</v>
      </c>
      <c r="E220" s="1586">
        <f t="shared" si="34"/>
        <v>0</v>
      </c>
      <c r="F220" s="1591">
        <f t="shared" si="35"/>
        <v>0</v>
      </c>
      <c r="G220" s="1610" t="s">
        <v>1415</v>
      </c>
      <c r="H220" s="1705" t="s">
        <v>1416</v>
      </c>
      <c r="I220" s="1012"/>
    </row>
    <row r="221" spans="1:112">
      <c r="A221" s="1492" t="s">
        <v>1418</v>
      </c>
      <c r="B221" s="1431">
        <v>20</v>
      </c>
      <c r="C221" s="1010" cm="1">
        <f t="array" ref="C221">SUM(IF('Input''s from Initial Design'!C25:C54&lt;&gt;'Input''s from Initial Design'!R7,IF('Input''s from Initial Design'!W25:W54&lt;5.01,'Input''s from Initial Design'!F25:F54*2)))</f>
        <v>1292</v>
      </c>
      <c r="D221" s="1011" t="s">
        <v>1196</v>
      </c>
      <c r="E221" s="1586">
        <f>IF($G$18&lt;1,0,B221*C221)</f>
        <v>25840</v>
      </c>
      <c r="F221" s="1591">
        <f t="shared" ref="F221" si="36">E221/$G$18/1000</f>
        <v>6.4516129032258063E-2</v>
      </c>
      <c r="G221" s="1610" t="s">
        <v>1419</v>
      </c>
      <c r="H221" s="1706" t="s">
        <v>1221</v>
      </c>
      <c r="I221" s="1012"/>
    </row>
    <row r="222" spans="1:112">
      <c r="A222" s="1492" t="s">
        <v>1418</v>
      </c>
      <c r="B222" s="1431">
        <v>20</v>
      </c>
      <c r="C222" s="1010" cm="1">
        <f t="array" ref="C222">SUM(IF('Input''s from Initial Design'!C25:C54="Shed",IF('Input''s from Initial Design'!W25:W54&lt;8.01,'Input''s from Initial Design'!F25:F54*2)))</f>
        <v>0</v>
      </c>
      <c r="D222" s="1011" t="s">
        <v>1196</v>
      </c>
      <c r="E222" s="1586">
        <f t="shared" ref="E222" si="37">IF($G$18&lt;1,0,B222*C222)</f>
        <v>0</v>
      </c>
      <c r="F222" s="1591">
        <f t="shared" ref="F222" si="38">E222/$G$18/1000</f>
        <v>0</v>
      </c>
      <c r="G222" s="1610" t="s">
        <v>1420</v>
      </c>
      <c r="H222" s="1706" t="s">
        <v>1221</v>
      </c>
      <c r="I222" s="1012"/>
    </row>
    <row r="223" spans="1:112" s="925" customFormat="1">
      <c r="A223" s="1428" t="s">
        <v>1421</v>
      </c>
      <c r="B223" s="1431">
        <v>50</v>
      </c>
      <c r="C223" s="1010">
        <f>ROUNDUP(G18/60,0)</f>
        <v>7</v>
      </c>
      <c r="D223" s="1011" t="s">
        <v>1422</v>
      </c>
      <c r="E223" s="1586">
        <f t="shared" si="34"/>
        <v>350</v>
      </c>
      <c r="F223" s="1591">
        <f t="shared" si="35"/>
        <v>8.7386397683012081E-4</v>
      </c>
      <c r="G223" s="1611"/>
      <c r="H223" s="2200" t="s">
        <v>1423</v>
      </c>
      <c r="I223" s="1013"/>
      <c r="DH223" s="933"/>
    </row>
    <row r="224" spans="1:112" s="925" customFormat="1">
      <c r="A224" s="1428" t="s">
        <v>1424</v>
      </c>
      <c r="B224" s="1431">
        <v>60</v>
      </c>
      <c r="C224" s="1010">
        <f>ROUNDUP(G18/70,0)</f>
        <v>6</v>
      </c>
      <c r="D224" s="1011" t="s">
        <v>1422</v>
      </c>
      <c r="E224" s="1586">
        <f t="shared" si="34"/>
        <v>360</v>
      </c>
      <c r="F224" s="1591">
        <f t="shared" si="35"/>
        <v>8.988315190252671E-4</v>
      </c>
      <c r="G224" s="1611"/>
      <c r="H224" s="2370"/>
      <c r="I224" s="1013"/>
      <c r="DH224" s="933"/>
    </row>
    <row r="225" spans="1:112" s="925" customFormat="1">
      <c r="A225" s="1428" t="s">
        <v>1425</v>
      </c>
      <c r="B225" s="1431">
        <v>290</v>
      </c>
      <c r="C225" s="1010">
        <f>ROUNDUP(G18/80,0)</f>
        <v>6</v>
      </c>
      <c r="D225" s="1011" t="s">
        <v>1422</v>
      </c>
      <c r="E225" s="1586">
        <f t="shared" si="34"/>
        <v>1740</v>
      </c>
      <c r="F225" s="1591">
        <f t="shared" si="35"/>
        <v>4.344352341955458E-3</v>
      </c>
      <c r="G225" s="1611"/>
      <c r="H225" s="2370"/>
      <c r="I225" s="1013"/>
      <c r="DH225" s="933"/>
    </row>
    <row r="226" spans="1:112">
      <c r="A226" s="1428" t="s">
        <v>1426</v>
      </c>
      <c r="B226" s="1431">
        <v>330</v>
      </c>
      <c r="C226" s="1010">
        <f>ROUNDUP(G18/70,0)</f>
        <v>6</v>
      </c>
      <c r="D226" s="1011" t="s">
        <v>1422</v>
      </c>
      <c r="E226" s="1586">
        <f t="shared" si="34"/>
        <v>1980</v>
      </c>
      <c r="F226" s="1591">
        <f t="shared" si="35"/>
        <v>4.9435733546389698E-3</v>
      </c>
      <c r="G226" s="1611"/>
      <c r="H226" s="2370"/>
      <c r="I226" s="1012"/>
    </row>
    <row r="227" spans="1:112" s="925" customFormat="1">
      <c r="A227" s="1428" t="s">
        <v>1427</v>
      </c>
      <c r="B227" s="1431">
        <v>540</v>
      </c>
      <c r="C227" s="1010">
        <f>ROUNDUP(G18/80,0)</f>
        <v>6</v>
      </c>
      <c r="D227" s="1011" t="s">
        <v>1422</v>
      </c>
      <c r="E227" s="1586">
        <f t="shared" si="34"/>
        <v>3240</v>
      </c>
      <c r="F227" s="1591">
        <f t="shared" si="35"/>
        <v>8.0894836712274033E-3</v>
      </c>
      <c r="G227" s="1611"/>
      <c r="H227" s="2370"/>
      <c r="I227" s="1013"/>
      <c r="DH227" s="933"/>
    </row>
    <row r="228" spans="1:112" s="925" customFormat="1">
      <c r="A228" s="1428" t="s">
        <v>1428</v>
      </c>
      <c r="B228" s="1431">
        <v>700</v>
      </c>
      <c r="C228" s="1010">
        <f>ROUNDUP(G18/80,0)</f>
        <v>6</v>
      </c>
      <c r="D228" s="1011" t="s">
        <v>1422</v>
      </c>
      <c r="E228" s="1586">
        <f t="shared" si="34"/>
        <v>4200</v>
      </c>
      <c r="F228" s="1591">
        <f t="shared" si="35"/>
        <v>1.0486367721961451E-2</v>
      </c>
      <c r="G228" s="1611"/>
      <c r="H228" s="2370"/>
      <c r="I228" s="1013"/>
      <c r="DH228" s="933"/>
    </row>
    <row r="229" spans="1:112">
      <c r="A229" s="1428" t="s">
        <v>1429</v>
      </c>
      <c r="B229" s="1431">
        <v>860</v>
      </c>
      <c r="C229" s="1010">
        <f>ROUNDUP(G18/70,0)</f>
        <v>6</v>
      </c>
      <c r="D229" s="1011" t="s">
        <v>1422</v>
      </c>
      <c r="E229" s="1586">
        <f t="shared" si="34"/>
        <v>5160</v>
      </c>
      <c r="F229" s="1591">
        <f t="shared" si="35"/>
        <v>1.2883251772695496E-2</v>
      </c>
      <c r="G229" s="1611"/>
      <c r="H229" s="2201"/>
      <c r="I229" s="1012"/>
    </row>
    <row r="230" spans="1:112">
      <c r="A230" s="1428" t="s">
        <v>1430</v>
      </c>
      <c r="B230" s="1431">
        <v>1850</v>
      </c>
      <c r="C230" s="1010">
        <f>SUM(C123:C123)</f>
        <v>1</v>
      </c>
      <c r="D230" s="1011" t="s">
        <v>1196</v>
      </c>
      <c r="E230" s="1586">
        <f t="shared" si="34"/>
        <v>1850</v>
      </c>
      <c r="F230" s="1591">
        <f t="shared" si="35"/>
        <v>4.6189953061020672E-3</v>
      </c>
      <c r="G230" s="1611"/>
      <c r="H230" s="1706" t="s">
        <v>1221</v>
      </c>
      <c r="I230" s="1012"/>
    </row>
    <row r="231" spans="1:112">
      <c r="A231" s="1428" t="s">
        <v>1431</v>
      </c>
      <c r="B231" s="1431">
        <v>25</v>
      </c>
      <c r="C231" s="1010">
        <f>SUM(C123:C123)*25</f>
        <v>25</v>
      </c>
      <c r="D231" s="1011" t="s">
        <v>1246</v>
      </c>
      <c r="E231" s="1586">
        <f t="shared" si="34"/>
        <v>625</v>
      </c>
      <c r="F231" s="1591">
        <f t="shared" si="35"/>
        <v>1.5604713871966444E-3</v>
      </c>
      <c r="G231" s="1611"/>
      <c r="H231" s="1706" t="s">
        <v>1221</v>
      </c>
      <c r="I231" s="1012"/>
    </row>
    <row r="232" spans="1:112">
      <c r="A232" s="1428" t="s">
        <v>1432</v>
      </c>
      <c r="B232" s="1431">
        <v>52</v>
      </c>
      <c r="C232" s="1010">
        <f>CEILING(G18*2*1.03/5,10)</f>
        <v>170</v>
      </c>
      <c r="D232" s="1011" t="s">
        <v>1196</v>
      </c>
      <c r="E232" s="1586">
        <f t="shared" si="34"/>
        <v>8840</v>
      </c>
      <c r="F232" s="1591">
        <f t="shared" si="35"/>
        <v>2.2071307300509338E-2</v>
      </c>
      <c r="G232" s="1611"/>
      <c r="H232" s="2383" t="s">
        <v>1433</v>
      </c>
      <c r="I232" s="1014"/>
    </row>
    <row r="233" spans="1:112">
      <c r="A233" s="1428" t="s">
        <v>1434</v>
      </c>
      <c r="B233" s="1431">
        <v>650</v>
      </c>
      <c r="C233" s="1640">
        <f>'Input''s from Initial Design'!V55</f>
        <v>33</v>
      </c>
      <c r="D233" s="1011" t="s">
        <v>1196</v>
      </c>
      <c r="E233" s="1586">
        <f t="shared" ref="E233" si="39">IF($G$18&lt;1,0,B233*C233)</f>
        <v>21450</v>
      </c>
      <c r="F233" s="1591">
        <f t="shared" ref="F233" si="40">E233/$G$18/1000</f>
        <v>5.3555378008588839E-2</v>
      </c>
      <c r="G233" s="1641"/>
      <c r="H233" s="2384"/>
      <c r="I233" s="943"/>
    </row>
    <row r="234" spans="1:112">
      <c r="A234" s="1428" t="s">
        <v>1435</v>
      </c>
      <c r="B234" s="1490">
        <v>6</v>
      </c>
      <c r="C234" s="1010">
        <f>('Input''s from Initial Design'!F55*2)*1.1</f>
        <v>1421.2</v>
      </c>
      <c r="D234" s="1011" t="s">
        <v>1196</v>
      </c>
      <c r="E234" s="1586">
        <f t="shared" si="34"/>
        <v>8527.2000000000007</v>
      </c>
      <c r="F234" s="1591">
        <f t="shared" si="35"/>
        <v>2.1290322580645164E-2</v>
      </c>
      <c r="G234" s="1611"/>
      <c r="H234" s="1706" t="s">
        <v>1436</v>
      </c>
      <c r="I234" s="1012"/>
    </row>
    <row r="235" spans="1:112">
      <c r="A235" s="1428" t="s">
        <v>1437</v>
      </c>
      <c r="B235" s="1431">
        <v>5000</v>
      </c>
      <c r="C235" s="1010">
        <f>SUM('Input''s from Initial Design'!AN60:AN72)*1+SUM('Input''s from Initial Design'!AN73:AN82)*2+SUM('Input''s from Initial Design'!AN83:AN92)*3</f>
        <v>2</v>
      </c>
      <c r="D235" s="1011" t="s">
        <v>1196</v>
      </c>
      <c r="E235" s="1586">
        <f t="shared" si="34"/>
        <v>10000</v>
      </c>
      <c r="F235" s="1591">
        <f t="shared" si="35"/>
        <v>2.4967542195146311E-2</v>
      </c>
      <c r="G235" s="1611"/>
      <c r="H235" s="2383" t="s">
        <v>1438</v>
      </c>
      <c r="I235" s="1012"/>
    </row>
    <row r="236" spans="1:112">
      <c r="A236" s="1428" t="s">
        <v>1439</v>
      </c>
      <c r="B236" s="1431">
        <v>5000</v>
      </c>
      <c r="C236" s="1010">
        <f>C237</f>
        <v>2</v>
      </c>
      <c r="D236" s="1011" t="s">
        <v>1196</v>
      </c>
      <c r="E236" s="1586">
        <f t="shared" si="34"/>
        <v>10000</v>
      </c>
      <c r="F236" s="1591">
        <f t="shared" si="35"/>
        <v>2.4967542195146311E-2</v>
      </c>
      <c r="G236" s="1611"/>
      <c r="H236" s="2384"/>
      <c r="I236" s="1012"/>
    </row>
    <row r="237" spans="1:112">
      <c r="A237" s="1428" t="s">
        <v>1440</v>
      </c>
      <c r="B237" s="1431">
        <v>4200</v>
      </c>
      <c r="C237" s="1010">
        <f>SUM('Input''s from Initial Design'!AN60:AN72)*1+SUM('Input''s from Initial Design'!AN73:AN82)*2+SUM('Input''s from Initial Design'!AN83:AN92)*3</f>
        <v>2</v>
      </c>
      <c r="D237" s="1011" t="s">
        <v>1196</v>
      </c>
      <c r="E237" s="1586">
        <f>IF($G$18&lt;1,0,B237*C237)</f>
        <v>8400</v>
      </c>
      <c r="F237" s="1591">
        <f>E237/$G$18/1000</f>
        <v>2.0972735443922901E-2</v>
      </c>
      <c r="G237" s="1611"/>
      <c r="H237" s="1706" t="s">
        <v>1221</v>
      </c>
      <c r="I237" s="1012"/>
    </row>
    <row r="238" spans="1:112">
      <c r="A238" s="1428" t="s">
        <v>1441</v>
      </c>
      <c r="B238" s="1431">
        <v>1000</v>
      </c>
      <c r="C238" s="1010">
        <f>C237</f>
        <v>2</v>
      </c>
      <c r="D238" s="1011" t="s">
        <v>1196</v>
      </c>
      <c r="E238" s="1586">
        <f t="shared" si="34"/>
        <v>2000</v>
      </c>
      <c r="F238" s="1591">
        <f t="shared" si="35"/>
        <v>4.9935084390292624E-3</v>
      </c>
      <c r="G238" s="1611"/>
      <c r="H238" s="1706" t="s">
        <v>1442</v>
      </c>
      <c r="I238" s="1012"/>
    </row>
    <row r="239" spans="1:112">
      <c r="A239" s="1428" t="s">
        <v>1443</v>
      </c>
      <c r="B239" s="1431">
        <v>500</v>
      </c>
      <c r="C239" s="1010">
        <f>ROUNDUP(G18/60,0)</f>
        <v>7</v>
      </c>
      <c r="D239" s="1011" t="s">
        <v>1196</v>
      </c>
      <c r="E239" s="1586">
        <f t="shared" si="34"/>
        <v>3500</v>
      </c>
      <c r="F239" s="1591">
        <f t="shared" si="35"/>
        <v>8.7386397683012085E-3</v>
      </c>
      <c r="G239" s="1611"/>
      <c r="H239" s="1706" t="s">
        <v>1444</v>
      </c>
      <c r="I239" s="1012"/>
    </row>
    <row r="240" spans="1:112">
      <c r="A240" s="1428" t="s">
        <v>1445</v>
      </c>
      <c r="B240" s="1431">
        <v>150</v>
      </c>
      <c r="C240" s="1010">
        <f>SUM(C34:C43)</f>
        <v>2</v>
      </c>
      <c r="D240" s="1011" t="s">
        <v>1246</v>
      </c>
      <c r="E240" s="1586">
        <f t="shared" si="34"/>
        <v>300</v>
      </c>
      <c r="F240" s="1591">
        <f t="shared" si="35"/>
        <v>7.4902626585438936E-4</v>
      </c>
      <c r="G240" s="1611"/>
      <c r="H240" s="2200" t="s">
        <v>1446</v>
      </c>
      <c r="I240" s="1012"/>
    </row>
    <row r="241" spans="1:112">
      <c r="A241" s="1428" t="s">
        <v>1447</v>
      </c>
      <c r="B241" s="1431">
        <v>200</v>
      </c>
      <c r="C241" s="1010">
        <f>SUM('Input''s from Initial Design'!AN60:AN82)*2+SUM('Input''s from Initial Design'!AN83:AN92)*4</f>
        <v>4</v>
      </c>
      <c r="D241" s="1011" t="s">
        <v>1246</v>
      </c>
      <c r="E241" s="1586">
        <f t="shared" si="34"/>
        <v>800</v>
      </c>
      <c r="F241" s="1591">
        <f t="shared" si="35"/>
        <v>1.997403375611705E-3</v>
      </c>
      <c r="G241" s="1611"/>
      <c r="H241" s="2201"/>
      <c r="I241" s="1012"/>
    </row>
    <row r="242" spans="1:112">
      <c r="A242" s="1428" t="s">
        <v>1448</v>
      </c>
      <c r="B242" s="1431">
        <v>40</v>
      </c>
      <c r="C242" s="1010">
        <f>SUM(C34:C43)*5</f>
        <v>10</v>
      </c>
      <c r="D242" s="1011" t="s">
        <v>1196</v>
      </c>
      <c r="E242" s="1586">
        <f t="shared" si="34"/>
        <v>400</v>
      </c>
      <c r="F242" s="1591">
        <f t="shared" si="35"/>
        <v>9.9870168780585248E-4</v>
      </c>
      <c r="G242" s="1611"/>
      <c r="H242" s="1706" t="s">
        <v>1449</v>
      </c>
      <c r="I242" s="1012"/>
    </row>
    <row r="243" spans="1:112">
      <c r="A243" s="1428" t="s">
        <v>1450</v>
      </c>
      <c r="B243" s="1431">
        <v>150</v>
      </c>
      <c r="C243" s="1010">
        <f>SUM(C34:C43)*2</f>
        <v>4</v>
      </c>
      <c r="D243" s="1011" t="s">
        <v>1196</v>
      </c>
      <c r="E243" s="1586">
        <f t="shared" si="34"/>
        <v>600</v>
      </c>
      <c r="F243" s="1591">
        <f t="shared" si="35"/>
        <v>1.4980525317087787E-3</v>
      </c>
      <c r="G243" s="1611"/>
      <c r="H243" s="1706" t="s">
        <v>1221</v>
      </c>
      <c r="I243" s="1012"/>
    </row>
    <row r="244" spans="1:112">
      <c r="A244" s="1428" t="s">
        <v>1451</v>
      </c>
      <c r="B244" s="1490">
        <v>3</v>
      </c>
      <c r="C244" s="985">
        <f>'Input''s from Initial Design'!F55*2*1.1</f>
        <v>1421.2</v>
      </c>
      <c r="D244" s="954" t="s">
        <v>1196</v>
      </c>
      <c r="E244" s="1586">
        <f t="shared" si="34"/>
        <v>4263.6000000000004</v>
      </c>
      <c r="F244" s="1591">
        <f t="shared" si="35"/>
        <v>1.0645161290322582E-2</v>
      </c>
      <c r="G244" s="1611"/>
      <c r="H244" s="2200" t="s">
        <v>1423</v>
      </c>
      <c r="I244" s="1012"/>
    </row>
    <row r="245" spans="1:112">
      <c r="A245" s="1428" t="s">
        <v>1452</v>
      </c>
      <c r="B245" s="1490">
        <v>4</v>
      </c>
      <c r="C245" s="1010">
        <f>(ROUNDUP((C134*3.2)+(C215*2),0)+ROUNDUP(C168*2.6,0)+ROUNDUP(C167*2.6,0))*1.05</f>
        <v>1176</v>
      </c>
      <c r="D245" s="1011" t="s">
        <v>1196</v>
      </c>
      <c r="E245" s="1586">
        <f t="shared" si="34"/>
        <v>4704</v>
      </c>
      <c r="F245" s="1591">
        <f t="shared" si="35"/>
        <v>1.1744731848596824E-2</v>
      </c>
      <c r="G245" s="1611"/>
      <c r="H245" s="2201"/>
      <c r="I245" s="1012"/>
    </row>
    <row r="246" spans="1:112">
      <c r="A246" s="1428" t="s">
        <v>1453</v>
      </c>
      <c r="B246" s="1431">
        <v>85</v>
      </c>
      <c r="C246" s="1010">
        <f>SUM('Input''s from Initial Design'!AN60:AN76)*40+SUM('Input''s from Initial Design'!AN77:AN82)*2*40+SUM('Input''s from Initial Design'!AN83:AN92)*3*40</f>
        <v>80</v>
      </c>
      <c r="D246" s="1011" t="s">
        <v>1246</v>
      </c>
      <c r="E246" s="1586">
        <f t="shared" si="34"/>
        <v>6800</v>
      </c>
      <c r="F246" s="1591">
        <f t="shared" si="35"/>
        <v>1.6977928692699491E-2</v>
      </c>
      <c r="G246" s="1611"/>
      <c r="H246" s="1706" t="s">
        <v>1454</v>
      </c>
      <c r="I246" s="1015"/>
    </row>
    <row r="247" spans="1:112" s="161" customFormat="1">
      <c r="A247" s="1486" t="s">
        <v>1455</v>
      </c>
      <c r="B247" s="1493">
        <v>110</v>
      </c>
      <c r="C247" s="1017">
        <f>ROUNDUP(SUM(G9:G13)*0.15+C118/2,)+'Input''s from Initial Design'!AI55</f>
        <v>504</v>
      </c>
      <c r="D247" s="1018" t="s">
        <v>1246</v>
      </c>
      <c r="E247" s="1586">
        <f t="shared" si="34"/>
        <v>55440</v>
      </c>
      <c r="F247" s="1592">
        <f t="shared" si="35"/>
        <v>0.13842005392989115</v>
      </c>
      <c r="G247" s="1019"/>
      <c r="H247" s="2185" t="s">
        <v>1442</v>
      </c>
      <c r="I247" s="974"/>
      <c r="DH247" s="218"/>
    </row>
    <row r="248" spans="1:112" s="926" customFormat="1">
      <c r="A248" s="1486" t="s">
        <v>1456</v>
      </c>
      <c r="B248" s="1432">
        <v>32</v>
      </c>
      <c r="C248" s="1017">
        <f>C247*12%</f>
        <v>60.48</v>
      </c>
      <c r="D248" s="1018" t="s">
        <v>1196</v>
      </c>
      <c r="E248" s="1586">
        <f t="shared" si="34"/>
        <v>1935.36</v>
      </c>
      <c r="F248" s="1592">
        <f t="shared" si="35"/>
        <v>4.8321182462798358E-3</v>
      </c>
      <c r="G248" s="1019"/>
      <c r="H248" s="2186"/>
      <c r="I248" s="1020"/>
      <c r="DH248" s="934"/>
    </row>
    <row r="249" spans="1:112" s="926" customFormat="1">
      <c r="A249" s="1486" t="s">
        <v>1457</v>
      </c>
      <c r="B249" s="1432">
        <v>28</v>
      </c>
      <c r="C249" s="1017">
        <f>C248</f>
        <v>60.48</v>
      </c>
      <c r="D249" s="1018" t="s">
        <v>1196</v>
      </c>
      <c r="E249" s="1586">
        <f t="shared" si="34"/>
        <v>1693.4399999999998</v>
      </c>
      <c r="F249" s="1592">
        <f t="shared" si="35"/>
        <v>4.2281034654948566E-3</v>
      </c>
      <c r="G249" s="1019"/>
      <c r="H249" s="2186"/>
      <c r="I249" s="1020"/>
      <c r="DH249" s="934"/>
    </row>
    <row r="250" spans="1:112" s="926" customFormat="1">
      <c r="A250" s="1486" t="s">
        <v>1458</v>
      </c>
      <c r="B250" s="1432">
        <v>215</v>
      </c>
      <c r="C250" s="1017">
        <f>('Input''s from Initial Design'!AI55/20)*1.15</f>
        <v>23.459999999999997</v>
      </c>
      <c r="D250" s="1018" t="s">
        <v>1196</v>
      </c>
      <c r="E250" s="1586">
        <f t="shared" si="34"/>
        <v>5043.8999999999996</v>
      </c>
      <c r="F250" s="1592">
        <f t="shared" si="35"/>
        <v>1.2593378607809846E-2</v>
      </c>
      <c r="G250" s="1019"/>
      <c r="H250" s="2186"/>
      <c r="I250" s="1020"/>
      <c r="DH250" s="934"/>
    </row>
    <row r="251" spans="1:112" s="926" customFormat="1">
      <c r="A251" s="1486" t="s">
        <v>1459</v>
      </c>
      <c r="B251" s="1432">
        <v>18</v>
      </c>
      <c r="C251" s="1017">
        <f>C247/3</f>
        <v>168</v>
      </c>
      <c r="D251" s="1018" t="s">
        <v>1196</v>
      </c>
      <c r="E251" s="1586">
        <f t="shared" si="34"/>
        <v>3024</v>
      </c>
      <c r="F251" s="1592">
        <f t="shared" si="35"/>
        <v>7.5501847598122441E-3</v>
      </c>
      <c r="G251" s="1019"/>
      <c r="H251" s="2186"/>
      <c r="I251" s="1020"/>
      <c r="DH251" s="934"/>
    </row>
    <row r="252" spans="1:112" s="926" customFormat="1">
      <c r="A252" s="1486" t="s">
        <v>1460</v>
      </c>
      <c r="B252" s="1432">
        <v>980</v>
      </c>
      <c r="C252" s="1017">
        <f>ROUNDUP(C247/150,0)</f>
        <v>4</v>
      </c>
      <c r="D252" s="1018" t="s">
        <v>1196</v>
      </c>
      <c r="E252" s="1586">
        <f t="shared" si="34"/>
        <v>3920</v>
      </c>
      <c r="F252" s="1592">
        <f t="shared" si="35"/>
        <v>9.7872765404973545E-3</v>
      </c>
      <c r="G252" s="1019"/>
      <c r="H252" s="2186"/>
      <c r="I252" s="1020"/>
      <c r="DH252" s="934"/>
    </row>
    <row r="253" spans="1:112" s="161" customFormat="1">
      <c r="A253" s="1486" t="s">
        <v>1461</v>
      </c>
      <c r="B253" s="1432">
        <v>10</v>
      </c>
      <c r="C253" s="1017">
        <f>C247*1.05</f>
        <v>529.20000000000005</v>
      </c>
      <c r="D253" s="1018" t="s">
        <v>1196</v>
      </c>
      <c r="E253" s="1586">
        <f t="shared" si="34"/>
        <v>5292</v>
      </c>
      <c r="F253" s="1592">
        <f t="shared" si="35"/>
        <v>1.3212823329671428E-2</v>
      </c>
      <c r="G253" s="1019"/>
      <c r="H253" s="2186"/>
      <c r="I253" s="974"/>
      <c r="DH253" s="218"/>
    </row>
    <row r="254" spans="1:112" s="926" customFormat="1">
      <c r="A254" s="1486" t="s">
        <v>1462</v>
      </c>
      <c r="B254" s="1432">
        <v>15</v>
      </c>
      <c r="C254" s="1017">
        <f>'Input''s from Initial Design'!AN93*3</f>
        <v>6</v>
      </c>
      <c r="D254" s="1018" t="s">
        <v>1196</v>
      </c>
      <c r="E254" s="1586">
        <f t="shared" si="34"/>
        <v>90</v>
      </c>
      <c r="F254" s="1592">
        <f t="shared" ref="F254:F286" si="41">E254/$G$18/1000</f>
        <v>2.2470787975631678E-4</v>
      </c>
      <c r="G254" s="1019"/>
      <c r="H254" s="2186"/>
      <c r="I254" s="1020"/>
      <c r="DH254" s="934"/>
    </row>
    <row r="255" spans="1:112" s="926" customFormat="1">
      <c r="A255" s="1486" t="s">
        <v>1463</v>
      </c>
      <c r="B255" s="1432">
        <v>60</v>
      </c>
      <c r="C255" s="1017">
        <f>C274*2</f>
        <v>4</v>
      </c>
      <c r="D255" s="1018" t="s">
        <v>1196</v>
      </c>
      <c r="E255" s="1586">
        <f t="shared" si="34"/>
        <v>240</v>
      </c>
      <c r="F255" s="1592">
        <f t="shared" si="41"/>
        <v>5.9922101268351151E-4</v>
      </c>
      <c r="G255" s="1019"/>
      <c r="H255" s="2186"/>
      <c r="I255" s="1020"/>
      <c r="DH255" s="934"/>
    </row>
    <row r="256" spans="1:112" s="926" customFormat="1">
      <c r="A256" s="1486" t="s">
        <v>1464</v>
      </c>
      <c r="B256" s="1432">
        <v>95</v>
      </c>
      <c r="C256" s="1017">
        <f>SUM(C269:C270)*2+C274*2</f>
        <v>4</v>
      </c>
      <c r="D256" s="1018" t="s">
        <v>1196</v>
      </c>
      <c r="E256" s="1586">
        <f t="shared" si="34"/>
        <v>380</v>
      </c>
      <c r="F256" s="1592">
        <f t="shared" si="41"/>
        <v>9.487666034155599E-4</v>
      </c>
      <c r="G256" s="1019"/>
      <c r="H256" s="2187"/>
      <c r="I256" s="1020"/>
      <c r="DH256" s="934"/>
    </row>
    <row r="257" spans="1:112" s="926" customFormat="1">
      <c r="A257" s="1486" t="s">
        <v>1465</v>
      </c>
      <c r="B257" s="1432">
        <v>2500</v>
      </c>
      <c r="C257" s="1017">
        <f>'Input''s from Initial Design'!AN93</f>
        <v>2</v>
      </c>
      <c r="D257" s="1018" t="s">
        <v>1196</v>
      </c>
      <c r="E257" s="1586">
        <f t="shared" si="34"/>
        <v>5000</v>
      </c>
      <c r="F257" s="1592">
        <f t="shared" si="41"/>
        <v>1.2483771097573156E-2</v>
      </c>
      <c r="G257" s="1019"/>
      <c r="H257" s="1512" t="s">
        <v>1466</v>
      </c>
      <c r="I257" s="1020"/>
      <c r="DH257" s="934"/>
    </row>
    <row r="258" spans="1:112" s="926" customFormat="1">
      <c r="A258" s="1486" t="s">
        <v>1467</v>
      </c>
      <c r="B258" s="1432">
        <v>3000</v>
      </c>
      <c r="C258" s="1017">
        <f>(C180+C182+C183+C184)</f>
        <v>3</v>
      </c>
      <c r="D258" s="1018" t="s">
        <v>1196</v>
      </c>
      <c r="E258" s="1586">
        <f t="shared" ref="E258" si="42">IF($G$18&lt;1,0,B258*C258)</f>
        <v>9000</v>
      </c>
      <c r="F258" s="1592">
        <f t="shared" ref="F258" si="43">E258/$G$18/1000</f>
        <v>2.2470787975631679E-2</v>
      </c>
      <c r="G258" s="1019"/>
      <c r="H258" s="1511" t="s">
        <v>1468</v>
      </c>
      <c r="I258" s="1020"/>
      <c r="DH258" s="934"/>
    </row>
    <row r="259" spans="1:112">
      <c r="A259" s="1428" t="s">
        <v>1469</v>
      </c>
      <c r="B259" s="1431">
        <v>210</v>
      </c>
      <c r="C259" s="1010">
        <f>C125</f>
        <v>13</v>
      </c>
      <c r="D259" s="1011" t="s">
        <v>1196</v>
      </c>
      <c r="E259" s="1586">
        <f t="shared" si="34"/>
        <v>2730</v>
      </c>
      <c r="F259" s="1591">
        <f t="shared" si="41"/>
        <v>6.8161390192749433E-3</v>
      </c>
      <c r="G259" s="1611"/>
      <c r="H259" s="2383" t="s">
        <v>1221</v>
      </c>
      <c r="I259" s="1012"/>
    </row>
    <row r="260" spans="1:112">
      <c r="A260" s="1458" t="s">
        <v>1470</v>
      </c>
      <c r="B260" s="1432">
        <v>310</v>
      </c>
      <c r="C260" s="1017">
        <f>C235*2</f>
        <v>4</v>
      </c>
      <c r="D260" s="1018" t="s">
        <v>1196</v>
      </c>
      <c r="E260" s="1586">
        <f t="shared" si="34"/>
        <v>1240</v>
      </c>
      <c r="F260" s="1592">
        <f t="shared" si="41"/>
        <v>3.0959752321981426E-3</v>
      </c>
      <c r="G260" s="1614"/>
      <c r="H260" s="2403"/>
      <c r="I260" s="1021"/>
    </row>
    <row r="261" spans="1:112">
      <c r="A261" s="1458" t="s">
        <v>1471</v>
      </c>
      <c r="B261" s="1432">
        <v>350</v>
      </c>
      <c r="C261" s="1017">
        <f>C260</f>
        <v>4</v>
      </c>
      <c r="D261" s="1018" t="s">
        <v>1196</v>
      </c>
      <c r="E261" s="1586">
        <f t="shared" si="34"/>
        <v>1400</v>
      </c>
      <c r="F261" s="1592">
        <f t="shared" si="41"/>
        <v>3.4954559073204832E-3</v>
      </c>
      <c r="G261" s="1614"/>
      <c r="H261" s="2403"/>
      <c r="I261" s="1021"/>
    </row>
    <row r="262" spans="1:112">
      <c r="A262" s="1458" t="s">
        <v>1472</v>
      </c>
      <c r="B262" s="1432">
        <v>130</v>
      </c>
      <c r="C262" s="1017">
        <f>C346/2.5</f>
        <v>0</v>
      </c>
      <c r="D262" s="1018" t="s">
        <v>1196</v>
      </c>
      <c r="E262" s="1586">
        <f t="shared" si="34"/>
        <v>0</v>
      </c>
      <c r="F262" s="1592">
        <f t="shared" si="41"/>
        <v>0</v>
      </c>
      <c r="G262" s="1614"/>
      <c r="H262" s="2403"/>
      <c r="I262" s="1021"/>
    </row>
    <row r="263" spans="1:112">
      <c r="A263" s="1458" t="s">
        <v>1473</v>
      </c>
      <c r="B263" s="1432">
        <v>1200</v>
      </c>
      <c r="C263" s="1017">
        <f>'Input''s from Initial Design'!AN93+(SUM(C34:C43)*2)</f>
        <v>6</v>
      </c>
      <c r="D263" s="1018" t="s">
        <v>1196</v>
      </c>
      <c r="E263" s="1586">
        <f t="shared" si="34"/>
        <v>7200</v>
      </c>
      <c r="F263" s="1592">
        <f t="shared" si="41"/>
        <v>1.7976630380505346E-2</v>
      </c>
      <c r="G263" s="1614"/>
      <c r="H263" s="2403"/>
      <c r="I263" s="1021"/>
    </row>
    <row r="264" spans="1:112">
      <c r="A264" s="1458" t="s">
        <v>1474</v>
      </c>
      <c r="B264" s="1432">
        <v>1400</v>
      </c>
      <c r="C264" s="1017">
        <f>C348</f>
        <v>0</v>
      </c>
      <c r="D264" s="1018" t="s">
        <v>1246</v>
      </c>
      <c r="E264" s="1586">
        <f t="shared" si="34"/>
        <v>0</v>
      </c>
      <c r="F264" s="1592">
        <f t="shared" si="41"/>
        <v>0</v>
      </c>
      <c r="G264" s="1614"/>
      <c r="H264" s="2384"/>
      <c r="I264" s="1021"/>
    </row>
    <row r="265" spans="1:112" s="161" customFormat="1">
      <c r="A265" s="1426" t="s">
        <v>1475</v>
      </c>
      <c r="B265" s="1435">
        <v>42</v>
      </c>
      <c r="C265" s="1010">
        <f>'Input''s from Initial Design'!BC55</f>
        <v>0</v>
      </c>
      <c r="D265" s="965" t="s">
        <v>1246</v>
      </c>
      <c r="E265" s="1594">
        <f>IF(SUM($G$14:$G$16)&lt;&gt;0,B265*C265,0)</f>
        <v>0</v>
      </c>
      <c r="F265" s="1582">
        <f t="shared" si="41"/>
        <v>0</v>
      </c>
      <c r="G265" s="1615"/>
      <c r="H265" s="2385" t="s">
        <v>1476</v>
      </c>
      <c r="I265" s="974"/>
      <c r="DH265" s="218"/>
    </row>
    <row r="266" spans="1:112" s="161" customFormat="1">
      <c r="A266" s="1426" t="s">
        <v>1477</v>
      </c>
      <c r="B266" s="1435">
        <v>35</v>
      </c>
      <c r="C266" s="1494">
        <f>C265*15%</f>
        <v>0</v>
      </c>
      <c r="D266" s="1022" t="s">
        <v>1196</v>
      </c>
      <c r="E266" s="1594">
        <f>IF(SUM($G$14:$G$16)&lt;&gt;0,B266*C266,0)</f>
        <v>0</v>
      </c>
      <c r="F266" s="1582">
        <f t="shared" si="41"/>
        <v>0</v>
      </c>
      <c r="G266" s="1615"/>
      <c r="H266" s="2386"/>
      <c r="I266" s="974"/>
      <c r="DH266" s="218"/>
    </row>
    <row r="267" spans="1:112" s="161" customFormat="1">
      <c r="A267" s="1426" t="s">
        <v>1478</v>
      </c>
      <c r="B267" s="1435">
        <v>33</v>
      </c>
      <c r="C267" s="1494">
        <f>C266</f>
        <v>0</v>
      </c>
      <c r="D267" s="1022" t="s">
        <v>1196</v>
      </c>
      <c r="E267" s="1594">
        <f>IF(SUM($G$14:$G$16)&lt;&gt;0,B267*C267,0)</f>
        <v>0</v>
      </c>
      <c r="F267" s="1582">
        <f t="shared" si="41"/>
        <v>0</v>
      </c>
      <c r="G267" s="1615"/>
      <c r="H267" s="2386"/>
      <c r="I267" s="974"/>
      <c r="DH267" s="218"/>
    </row>
    <row r="268" spans="1:112" s="161" customFormat="1">
      <c r="A268" s="1426" t="s">
        <v>1479</v>
      </c>
      <c r="B268" s="1435">
        <v>28</v>
      </c>
      <c r="C268" s="1494">
        <f>C265*20%</f>
        <v>0</v>
      </c>
      <c r="D268" s="1022" t="s">
        <v>1196</v>
      </c>
      <c r="E268" s="1594">
        <f>IF(SUM($G$14:$G$16)&lt;&gt;0,B268*C268,0)</f>
        <v>0</v>
      </c>
      <c r="F268" s="1582">
        <f t="shared" si="41"/>
        <v>0</v>
      </c>
      <c r="G268" s="1615"/>
      <c r="H268" s="2387"/>
      <c r="I268" s="974"/>
      <c r="DH268" s="218"/>
    </row>
    <row r="269" spans="1:112">
      <c r="A269" s="1426" t="s">
        <v>1480</v>
      </c>
      <c r="B269" s="1435">
        <v>52000</v>
      </c>
      <c r="C269" s="1005">
        <f>SUM('Input''s from Initial Design'!AN74:AN82)*1+SUM('Input''s from Initial Design'!AN83:AN92)*2</f>
        <v>0</v>
      </c>
      <c r="D269" s="1022" t="s">
        <v>1196</v>
      </c>
      <c r="E269" s="1594">
        <f t="shared" ref="E269:E303" si="44">IF($G$18&lt;1,0,B269*C269)</f>
        <v>0</v>
      </c>
      <c r="F269" s="1582">
        <f t="shared" si="41"/>
        <v>0</v>
      </c>
      <c r="G269" s="1605"/>
      <c r="H269" s="2185" t="s">
        <v>1481</v>
      </c>
      <c r="I269" s="986"/>
    </row>
    <row r="270" spans="1:112">
      <c r="A270" s="1426" t="s">
        <v>1482</v>
      </c>
      <c r="B270" s="1435">
        <v>23500</v>
      </c>
      <c r="C270" s="1005">
        <f>SUM('Input''s from Initial Design'!AN68:AN73)</f>
        <v>0</v>
      </c>
      <c r="D270" s="1022" t="s">
        <v>1196</v>
      </c>
      <c r="E270" s="1594">
        <f t="shared" si="44"/>
        <v>0</v>
      </c>
      <c r="F270" s="1582">
        <f t="shared" si="41"/>
        <v>0</v>
      </c>
      <c r="G270" s="1605"/>
      <c r="H270" s="2187"/>
      <c r="I270" s="2156"/>
    </row>
    <row r="271" spans="1:112" ht="15" thickBot="1">
      <c r="A271" s="1426" t="s">
        <v>1483</v>
      </c>
      <c r="B271" s="1435">
        <v>4000</v>
      </c>
      <c r="C271" s="1005">
        <f>SUM('Input''s from Initial Design'!AN60:AN64)*1</f>
        <v>2</v>
      </c>
      <c r="D271" s="1022" t="s">
        <v>1196</v>
      </c>
      <c r="E271" s="1594">
        <f t="shared" si="44"/>
        <v>8000</v>
      </c>
      <c r="F271" s="1582">
        <f t="shared" si="41"/>
        <v>1.997403375611705E-2</v>
      </c>
      <c r="G271" s="1605"/>
      <c r="H271" s="2185" t="s">
        <v>1484</v>
      </c>
      <c r="I271" s="963"/>
    </row>
    <row r="272" spans="1:112" ht="15" thickBot="1">
      <c r="A272" s="1426" t="s">
        <v>1485</v>
      </c>
      <c r="B272" s="1435">
        <v>10500</v>
      </c>
      <c r="C272" s="1005">
        <f>SUM('Input''s from Initial Design'!AN65:AN67)*1</f>
        <v>0</v>
      </c>
      <c r="D272" s="1022" t="s">
        <v>1196</v>
      </c>
      <c r="E272" s="1594">
        <f t="shared" si="44"/>
        <v>0</v>
      </c>
      <c r="F272" s="1582">
        <f t="shared" si="41"/>
        <v>0</v>
      </c>
      <c r="G272" s="1605"/>
      <c r="H272" s="2186"/>
      <c r="I272" s="963"/>
      <c r="N272" s="156">
        <f>53118*60</f>
        <v>3187080</v>
      </c>
      <c r="P272" s="1916" t="s">
        <v>1486</v>
      </c>
      <c r="Q272" s="1917" t="s">
        <v>1487</v>
      </c>
      <c r="R272" s="1917" t="s">
        <v>1488</v>
      </c>
      <c r="S272" s="1917" t="s">
        <v>1489</v>
      </c>
      <c r="T272" s="1917" t="s">
        <v>1490</v>
      </c>
      <c r="U272" s="1918" t="s">
        <v>1491</v>
      </c>
    </row>
    <row r="273" spans="1:22">
      <c r="A273" s="1426" t="s">
        <v>1492</v>
      </c>
      <c r="B273" s="1435">
        <v>25000</v>
      </c>
      <c r="C273" s="1005">
        <f>SUM('Input''s from Initial Design'!AN68:AN82)*1+SUM('Input''s from Initial Design'!AN83:AN92)*2</f>
        <v>0</v>
      </c>
      <c r="D273" s="1022" t="s">
        <v>1196</v>
      </c>
      <c r="E273" s="1594">
        <f t="shared" si="44"/>
        <v>0</v>
      </c>
      <c r="F273" s="1582">
        <f t="shared" si="41"/>
        <v>0</v>
      </c>
      <c r="G273" s="1605"/>
      <c r="H273" s="2187"/>
      <c r="I273" s="963"/>
      <c r="P273" s="221" t="s">
        <v>1493</v>
      </c>
      <c r="Q273" s="1913">
        <f>2306513</f>
        <v>2306513</v>
      </c>
      <c r="R273" s="1914">
        <f>54</f>
        <v>54</v>
      </c>
      <c r="S273" s="1915">
        <v>0.109</v>
      </c>
      <c r="T273" s="1913">
        <v>54231</v>
      </c>
      <c r="U273" s="209">
        <f>R273*T273</f>
        <v>2928474</v>
      </c>
      <c r="V273" s="190"/>
    </row>
    <row r="274" spans="1:22" ht="15" thickBot="1">
      <c r="A274" s="1426" t="s">
        <v>1494</v>
      </c>
      <c r="B274" s="1435">
        <v>6400</v>
      </c>
      <c r="C274" s="1005">
        <f>SUM(C271:C273)</f>
        <v>2</v>
      </c>
      <c r="D274" s="1022" t="s">
        <v>1196</v>
      </c>
      <c r="E274" s="1594">
        <f t="shared" si="44"/>
        <v>12800</v>
      </c>
      <c r="F274" s="1582">
        <f t="shared" si="41"/>
        <v>3.1958454009787279E-2</v>
      </c>
      <c r="G274" s="1605"/>
      <c r="H274" s="1512" t="s">
        <v>1495</v>
      </c>
      <c r="I274" s="963"/>
      <c r="P274" s="1909" t="s">
        <v>1496</v>
      </c>
      <c r="Q274" s="1910">
        <v>2520000</v>
      </c>
      <c r="R274" s="1911">
        <f>60</f>
        <v>60</v>
      </c>
      <c r="S274" s="1912">
        <v>0.10050000000000001</v>
      </c>
      <c r="T274" s="1910">
        <v>53605</v>
      </c>
      <c r="U274" s="192">
        <f>R274*T274</f>
        <v>3216300</v>
      </c>
      <c r="V274" s="190"/>
    </row>
    <row r="275" spans="1:22">
      <c r="A275" s="1458" t="s">
        <v>1497</v>
      </c>
      <c r="B275" s="1432">
        <v>5500</v>
      </c>
      <c r="C275" s="1495">
        <f>C274</f>
        <v>2</v>
      </c>
      <c r="D275" s="1023" t="s">
        <v>1196</v>
      </c>
      <c r="E275" s="1586">
        <f t="shared" si="44"/>
        <v>11000</v>
      </c>
      <c r="F275" s="1592">
        <f t="shared" si="41"/>
        <v>2.7464296414660944E-2</v>
      </c>
      <c r="G275" s="1614"/>
      <c r="H275" s="1707" t="s">
        <v>1498</v>
      </c>
      <c r="I275" s="1021"/>
      <c r="K275" s="156">
        <f>K277*J277</f>
        <v>0</v>
      </c>
      <c r="P275" s="1908" t="s">
        <v>1496</v>
      </c>
      <c r="Q275" s="203">
        <v>200000</v>
      </c>
      <c r="R275" s="156">
        <v>60</v>
      </c>
      <c r="S275" s="1919">
        <v>0.10050000000000001</v>
      </c>
      <c r="T275" s="203">
        <f>4250</f>
        <v>4250</v>
      </c>
      <c r="U275" s="203">
        <f>R275*T275</f>
        <v>255000</v>
      </c>
    </row>
    <row r="276" spans="1:22">
      <c r="A276" s="1458" t="s">
        <v>1499</v>
      </c>
      <c r="B276" s="1432">
        <v>10</v>
      </c>
      <c r="C276" s="1017">
        <f>((C192+C193)*10*2+C271*3*2+(C272+C273)*5*2)*1.1</f>
        <v>35.200000000000003</v>
      </c>
      <c r="D276" s="1018" t="s">
        <v>1196</v>
      </c>
      <c r="E276" s="1587">
        <f t="shared" si="44"/>
        <v>352</v>
      </c>
      <c r="F276" s="1592">
        <f t="shared" si="41"/>
        <v>8.788574852691502E-4</v>
      </c>
      <c r="G276" s="1616"/>
      <c r="H276" s="2171" t="s">
        <v>1500</v>
      </c>
      <c r="I276" s="1021"/>
    </row>
    <row r="277" spans="1:22">
      <c r="A277" s="1458" t="s">
        <v>1501</v>
      </c>
      <c r="B277" s="1432">
        <v>6</v>
      </c>
      <c r="C277" s="1017">
        <f>'Input''s from Initial Design'!F55*2*1.1</f>
        <v>1421.2</v>
      </c>
      <c r="D277" s="1018" t="s">
        <v>1196</v>
      </c>
      <c r="E277" s="1587">
        <f t="shared" si="44"/>
        <v>8527.2000000000007</v>
      </c>
      <c r="F277" s="1592">
        <f t="shared" si="41"/>
        <v>2.1290322580645164E-2</v>
      </c>
      <c r="G277" s="1616"/>
      <c r="H277" s="2172"/>
      <c r="I277" s="1906"/>
      <c r="K277" s="156">
        <f>26231</f>
        <v>26231</v>
      </c>
      <c r="L277" s="156">
        <f>I277*2.5%</f>
        <v>0</v>
      </c>
      <c r="M277" s="156">
        <f>60</f>
        <v>60</v>
      </c>
      <c r="N277" s="156">
        <f>53605</f>
        <v>53605</v>
      </c>
      <c r="O277" s="156">
        <f>N277*M277</f>
        <v>3216300</v>
      </c>
    </row>
    <row r="278" spans="1:22">
      <c r="A278" s="1458" t="s">
        <v>1502</v>
      </c>
      <c r="B278" s="1432">
        <v>190</v>
      </c>
      <c r="C278" s="1017">
        <f>SUM('Input''s from Initial Design'!O170)*4*2*1.1</f>
        <v>0</v>
      </c>
      <c r="D278" s="1018" t="s">
        <v>1196</v>
      </c>
      <c r="E278" s="1587">
        <f t="shared" si="44"/>
        <v>0</v>
      </c>
      <c r="F278" s="1592">
        <f t="shared" si="41"/>
        <v>0</v>
      </c>
      <c r="G278" s="1616"/>
      <c r="H278" s="2172"/>
      <c r="I278" s="1021"/>
      <c r="T278" s="156" t="s">
        <v>1503</v>
      </c>
      <c r="U278" s="190">
        <f>U274-U273</f>
        <v>287826</v>
      </c>
    </row>
    <row r="279" spans="1:22">
      <c r="A279" s="1458" t="s">
        <v>1504</v>
      </c>
      <c r="B279" s="1432">
        <v>45</v>
      </c>
      <c r="C279" s="1017">
        <f>SUM('Input''s from Initial Design'!O171)*4*2*1.1</f>
        <v>0</v>
      </c>
      <c r="D279" s="1018" t="s">
        <v>1196</v>
      </c>
      <c r="E279" s="1587">
        <f t="shared" si="44"/>
        <v>0</v>
      </c>
      <c r="F279" s="1592">
        <f t="shared" si="41"/>
        <v>0</v>
      </c>
      <c r="G279" s="1616"/>
      <c r="H279" s="2172"/>
      <c r="I279" s="1021"/>
      <c r="K279" s="156">
        <f>54231</f>
        <v>54231</v>
      </c>
      <c r="L279" s="156">
        <f>I279*4%</f>
        <v>0</v>
      </c>
      <c r="N279" s="156" t="s">
        <v>1505</v>
      </c>
      <c r="O279" s="283">
        <f>K279*J279</f>
        <v>0</v>
      </c>
      <c r="T279" s="156" t="s">
        <v>1506</v>
      </c>
      <c r="U279" s="203">
        <f>255000</f>
        <v>255000</v>
      </c>
    </row>
    <row r="280" spans="1:22">
      <c r="A280" s="1458" t="s">
        <v>1507</v>
      </c>
      <c r="B280" s="1432">
        <v>145</v>
      </c>
      <c r="C280" s="1017">
        <f>SUM('Input''s from Initial Design'!O172)*4*1.1</f>
        <v>0</v>
      </c>
      <c r="D280" s="1018" t="s">
        <v>1196</v>
      </c>
      <c r="E280" s="1587">
        <f t="shared" si="44"/>
        <v>0</v>
      </c>
      <c r="F280" s="1592">
        <f t="shared" si="41"/>
        <v>0</v>
      </c>
      <c r="G280" s="1616"/>
      <c r="H280" s="2172"/>
      <c r="I280" s="1906"/>
      <c r="L280" s="156">
        <f>SUM(L277:L279)</f>
        <v>0</v>
      </c>
      <c r="N280" s="156" t="s">
        <v>1508</v>
      </c>
      <c r="O280" s="283">
        <f>3216274</f>
        <v>3216274</v>
      </c>
      <c r="T280" s="156" t="s">
        <v>1509</v>
      </c>
      <c r="U280" s="190">
        <f>U278-U279</f>
        <v>32826</v>
      </c>
    </row>
    <row r="281" spans="1:22">
      <c r="A281" s="1458" t="s">
        <v>1510</v>
      </c>
      <c r="B281" s="1432">
        <v>220</v>
      </c>
      <c r="C281" s="1017">
        <f>SUM('Input''s from Initial Design'!O173)*4*1.1</f>
        <v>0</v>
      </c>
      <c r="D281" s="1018" t="s">
        <v>1196</v>
      </c>
      <c r="E281" s="1587">
        <f t="shared" si="44"/>
        <v>0</v>
      </c>
      <c r="F281" s="1592">
        <f t="shared" si="41"/>
        <v>0</v>
      </c>
      <c r="G281" s="1616"/>
      <c r="H281" s="2172"/>
      <c r="I281" s="1021"/>
      <c r="N281" s="156">
        <f>4249</f>
        <v>4249</v>
      </c>
      <c r="O281" s="283">
        <f>O280-O279</f>
        <v>3216274</v>
      </c>
      <c r="T281" s="156" t="s">
        <v>1511</v>
      </c>
      <c r="U281" s="190">
        <f>6000</f>
        <v>6000</v>
      </c>
    </row>
    <row r="282" spans="1:22">
      <c r="A282" s="1458" t="s">
        <v>1512</v>
      </c>
      <c r="B282" s="1432">
        <v>250</v>
      </c>
      <c r="C282" s="1017">
        <f>'Input''s from Initial Design'!O174</f>
        <v>0</v>
      </c>
      <c r="D282" s="1018" t="s">
        <v>1196</v>
      </c>
      <c r="E282" s="1587">
        <f t="shared" si="44"/>
        <v>0</v>
      </c>
      <c r="F282" s="1592">
        <f t="shared" si="41"/>
        <v>0</v>
      </c>
      <c r="G282" s="1616"/>
      <c r="H282" s="2172"/>
      <c r="I282" s="1906"/>
      <c r="K282" s="156">
        <f>K279*J279</f>
        <v>0</v>
      </c>
      <c r="N282" s="156">
        <f>N281*60</f>
        <v>254940</v>
      </c>
      <c r="O282" s="283">
        <f>O281-N282</f>
        <v>2961334</v>
      </c>
      <c r="T282" s="156" t="s">
        <v>1513</v>
      </c>
      <c r="U282" s="190">
        <f>U280+U281</f>
        <v>38826</v>
      </c>
    </row>
    <row r="283" spans="1:22">
      <c r="A283" s="1458" t="s">
        <v>1514</v>
      </c>
      <c r="B283" s="1432">
        <v>190</v>
      </c>
      <c r="C283" s="1017">
        <f>SUM('Input''s from Initial Design'!O170)*4*1.1</f>
        <v>0</v>
      </c>
      <c r="D283" s="1018" t="s">
        <v>1196</v>
      </c>
      <c r="E283" s="1587">
        <f t="shared" si="44"/>
        <v>0</v>
      </c>
      <c r="F283" s="1592">
        <f t="shared" si="41"/>
        <v>0</v>
      </c>
      <c r="G283" s="1616"/>
      <c r="H283" s="2172"/>
      <c r="I283" s="1021"/>
      <c r="K283" s="156">
        <f>K282+K275</f>
        <v>0</v>
      </c>
      <c r="O283" s="283">
        <f>O282+6000</f>
        <v>2967334</v>
      </c>
    </row>
    <row r="284" spans="1:22">
      <c r="A284" s="1458" t="s">
        <v>1515</v>
      </c>
      <c r="B284" s="1432">
        <v>45</v>
      </c>
      <c r="C284" s="1017">
        <f>SUM('Input''s from Initial Design'!O171)*4*1.1</f>
        <v>0</v>
      </c>
      <c r="D284" s="1018" t="s">
        <v>1196</v>
      </c>
      <c r="E284" s="1587">
        <f t="shared" si="44"/>
        <v>0</v>
      </c>
      <c r="F284" s="1592">
        <f t="shared" si="41"/>
        <v>0</v>
      </c>
      <c r="G284" s="1616"/>
      <c r="H284" s="2172"/>
      <c r="I284" s="1021"/>
      <c r="K284" s="1907">
        <f>K283-I280</f>
        <v>0</v>
      </c>
    </row>
    <row r="285" spans="1:22">
      <c r="A285" s="1458" t="s">
        <v>1516</v>
      </c>
      <c r="B285" s="1432">
        <v>145</v>
      </c>
      <c r="C285" s="1017">
        <f>'Input''s from Initial Design'!O172*4*1.1</f>
        <v>0</v>
      </c>
      <c r="D285" s="1018" t="s">
        <v>1196</v>
      </c>
      <c r="E285" s="1587">
        <f t="shared" si="44"/>
        <v>0</v>
      </c>
      <c r="F285" s="1592">
        <f t="shared" si="41"/>
        <v>0</v>
      </c>
      <c r="G285" s="1616"/>
      <c r="H285" s="2172"/>
      <c r="I285" s="1021"/>
    </row>
    <row r="286" spans="1:22">
      <c r="A286" s="1458" t="s">
        <v>1517</v>
      </c>
      <c r="B286" s="1432">
        <v>220</v>
      </c>
      <c r="C286" s="1017">
        <f>'Input''s from Initial Design'!O173*4*1.1</f>
        <v>0</v>
      </c>
      <c r="D286" s="1018" t="s">
        <v>1196</v>
      </c>
      <c r="E286" s="1587">
        <f t="shared" si="44"/>
        <v>0</v>
      </c>
      <c r="F286" s="1592">
        <f t="shared" si="41"/>
        <v>0</v>
      </c>
      <c r="G286" s="1616"/>
      <c r="H286" s="2172"/>
      <c r="I286" s="1021"/>
      <c r="M286" s="156">
        <v>22708.33</v>
      </c>
    </row>
    <row r="287" spans="1:22">
      <c r="A287" s="1458" t="s">
        <v>1518</v>
      </c>
      <c r="B287" s="1432">
        <v>250</v>
      </c>
      <c r="C287" s="1017">
        <f>'Input''s from Initial Design'!O174*4*1.1</f>
        <v>0</v>
      </c>
      <c r="D287" s="1018" t="s">
        <v>1196</v>
      </c>
      <c r="E287" s="1587">
        <f t="shared" si="44"/>
        <v>0</v>
      </c>
      <c r="F287" s="1592">
        <f t="shared" ref="F287:F305" si="45">E287/$G$18/1000</f>
        <v>0</v>
      </c>
      <c r="G287" s="1616"/>
      <c r="H287" s="2172"/>
      <c r="I287" s="1021"/>
      <c r="M287" s="156">
        <v>22422</v>
      </c>
      <c r="N287" s="156">
        <f>M286-M287</f>
        <v>286.33000000000175</v>
      </c>
    </row>
    <row r="288" spans="1:22">
      <c r="A288" s="1458" t="s">
        <v>1519</v>
      </c>
      <c r="B288" s="1432">
        <v>260</v>
      </c>
      <c r="C288" s="1017">
        <f>'Input''s from Initial Design'!O175*4*1.1</f>
        <v>0</v>
      </c>
      <c r="D288" s="1018" t="s">
        <v>1196</v>
      </c>
      <c r="E288" s="1587">
        <f t="shared" si="44"/>
        <v>0</v>
      </c>
      <c r="F288" s="1592">
        <f t="shared" si="45"/>
        <v>0</v>
      </c>
      <c r="G288" s="1616"/>
      <c r="H288" s="2172"/>
      <c r="I288" s="1021"/>
      <c r="M288" s="156">
        <v>22133.06</v>
      </c>
      <c r="N288" s="156">
        <f t="shared" ref="N288:N289" si="46">M287-M288</f>
        <v>288.93999999999869</v>
      </c>
    </row>
    <row r="289" spans="1:14">
      <c r="A289" s="1458" t="s">
        <v>1520</v>
      </c>
      <c r="B289" s="1432">
        <v>295</v>
      </c>
      <c r="C289" s="1017">
        <f>'Input''s from Initial Design'!O176*4*1.1</f>
        <v>0</v>
      </c>
      <c r="D289" s="1018" t="s">
        <v>1196</v>
      </c>
      <c r="E289" s="1587">
        <f t="shared" ref="E289" si="47">IF($G$18&lt;1,0,B289*C289)</f>
        <v>0</v>
      </c>
      <c r="F289" s="1592">
        <f t="shared" ref="F289" si="48">E289/$G$18/1000</f>
        <v>0</v>
      </c>
      <c r="G289" s="1616"/>
      <c r="H289" s="2172"/>
      <c r="I289" s="1021"/>
      <c r="M289" s="156">
        <v>21841.5</v>
      </c>
      <c r="N289" s="156">
        <f t="shared" si="46"/>
        <v>291.56000000000131</v>
      </c>
    </row>
    <row r="290" spans="1:14">
      <c r="A290" s="1458" t="s">
        <v>1521</v>
      </c>
      <c r="B290" s="1432">
        <v>505</v>
      </c>
      <c r="C290" s="1017">
        <f>'Input''s from Initial Design'!O177*4*1.1</f>
        <v>0</v>
      </c>
      <c r="D290" s="1018" t="s">
        <v>1196</v>
      </c>
      <c r="E290" s="1587">
        <f t="shared" si="44"/>
        <v>0</v>
      </c>
      <c r="F290" s="1592">
        <f t="shared" si="45"/>
        <v>0</v>
      </c>
      <c r="G290" s="1616"/>
      <c r="H290" s="2172"/>
      <c r="I290" s="1021"/>
    </row>
    <row r="291" spans="1:14">
      <c r="A291" s="1458" t="s">
        <v>1522</v>
      </c>
      <c r="B291" s="1432">
        <v>510</v>
      </c>
      <c r="C291" s="1017">
        <f>'Input''s from Initial Design'!O178*4*1.1</f>
        <v>0</v>
      </c>
      <c r="D291" s="1018" t="s">
        <v>1196</v>
      </c>
      <c r="E291" s="1587">
        <f t="shared" si="44"/>
        <v>0</v>
      </c>
      <c r="F291" s="1592">
        <f t="shared" si="45"/>
        <v>0</v>
      </c>
      <c r="G291" s="1616"/>
      <c r="H291" s="2172"/>
      <c r="I291" s="1021"/>
    </row>
    <row r="292" spans="1:14">
      <c r="A292" s="1458" t="s">
        <v>1523</v>
      </c>
      <c r="B292" s="1432">
        <v>680</v>
      </c>
      <c r="C292" s="1017">
        <f>'Input''s from Initial Design'!O179*4*1.1</f>
        <v>0</v>
      </c>
      <c r="D292" s="1018" t="s">
        <v>1196</v>
      </c>
      <c r="E292" s="1587">
        <f t="shared" ref="E292" si="49">IF($G$18&lt;1,0,B292*C292)</f>
        <v>0</v>
      </c>
      <c r="F292" s="1592">
        <f t="shared" ref="F292" si="50">E292/$G$18/1000</f>
        <v>0</v>
      </c>
      <c r="G292" s="1616"/>
      <c r="H292" s="2172"/>
      <c r="I292" s="1021"/>
    </row>
    <row r="293" spans="1:14">
      <c r="A293" s="1458" t="s">
        <v>1524</v>
      </c>
      <c r="B293" s="1432">
        <v>7</v>
      </c>
      <c r="C293" s="1017">
        <f>'Input''s from Initial Design'!W170*4*2*1.1+C283</f>
        <v>0</v>
      </c>
      <c r="D293" s="1018" t="s">
        <v>1196</v>
      </c>
      <c r="E293" s="1587">
        <f t="shared" si="44"/>
        <v>0</v>
      </c>
      <c r="F293" s="1592">
        <f t="shared" si="45"/>
        <v>0</v>
      </c>
      <c r="G293" s="1616"/>
      <c r="H293" s="2172"/>
      <c r="I293" s="1021"/>
    </row>
    <row r="294" spans="1:14">
      <c r="A294" s="1458" t="s">
        <v>1525</v>
      </c>
      <c r="B294" s="1432">
        <v>9</v>
      </c>
      <c r="C294" s="1017">
        <f>'Input''s from Initial Design'!W171*4*2*1.1+C284</f>
        <v>0</v>
      </c>
      <c r="D294" s="1018" t="s">
        <v>1196</v>
      </c>
      <c r="E294" s="1587">
        <f t="shared" si="44"/>
        <v>0</v>
      </c>
      <c r="F294" s="1592">
        <f t="shared" si="45"/>
        <v>0</v>
      </c>
      <c r="G294" s="1616"/>
      <c r="H294" s="2172"/>
      <c r="I294" s="1021"/>
    </row>
    <row r="295" spans="1:14">
      <c r="A295" s="1458" t="s">
        <v>1526</v>
      </c>
      <c r="B295" s="1432">
        <v>12</v>
      </c>
      <c r="C295" s="1017">
        <f>'Input''s from Initial Design'!W172*4*2*1.1+C285</f>
        <v>0</v>
      </c>
      <c r="D295" s="1018" t="s">
        <v>1196</v>
      </c>
      <c r="E295" s="1587">
        <f t="shared" si="44"/>
        <v>0</v>
      </c>
      <c r="F295" s="1592">
        <f t="shared" si="45"/>
        <v>0</v>
      </c>
      <c r="G295" s="1616"/>
      <c r="H295" s="2172"/>
      <c r="I295" s="1021"/>
    </row>
    <row r="296" spans="1:14">
      <c r="A296" s="1458" t="s">
        <v>1527</v>
      </c>
      <c r="B296" s="1432">
        <v>15</v>
      </c>
      <c r="C296" s="1017">
        <f>'Input''s from Initial Design'!W173*4*2*1.1+C286</f>
        <v>0</v>
      </c>
      <c r="D296" s="1018" t="s">
        <v>1196</v>
      </c>
      <c r="E296" s="1587">
        <f t="shared" si="44"/>
        <v>0</v>
      </c>
      <c r="F296" s="1592">
        <f t="shared" si="45"/>
        <v>0</v>
      </c>
      <c r="G296" s="1616"/>
      <c r="H296" s="2172"/>
      <c r="I296" s="1021"/>
    </row>
    <row r="297" spans="1:14">
      <c r="A297" s="1458" t="s">
        <v>1528</v>
      </c>
      <c r="B297" s="1432">
        <v>19</v>
      </c>
      <c r="C297" s="1017">
        <f>'Input''s from Initial Design'!W174*4*2*1.1+C287</f>
        <v>0</v>
      </c>
      <c r="D297" s="1018" t="s">
        <v>1196</v>
      </c>
      <c r="E297" s="1587">
        <f t="shared" si="44"/>
        <v>0</v>
      </c>
      <c r="F297" s="1592">
        <f t="shared" si="45"/>
        <v>0</v>
      </c>
      <c r="G297" s="1616"/>
      <c r="H297" s="2172"/>
      <c r="I297" s="1021"/>
    </row>
    <row r="298" spans="1:14">
      <c r="A298" s="1458" t="s">
        <v>1529</v>
      </c>
      <c r="B298" s="1432">
        <v>21</v>
      </c>
      <c r="C298" s="1017">
        <f>'Input''s from Initial Design'!W175*4*2*1.1+C288</f>
        <v>0</v>
      </c>
      <c r="D298" s="1018" t="s">
        <v>1196</v>
      </c>
      <c r="E298" s="1587">
        <f t="shared" si="44"/>
        <v>0</v>
      </c>
      <c r="F298" s="1592">
        <f t="shared" si="45"/>
        <v>0</v>
      </c>
      <c r="G298" s="1616"/>
      <c r="H298" s="2172"/>
      <c r="I298" s="1021"/>
    </row>
    <row r="299" spans="1:14">
      <c r="A299" s="1458" t="s">
        <v>1530</v>
      </c>
      <c r="B299" s="1432">
        <v>31</v>
      </c>
      <c r="C299" s="1017">
        <f>'Input''s from Initial Design'!W176*4*2*1.1</f>
        <v>0</v>
      </c>
      <c r="D299" s="1018" t="s">
        <v>1196</v>
      </c>
      <c r="E299" s="1587">
        <f t="shared" si="44"/>
        <v>0</v>
      </c>
      <c r="F299" s="1592">
        <f t="shared" si="45"/>
        <v>0</v>
      </c>
      <c r="G299" s="1616"/>
      <c r="H299" s="2172"/>
      <c r="I299" s="1021"/>
    </row>
    <row r="300" spans="1:14">
      <c r="A300" s="1458" t="s">
        <v>1531</v>
      </c>
      <c r="B300" s="1432">
        <v>36</v>
      </c>
      <c r="C300" s="1017">
        <f>'Input''s from Initial Design'!W177*4*2*1.1</f>
        <v>0</v>
      </c>
      <c r="D300" s="1018" t="s">
        <v>1196</v>
      </c>
      <c r="E300" s="1587">
        <f t="shared" si="44"/>
        <v>0</v>
      </c>
      <c r="F300" s="1592">
        <f t="shared" si="45"/>
        <v>0</v>
      </c>
      <c r="G300" s="1616"/>
      <c r="H300" s="2172"/>
      <c r="I300" s="1021"/>
    </row>
    <row r="301" spans="1:14">
      <c r="A301" s="1458" t="s">
        <v>1532</v>
      </c>
      <c r="B301" s="1432">
        <v>40</v>
      </c>
      <c r="C301" s="1017">
        <f>'Input''s from Initial Design'!W178*4*2*1.1+C290</f>
        <v>17.600000000000001</v>
      </c>
      <c r="D301" s="1018" t="s">
        <v>1196</v>
      </c>
      <c r="E301" s="1587">
        <f t="shared" si="44"/>
        <v>704</v>
      </c>
      <c r="F301" s="1592">
        <f t="shared" si="45"/>
        <v>1.7577149705383004E-3</v>
      </c>
      <c r="G301" s="1616"/>
      <c r="H301" s="2172"/>
      <c r="I301" s="1021"/>
    </row>
    <row r="302" spans="1:14">
      <c r="A302" s="1458" t="s">
        <v>1533</v>
      </c>
      <c r="B302" s="1432">
        <v>62</v>
      </c>
      <c r="C302" s="1017">
        <f>'Input''s from Initial Design'!W179*4*2*1.1+C291</f>
        <v>0</v>
      </c>
      <c r="D302" s="1018" t="s">
        <v>1196</v>
      </c>
      <c r="E302" s="1587">
        <f t="shared" si="44"/>
        <v>0</v>
      </c>
      <c r="F302" s="1592">
        <f t="shared" si="45"/>
        <v>0</v>
      </c>
      <c r="G302" s="1616"/>
      <c r="H302" s="2172"/>
      <c r="I302" s="1021"/>
    </row>
    <row r="303" spans="1:14">
      <c r="A303" s="1458" t="s">
        <v>1534</v>
      </c>
      <c r="B303" s="1432">
        <v>87</v>
      </c>
      <c r="C303" s="1017">
        <f>'Input''s from Initial Design'!W180*4*2*1.1</f>
        <v>8.8000000000000007</v>
      </c>
      <c r="D303" s="1018" t="s">
        <v>1196</v>
      </c>
      <c r="E303" s="1587">
        <f t="shared" si="44"/>
        <v>765.6</v>
      </c>
      <c r="F303" s="1592">
        <f t="shared" si="45"/>
        <v>1.9115150304604017E-3</v>
      </c>
      <c r="G303" s="1616"/>
      <c r="H303" s="2173"/>
      <c r="I303" s="1021"/>
    </row>
    <row r="304" spans="1:14" ht="15.6" thickBot="1">
      <c r="A304" s="1496" t="s">
        <v>1535</v>
      </c>
      <c r="B304" s="1497">
        <f>VLOOKUP(G8,'Input''s from BD(Sales)'!A275:E307,5,0)*90</f>
        <v>67500</v>
      </c>
      <c r="C304" s="1024">
        <f>ROUNDUP($G$18/800,0)</f>
        <v>1</v>
      </c>
      <c r="D304" s="1025" t="s">
        <v>1536</v>
      </c>
      <c r="E304" s="1597">
        <f>IF($G$18&lt;1,0,B304*C304)</f>
        <v>67500</v>
      </c>
      <c r="F304" s="1598">
        <f t="shared" si="45"/>
        <v>0.16853090981723759</v>
      </c>
      <c r="G304" s="1890" t="str">
        <f>"Hyderabad "&amp;"to "&amp; G8</f>
        <v>Hyderabad to Maharashtra</v>
      </c>
      <c r="H304" s="1518" t="s">
        <v>1537</v>
      </c>
      <c r="I304" s="1026"/>
    </row>
    <row r="305" spans="1:112" ht="16.2" thickBot="1">
      <c r="A305" s="2232" t="s">
        <v>1538</v>
      </c>
      <c r="B305" s="2232"/>
      <c r="C305" s="2232"/>
      <c r="D305" s="2232"/>
      <c r="E305" s="1729">
        <f>IF($G$18&lt;1,0,SUM(E203:E304))</f>
        <v>412568.4</v>
      </c>
      <c r="F305" s="1755">
        <f t="shared" si="45"/>
        <v>1.0300818935384002</v>
      </c>
      <c r="G305" s="1745"/>
      <c r="H305" s="1746"/>
      <c r="I305" s="1750"/>
    </row>
    <row r="306" spans="1:112" ht="16.2" thickBot="1">
      <c r="A306" s="1737" t="s">
        <v>1539</v>
      </c>
      <c r="B306" s="2395"/>
      <c r="C306" s="2396"/>
      <c r="D306" s="2397"/>
      <c r="E306" s="2397"/>
      <c r="F306" s="2397"/>
      <c r="G306" s="2397"/>
      <c r="H306" s="2398"/>
      <c r="I306" s="2399"/>
    </row>
    <row r="307" spans="1:112">
      <c r="A307" s="1498" t="s">
        <v>1540</v>
      </c>
      <c r="B307" s="1546">
        <f>E32+E45+E59+E66+E73+E77+E81+E94+E107+E121+E132+E137+E141+E150+E159+E178+E194+E305</f>
        <v>16878125.9364</v>
      </c>
      <c r="C307" s="1547">
        <v>0.01</v>
      </c>
      <c r="D307" s="1548" t="s">
        <v>1541</v>
      </c>
      <c r="E307" s="1617">
        <f>IF(G307&lt;&gt;'Input''s from BD(Sales)'!B210,0,B307*C307)</f>
        <v>0</v>
      </c>
      <c r="F307" s="1619">
        <f>E307/$G$18/1000</f>
        <v>0</v>
      </c>
      <c r="G307" s="1891" t="str">
        <f>'Input''s from BD(Sales)'!B70</f>
        <v>Not Applicable</v>
      </c>
      <c r="H307" s="1573"/>
      <c r="I307" s="1571"/>
    </row>
    <row r="308" spans="1:112" ht="15" thickBot="1">
      <c r="A308" s="1499" t="s">
        <v>1542</v>
      </c>
      <c r="B308" s="1549">
        <f>(E305+E194+E178+E159+E150+E141+E137+E132+E121+E107+E94+E81+E77+E73+E66+E59)*0.14</f>
        <v>1269627.2310960002</v>
      </c>
      <c r="C308" s="1550">
        <f>'Input''s from BD(Sales)'!B73</f>
        <v>0</v>
      </c>
      <c r="D308" s="930" t="s">
        <v>1543</v>
      </c>
      <c r="E308" s="1618">
        <f>IF(G308&lt;&gt;'Input''s from BD(Sales)'!B210,0,B308*C308)</f>
        <v>0</v>
      </c>
      <c r="F308" s="1620">
        <f>E308/$G$18/1000</f>
        <v>0</v>
      </c>
      <c r="G308" s="1892" t="str">
        <f>'Input''s from BD(Sales)'!B72</f>
        <v>No</v>
      </c>
      <c r="H308" s="1574"/>
      <c r="I308" s="1572"/>
    </row>
    <row r="309" spans="1:112" ht="16.2" thickBot="1">
      <c r="A309" s="2400" t="s">
        <v>1544</v>
      </c>
      <c r="B309" s="2401"/>
      <c r="C309" s="2402"/>
      <c r="D309" s="2401"/>
      <c r="E309" s="1729">
        <f>IF($G$18&lt;1,0,SUM(E307:E308))</f>
        <v>0</v>
      </c>
      <c r="F309" s="1739">
        <f>E309/$G$18/1000</f>
        <v>0</v>
      </c>
      <c r="G309" s="1740"/>
      <c r="H309" s="1756"/>
      <c r="I309" s="1757"/>
    </row>
    <row r="310" spans="1:112" ht="16.2" thickBot="1">
      <c r="A310" s="1734" t="s">
        <v>1545</v>
      </c>
      <c r="B310" s="2180"/>
      <c r="C310" s="2194"/>
      <c r="D310" s="2194"/>
      <c r="E310" s="2194"/>
      <c r="F310" s="2194"/>
      <c r="G310" s="2194"/>
      <c r="H310" s="2194"/>
      <c r="I310" s="2195"/>
    </row>
    <row r="311" spans="1:112">
      <c r="A311" s="2033" t="s">
        <v>1546</v>
      </c>
      <c r="B311" s="2034">
        <f>20000+40000</f>
        <v>60000</v>
      </c>
      <c r="C311" s="2035">
        <f>IF('Input''s from BD(Sales)'!B11='Input''s from BD(Sales)'!A159,1,0)</f>
        <v>0</v>
      </c>
      <c r="D311" s="2036" t="s">
        <v>1196</v>
      </c>
      <c r="E311" s="1994">
        <f t="shared" ref="E311:E316" si="51">IF(AND(ISNUMBER(SEARCH("ITC",$G$6)),$G$18&gt;0),B311*C311,0)</f>
        <v>0</v>
      </c>
      <c r="F311" s="1581">
        <f t="shared" ref="F311:F312" si="52">E311/$G$18/1000</f>
        <v>0</v>
      </c>
      <c r="G311" s="2037"/>
      <c r="H311" s="1511" t="s">
        <v>1221</v>
      </c>
      <c r="I311" s="963"/>
    </row>
    <row r="312" spans="1:112">
      <c r="A312" s="2033" t="s">
        <v>1547</v>
      </c>
      <c r="B312" s="2038">
        <v>56</v>
      </c>
      <c r="C312" s="962">
        <f>IF('Input''s from BD(Sales)'!B11='Input''s from BD(Sales)'!A159,'Input''s from Initial Design'!F55*2,0)</f>
        <v>0</v>
      </c>
      <c r="D312" s="2039" t="s">
        <v>1352</v>
      </c>
      <c r="E312" s="1995">
        <f>IF(AND(ISNUMBER(SEARCH("ITC",$G$6)),$G$18&gt;0),B312*C312,0)</f>
        <v>0</v>
      </c>
      <c r="F312" s="1582">
        <f t="shared" si="52"/>
        <v>0</v>
      </c>
      <c r="G312" s="2037"/>
      <c r="H312" s="1511" t="s">
        <v>1221</v>
      </c>
      <c r="I312" s="963"/>
    </row>
    <row r="313" spans="1:112">
      <c r="A313" s="2033" t="s">
        <v>1548</v>
      </c>
      <c r="B313" s="2038">
        <f>150</f>
        <v>150</v>
      </c>
      <c r="C313" s="985">
        <f>IF('Input''s from BD(Sales)'!B11='Input''s from BD(Sales)'!A159,$G$18,0)</f>
        <v>0</v>
      </c>
      <c r="D313" s="988" t="s">
        <v>1549</v>
      </c>
      <c r="E313" s="1995">
        <f t="shared" si="51"/>
        <v>0</v>
      </c>
      <c r="F313" s="1582">
        <f>E313/$G$18/1000</f>
        <v>0</v>
      </c>
      <c r="G313" s="2037"/>
      <c r="H313" s="1512" t="s">
        <v>1550</v>
      </c>
      <c r="I313" s="963"/>
    </row>
    <row r="314" spans="1:112">
      <c r="A314" s="2033" t="s">
        <v>1551</v>
      </c>
      <c r="B314" s="2038">
        <v>84</v>
      </c>
      <c r="C314" s="962">
        <f>IF('Input''s from BD(Sales)'!B11='Input''s from BD(Sales)'!A159,'Input''s from Initial Design'!F55,0)</f>
        <v>0</v>
      </c>
      <c r="D314" s="1709" t="s">
        <v>1246</v>
      </c>
      <c r="E314" s="1995">
        <f t="shared" si="51"/>
        <v>0</v>
      </c>
      <c r="F314" s="1710">
        <f t="shared" ref="F314:F317" si="53">E314/$G$18/1000</f>
        <v>0</v>
      </c>
      <c r="G314" s="2037"/>
      <c r="H314" s="1512" t="s">
        <v>1252</v>
      </c>
      <c r="I314" s="961"/>
    </row>
    <row r="315" spans="1:112">
      <c r="A315" s="2033" t="s">
        <v>1552</v>
      </c>
      <c r="B315" s="2038">
        <f>150000</f>
        <v>150000</v>
      </c>
      <c r="C315" s="962">
        <f>'Input''s from Initial Design'!AN93</f>
        <v>2</v>
      </c>
      <c r="D315" s="1709" t="s">
        <v>1553</v>
      </c>
      <c r="E315" s="1995">
        <f t="shared" si="51"/>
        <v>0</v>
      </c>
      <c r="F315" s="1710">
        <f t="shared" ref="F315" si="54">E315/$G$18/1000</f>
        <v>0</v>
      </c>
      <c r="G315" s="2037"/>
      <c r="H315" s="1509" t="s">
        <v>1221</v>
      </c>
      <c r="I315" s="961"/>
    </row>
    <row r="316" spans="1:112" ht="15" thickBot="1">
      <c r="A316" s="2033" t="s">
        <v>1554</v>
      </c>
      <c r="B316" s="2040">
        <v>50000</v>
      </c>
      <c r="C316" s="2041">
        <f>IF('Input''s from BD(Sales)'!B11='Input''s from BD(Sales)'!A159,1,0)</f>
        <v>0</v>
      </c>
      <c r="D316" s="2024" t="s">
        <v>1196</v>
      </c>
      <c r="E316" s="1998">
        <f t="shared" si="51"/>
        <v>0</v>
      </c>
      <c r="F316" s="1710">
        <f t="shared" ref="F316" si="55">E316/$G$18/1000</f>
        <v>0</v>
      </c>
      <c r="G316" s="2037"/>
      <c r="H316" s="1512" t="s">
        <v>1221</v>
      </c>
      <c r="I316" s="961"/>
    </row>
    <row r="317" spans="1:112" ht="16.2" thickBot="1">
      <c r="A317" s="2166" t="s">
        <v>1555</v>
      </c>
      <c r="B317" s="2167"/>
      <c r="C317" s="2167"/>
      <c r="D317" s="2168"/>
      <c r="E317" s="1729">
        <f>IF($G$18&lt;1,0,SUM(E311:E316))</f>
        <v>0</v>
      </c>
      <c r="F317" s="1730">
        <f t="shared" si="53"/>
        <v>0</v>
      </c>
      <c r="G317" s="1744"/>
      <c r="H317" s="1746"/>
      <c r="I317" s="1750"/>
    </row>
    <row r="318" spans="1:112" ht="16.2" thickBot="1">
      <c r="A318" s="1734" t="s">
        <v>1556</v>
      </c>
      <c r="B318" s="2180"/>
      <c r="C318" s="2194"/>
      <c r="D318" s="2194"/>
      <c r="E318" s="2194"/>
      <c r="F318" s="2194"/>
      <c r="G318" s="2194"/>
      <c r="H318" s="2196"/>
      <c r="I318" s="2195"/>
    </row>
    <row r="319" spans="1:112" s="161" customFormat="1">
      <c r="A319" s="1487" t="s">
        <v>1945</v>
      </c>
      <c r="B319" s="1484">
        <f>15000</f>
        <v>15000</v>
      </c>
      <c r="C319" s="962">
        <f>IF(AND(G6='Input''s from BD(Sales)'!A158,G11&gt;0),1,0)</f>
        <v>0</v>
      </c>
      <c r="D319" s="942" t="s">
        <v>1196</v>
      </c>
      <c r="E319" s="1594">
        <f t="shared" ref="E319:E321" si="56">IF($G$18&lt;1,0,B319*C319)</f>
        <v>0</v>
      </c>
      <c r="F319" s="1582">
        <f t="shared" ref="F319:F322" si="57">E319/$G$18/1000</f>
        <v>0</v>
      </c>
      <c r="G319" s="1604"/>
      <c r="H319" s="1984"/>
      <c r="I319" s="974"/>
      <c r="DH319" s="218"/>
    </row>
    <row r="320" spans="1:112" s="161" customFormat="1">
      <c r="A320" s="1487" t="s">
        <v>1946</v>
      </c>
      <c r="B320" s="1484">
        <v>45000</v>
      </c>
      <c r="C320" s="962">
        <f>IF(AND($G$6='Input''s from BD(Sales)'!A158,OR(G12&gt;0,G13&gt;0,G15&gt;0)),1,0)</f>
        <v>0</v>
      </c>
      <c r="D320" s="942" t="s">
        <v>1196</v>
      </c>
      <c r="E320" s="1594">
        <f t="shared" si="56"/>
        <v>0</v>
      </c>
      <c r="F320" s="1582">
        <f t="shared" si="57"/>
        <v>0</v>
      </c>
      <c r="G320" s="1604"/>
      <c r="H320" s="1985"/>
      <c r="I320" s="974"/>
      <c r="DH320" s="218"/>
    </row>
    <row r="321" spans="1:168" s="161" customFormat="1" ht="15" thickBot="1">
      <c r="A321" s="1487" t="s">
        <v>1947</v>
      </c>
      <c r="B321" s="1484">
        <f>25000</f>
        <v>25000</v>
      </c>
      <c r="C321" s="962">
        <f>IF(AND($G$6='Input''s from BD(Sales)'!A158),1,0)</f>
        <v>0</v>
      </c>
      <c r="D321" s="942" t="s">
        <v>1196</v>
      </c>
      <c r="E321" s="1594">
        <f t="shared" si="56"/>
        <v>0</v>
      </c>
      <c r="F321" s="1582">
        <f t="shared" si="57"/>
        <v>0</v>
      </c>
      <c r="G321" s="1604"/>
      <c r="H321" s="1986"/>
      <c r="I321" s="974"/>
      <c r="DH321" s="218"/>
    </row>
    <row r="322" spans="1:168" s="163" customFormat="1" ht="16.2" thickBot="1">
      <c r="A322" s="2166" t="s">
        <v>1557</v>
      </c>
      <c r="B322" s="2167"/>
      <c r="C322" s="2167"/>
      <c r="D322" s="2168"/>
      <c r="E322" s="1729">
        <f>IF($G$18&lt;1,0,SUM(E319:E321))</f>
        <v>0</v>
      </c>
      <c r="F322" s="1730">
        <f t="shared" si="57"/>
        <v>0</v>
      </c>
      <c r="G322" s="1744"/>
      <c r="H322" s="1983"/>
      <c r="I322" s="1750"/>
      <c r="J322" s="156"/>
      <c r="K322" s="156"/>
      <c r="L322" s="170"/>
      <c r="M322" s="171"/>
      <c r="N322" s="156"/>
      <c r="O322" s="156"/>
      <c r="P322" s="156"/>
      <c r="Q322" s="156"/>
      <c r="R322" s="156"/>
      <c r="S322" s="156"/>
      <c r="T322" s="156"/>
      <c r="U322" s="156"/>
      <c r="V322" s="156"/>
      <c r="W322" s="156"/>
      <c r="X322" s="156"/>
      <c r="Y322" s="156"/>
      <c r="Z322" s="156"/>
      <c r="AA322" s="156"/>
      <c r="AB322" s="156"/>
      <c r="AC322" s="156"/>
      <c r="AD322" s="156"/>
      <c r="AE322" s="156"/>
      <c r="AF322" s="156"/>
      <c r="AG322" s="156"/>
      <c r="AH322" s="156"/>
      <c r="AI322" s="156"/>
      <c r="AJ322" s="156"/>
      <c r="AK322" s="156"/>
      <c r="AL322" s="156"/>
      <c r="AM322" s="156"/>
      <c r="AN322" s="156"/>
      <c r="AO322" s="156"/>
      <c r="AP322" s="156"/>
      <c r="AQ322" s="156"/>
      <c r="AR322" s="156"/>
      <c r="AS322" s="156"/>
      <c r="AT322" s="156"/>
      <c r="AU322" s="156"/>
      <c r="AV322" s="156"/>
      <c r="AW322" s="156"/>
      <c r="AX322" s="156"/>
      <c r="AY322" s="156"/>
      <c r="AZ322" s="156"/>
      <c r="BA322" s="156"/>
      <c r="BB322" s="156"/>
      <c r="BC322" s="156"/>
      <c r="BD322" s="156"/>
      <c r="BE322" s="156"/>
      <c r="BF322" s="156"/>
      <c r="BG322" s="156"/>
      <c r="BH322" s="156"/>
      <c r="BI322" s="156"/>
      <c r="BJ322" s="156"/>
      <c r="BK322" s="156"/>
      <c r="BL322" s="156"/>
      <c r="BM322" s="156"/>
      <c r="BN322" s="156"/>
      <c r="BO322" s="156"/>
      <c r="BP322" s="156"/>
      <c r="BQ322" s="156"/>
      <c r="BR322" s="156"/>
      <c r="BS322" s="156"/>
      <c r="BT322" s="156"/>
      <c r="BU322" s="156"/>
      <c r="BV322" s="156"/>
      <c r="BW322" s="156"/>
      <c r="BX322" s="156"/>
      <c r="BY322" s="156"/>
      <c r="BZ322" s="156"/>
      <c r="CA322" s="156"/>
      <c r="CB322" s="156"/>
      <c r="CC322" s="156"/>
      <c r="CD322" s="156"/>
      <c r="CE322" s="156"/>
      <c r="CF322" s="156"/>
      <c r="CG322" s="156"/>
      <c r="CH322" s="156"/>
      <c r="CI322" s="156"/>
      <c r="CJ322" s="156"/>
      <c r="CK322" s="156"/>
      <c r="CL322" s="156"/>
      <c r="CM322" s="156"/>
      <c r="CN322" s="156"/>
      <c r="CO322" s="156"/>
      <c r="CP322" s="156"/>
      <c r="CQ322" s="156"/>
      <c r="CR322" s="156"/>
      <c r="CS322" s="156"/>
      <c r="CT322" s="156"/>
      <c r="CU322" s="156"/>
      <c r="CV322" s="156"/>
      <c r="CW322" s="156"/>
      <c r="CX322" s="156"/>
      <c r="CY322" s="156"/>
      <c r="CZ322" s="156"/>
      <c r="DA322" s="156"/>
      <c r="DB322" s="156"/>
      <c r="DC322" s="156"/>
      <c r="DD322" s="156"/>
      <c r="DE322" s="156"/>
      <c r="DF322" s="156"/>
      <c r="DG322" s="156"/>
      <c r="DH322" s="175"/>
      <c r="DI322" s="156"/>
      <c r="DJ322" s="156"/>
      <c r="DK322" s="156"/>
      <c r="DL322" s="156"/>
      <c r="DM322" s="156"/>
      <c r="DN322" s="156"/>
      <c r="DO322" s="156"/>
      <c r="DP322" s="156"/>
      <c r="DQ322" s="156"/>
      <c r="DR322" s="156"/>
      <c r="DS322" s="156"/>
      <c r="DT322" s="156"/>
      <c r="DU322" s="156"/>
      <c r="DV322" s="156"/>
      <c r="DW322" s="156"/>
      <c r="DX322" s="156"/>
      <c r="DY322" s="156"/>
      <c r="DZ322" s="156"/>
      <c r="EA322" s="156"/>
      <c r="EB322" s="156"/>
      <c r="EC322" s="156"/>
      <c r="ED322" s="156"/>
      <c r="EE322" s="156"/>
      <c r="EF322" s="156"/>
      <c r="EG322" s="156"/>
      <c r="EH322" s="156"/>
      <c r="EI322" s="156"/>
      <c r="EJ322" s="156"/>
      <c r="EK322" s="156"/>
      <c r="EL322" s="156"/>
      <c r="EM322" s="156"/>
      <c r="EN322" s="156"/>
      <c r="EO322" s="156"/>
      <c r="EP322" s="156"/>
      <c r="EQ322" s="156"/>
      <c r="ER322" s="156"/>
      <c r="ES322" s="156"/>
      <c r="ET322" s="156"/>
      <c r="EU322" s="156"/>
      <c r="EV322" s="156"/>
      <c r="EW322" s="156"/>
      <c r="EX322" s="156"/>
      <c r="EY322" s="156"/>
      <c r="EZ322" s="156"/>
      <c r="FA322" s="156"/>
      <c r="FB322" s="156"/>
      <c r="FC322" s="156"/>
      <c r="FD322" s="156"/>
      <c r="FE322" s="156"/>
      <c r="FF322" s="156"/>
      <c r="FG322" s="156"/>
      <c r="FH322" s="156"/>
      <c r="FI322" s="156"/>
      <c r="FJ322" s="156"/>
      <c r="FK322" s="156"/>
      <c r="FL322" s="162"/>
    </row>
    <row r="323" spans="1:168" ht="16.2" thickBot="1">
      <c r="A323" s="1734" t="s">
        <v>1558</v>
      </c>
      <c r="B323" s="2180"/>
      <c r="C323" s="2194"/>
      <c r="D323" s="2194"/>
      <c r="E323" s="2194"/>
      <c r="F323" s="2194"/>
      <c r="G323" s="2194"/>
      <c r="H323" s="2194"/>
      <c r="I323" s="2195"/>
    </row>
    <row r="324" spans="1:168" s="163" customFormat="1">
      <c r="A324" s="1931" t="s">
        <v>2070</v>
      </c>
      <c r="B324" s="1935">
        <v>-3000</v>
      </c>
      <c r="C324" s="1936">
        <f>$G$18</f>
        <v>400.52</v>
      </c>
      <c r="D324" s="1937" t="s">
        <v>1196</v>
      </c>
      <c r="E324" s="1938">
        <f t="shared" ref="E324:E330" si="58">IF($G$18&lt;1,0,B324*C324)</f>
        <v>-1201560</v>
      </c>
      <c r="F324" s="1622">
        <f t="shared" ref="F324:F331" si="59">E324/$G$18/1000</f>
        <v>-3</v>
      </c>
      <c r="G324" s="1621"/>
      <c r="H324" s="1519"/>
      <c r="I324" s="1034"/>
      <c r="J324" s="156"/>
      <c r="K324" s="156"/>
      <c r="L324" s="170"/>
      <c r="M324" s="171"/>
      <c r="N324" s="156"/>
      <c r="O324" s="156"/>
      <c r="P324" s="156"/>
      <c r="Q324" s="156"/>
      <c r="R324" s="156"/>
      <c r="S324" s="156"/>
      <c r="T324" s="156"/>
      <c r="U324" s="156"/>
      <c r="V324" s="156"/>
      <c r="W324" s="156"/>
      <c r="X324" s="156"/>
      <c r="Y324" s="156"/>
      <c r="Z324" s="156"/>
      <c r="AA324" s="156"/>
      <c r="AB324" s="156"/>
      <c r="AC324" s="156"/>
      <c r="AD324" s="156"/>
      <c r="AE324" s="156"/>
      <c r="AF324" s="156"/>
      <c r="AG324" s="156"/>
      <c r="AH324" s="156"/>
      <c r="AI324" s="156"/>
      <c r="AJ324" s="156"/>
      <c r="AK324" s="156"/>
      <c r="AL324" s="156"/>
      <c r="AM324" s="156"/>
      <c r="AN324" s="156"/>
      <c r="AO324" s="156"/>
      <c r="AP324" s="156"/>
      <c r="AQ324" s="156"/>
      <c r="AR324" s="156"/>
      <c r="AS324" s="156"/>
      <c r="AT324" s="156"/>
      <c r="AU324" s="156"/>
      <c r="AV324" s="156"/>
      <c r="AW324" s="156"/>
      <c r="AX324" s="156"/>
      <c r="AY324" s="156"/>
      <c r="AZ324" s="156"/>
      <c r="BA324" s="156"/>
      <c r="BB324" s="156"/>
      <c r="BC324" s="156"/>
      <c r="BD324" s="156"/>
      <c r="BE324" s="156"/>
      <c r="BF324" s="156"/>
      <c r="BG324" s="156"/>
      <c r="BH324" s="156"/>
      <c r="BI324" s="156"/>
      <c r="BJ324" s="156"/>
      <c r="BK324" s="156"/>
      <c r="BL324" s="156"/>
      <c r="BM324" s="156"/>
      <c r="BN324" s="156"/>
      <c r="BO324" s="156"/>
      <c r="BP324" s="156"/>
      <c r="BQ324" s="156"/>
      <c r="BR324" s="156"/>
      <c r="BS324" s="156"/>
      <c r="BT324" s="156"/>
      <c r="BU324" s="156"/>
      <c r="BV324" s="156"/>
      <c r="BW324" s="156"/>
      <c r="BX324" s="156"/>
      <c r="BY324" s="156"/>
      <c r="BZ324" s="156"/>
      <c r="CA324" s="156"/>
      <c r="CB324" s="156"/>
      <c r="CC324" s="156"/>
      <c r="CD324" s="156"/>
      <c r="CE324" s="156"/>
      <c r="CF324" s="156"/>
      <c r="CG324" s="156"/>
      <c r="CH324" s="156"/>
      <c r="CI324" s="156"/>
      <c r="CJ324" s="156"/>
      <c r="CK324" s="156"/>
      <c r="CL324" s="156"/>
      <c r="CM324" s="156"/>
      <c r="CN324" s="156"/>
      <c r="CO324" s="156"/>
      <c r="CP324" s="156"/>
      <c r="CQ324" s="156"/>
      <c r="CR324" s="156"/>
      <c r="CS324" s="156"/>
      <c r="CT324" s="156"/>
      <c r="CU324" s="156"/>
      <c r="CV324" s="156"/>
      <c r="CW324" s="156"/>
      <c r="CX324" s="156"/>
      <c r="CY324" s="156"/>
      <c r="CZ324" s="156"/>
      <c r="DA324" s="156"/>
      <c r="DB324" s="156"/>
      <c r="DC324" s="156"/>
      <c r="DD324" s="156"/>
      <c r="DE324" s="156"/>
      <c r="DF324" s="156"/>
      <c r="DG324" s="156"/>
      <c r="DH324" s="175"/>
      <c r="DI324" s="156"/>
      <c r="DJ324" s="156"/>
      <c r="DK324" s="156"/>
      <c r="DL324" s="156"/>
      <c r="DM324" s="156"/>
      <c r="DN324" s="156"/>
      <c r="DO324" s="156"/>
      <c r="DP324" s="156"/>
      <c r="DQ324" s="156"/>
      <c r="DR324" s="156"/>
      <c r="DS324" s="156"/>
      <c r="DT324" s="156"/>
      <c r="DU324" s="156"/>
      <c r="DV324" s="156"/>
      <c r="DW324" s="156"/>
      <c r="DX324" s="156"/>
      <c r="DY324" s="156"/>
      <c r="DZ324" s="156"/>
      <c r="EA324" s="156"/>
      <c r="EB324" s="156"/>
      <c r="EC324" s="156"/>
      <c r="ED324" s="156"/>
      <c r="EE324" s="156"/>
      <c r="EF324" s="156"/>
      <c r="EG324" s="156"/>
      <c r="EH324" s="156"/>
      <c r="EI324" s="156"/>
      <c r="EJ324" s="156"/>
      <c r="EK324" s="156"/>
      <c r="EL324" s="156"/>
      <c r="EM324" s="156"/>
      <c r="EN324" s="156"/>
      <c r="EO324" s="156"/>
      <c r="EP324" s="156"/>
      <c r="EQ324" s="156"/>
      <c r="ER324" s="156"/>
      <c r="ES324" s="156"/>
      <c r="ET324" s="156"/>
      <c r="EU324" s="156"/>
      <c r="EV324" s="156"/>
      <c r="EW324" s="156"/>
      <c r="EX324" s="156"/>
      <c r="EY324" s="156"/>
      <c r="EZ324" s="156"/>
      <c r="FA324" s="156"/>
      <c r="FB324" s="156"/>
      <c r="FC324" s="156"/>
      <c r="FD324" s="156"/>
      <c r="FE324" s="156"/>
      <c r="FF324" s="156"/>
      <c r="FG324" s="156"/>
      <c r="FH324" s="156"/>
      <c r="FI324" s="156"/>
      <c r="FJ324" s="156"/>
      <c r="FK324" s="156"/>
      <c r="FL324" s="162"/>
    </row>
    <row r="325" spans="1:168" s="163" customFormat="1">
      <c r="A325" s="1932" t="s">
        <v>1090</v>
      </c>
      <c r="B325" s="1939">
        <v>5895654.4000000004</v>
      </c>
      <c r="C325" s="1032">
        <v>-1</v>
      </c>
      <c r="D325" s="1033" t="s">
        <v>1196</v>
      </c>
      <c r="E325" s="1940">
        <f t="shared" si="58"/>
        <v>-5895654.4000000004</v>
      </c>
      <c r="F325" s="1623">
        <f t="shared" si="59"/>
        <v>-14.720000000000002</v>
      </c>
      <c r="G325" s="1621"/>
      <c r="H325" s="1510"/>
      <c r="I325" s="1034"/>
      <c r="J325" s="156"/>
      <c r="K325" s="156"/>
      <c r="L325" s="170"/>
      <c r="M325" s="171"/>
      <c r="N325" s="156"/>
      <c r="O325" s="156"/>
      <c r="P325" s="156"/>
      <c r="Q325" s="156"/>
      <c r="R325" s="156"/>
      <c r="S325" s="156"/>
      <c r="T325" s="156"/>
      <c r="U325" s="156"/>
      <c r="V325" s="156"/>
      <c r="W325" s="156"/>
      <c r="X325" s="156"/>
      <c r="Y325" s="156"/>
      <c r="Z325" s="156"/>
      <c r="AA325" s="156"/>
      <c r="AB325" s="156"/>
      <c r="AC325" s="156"/>
      <c r="AD325" s="156"/>
      <c r="AE325" s="156"/>
      <c r="AF325" s="156"/>
      <c r="AG325" s="156"/>
      <c r="AH325" s="156"/>
      <c r="AI325" s="156"/>
      <c r="AJ325" s="156"/>
      <c r="AK325" s="156"/>
      <c r="AL325" s="156"/>
      <c r="AM325" s="156"/>
      <c r="AN325" s="156"/>
      <c r="AO325" s="156"/>
      <c r="AP325" s="156"/>
      <c r="AQ325" s="156"/>
      <c r="AR325" s="156"/>
      <c r="AS325" s="156"/>
      <c r="AT325" s="156"/>
      <c r="AU325" s="156"/>
      <c r="AV325" s="156"/>
      <c r="AW325" s="156"/>
      <c r="AX325" s="156"/>
      <c r="AY325" s="156"/>
      <c r="AZ325" s="156"/>
      <c r="BA325" s="156"/>
      <c r="BB325" s="156"/>
      <c r="BC325" s="156"/>
      <c r="BD325" s="156"/>
      <c r="BE325" s="156"/>
      <c r="BF325" s="156"/>
      <c r="BG325" s="156"/>
      <c r="BH325" s="156"/>
      <c r="BI325" s="156"/>
      <c r="BJ325" s="156"/>
      <c r="BK325" s="156"/>
      <c r="BL325" s="156"/>
      <c r="BM325" s="156"/>
      <c r="BN325" s="156"/>
      <c r="BO325" s="156"/>
      <c r="BP325" s="156"/>
      <c r="BQ325" s="156"/>
      <c r="BR325" s="156"/>
      <c r="BS325" s="156"/>
      <c r="BT325" s="156"/>
      <c r="BU325" s="156"/>
      <c r="BV325" s="156"/>
      <c r="BW325" s="156"/>
      <c r="BX325" s="156"/>
      <c r="BY325" s="156"/>
      <c r="BZ325" s="156"/>
      <c r="CA325" s="156"/>
      <c r="CB325" s="156"/>
      <c r="CC325" s="156"/>
      <c r="CD325" s="156"/>
      <c r="CE325" s="156"/>
      <c r="CF325" s="156"/>
      <c r="CG325" s="156"/>
      <c r="CH325" s="156"/>
      <c r="CI325" s="156"/>
      <c r="CJ325" s="156"/>
      <c r="CK325" s="156"/>
      <c r="CL325" s="156"/>
      <c r="CM325" s="156"/>
      <c r="CN325" s="156"/>
      <c r="CO325" s="156"/>
      <c r="CP325" s="156"/>
      <c r="CQ325" s="156"/>
      <c r="CR325" s="156"/>
      <c r="CS325" s="156"/>
      <c r="CT325" s="156"/>
      <c r="CU325" s="156"/>
      <c r="CV325" s="156"/>
      <c r="CW325" s="156"/>
      <c r="CX325" s="156"/>
      <c r="CY325" s="156"/>
      <c r="CZ325" s="156"/>
      <c r="DA325" s="156"/>
      <c r="DB325" s="156"/>
      <c r="DC325" s="156"/>
      <c r="DD325" s="156"/>
      <c r="DE325" s="156"/>
      <c r="DF325" s="156"/>
      <c r="DG325" s="156"/>
      <c r="DH325" s="175"/>
      <c r="DI325" s="156"/>
      <c r="DJ325" s="156"/>
      <c r="DK325" s="156"/>
      <c r="DL325" s="156"/>
      <c r="DM325" s="156"/>
      <c r="DN325" s="156"/>
      <c r="DO325" s="156"/>
      <c r="DP325" s="156"/>
      <c r="DQ325" s="156"/>
      <c r="DR325" s="156"/>
      <c r="DS325" s="156"/>
      <c r="DT325" s="156"/>
      <c r="DU325" s="156"/>
      <c r="DV325" s="156"/>
      <c r="DW325" s="156"/>
      <c r="DX325" s="156"/>
      <c r="DY325" s="156"/>
      <c r="DZ325" s="156"/>
      <c r="EA325" s="156"/>
      <c r="EB325" s="156"/>
      <c r="EC325" s="156"/>
      <c r="ED325" s="156"/>
      <c r="EE325" s="156"/>
      <c r="EF325" s="156"/>
      <c r="EG325" s="156"/>
      <c r="EH325" s="156"/>
      <c r="EI325" s="156"/>
      <c r="EJ325" s="156"/>
      <c r="EK325" s="156"/>
      <c r="EL325" s="156"/>
      <c r="EM325" s="156"/>
      <c r="EN325" s="156"/>
      <c r="EO325" s="156"/>
      <c r="EP325" s="156"/>
      <c r="EQ325" s="156"/>
      <c r="ER325" s="156"/>
      <c r="ES325" s="156"/>
      <c r="ET325" s="156"/>
      <c r="EU325" s="156"/>
      <c r="EV325" s="156"/>
      <c r="EW325" s="156"/>
      <c r="EX325" s="156"/>
      <c r="EY325" s="156"/>
      <c r="EZ325" s="156"/>
      <c r="FA325" s="156"/>
      <c r="FB325" s="156"/>
      <c r="FC325" s="156"/>
      <c r="FD325" s="156"/>
      <c r="FE325" s="156"/>
      <c r="FF325" s="156"/>
      <c r="FG325" s="156"/>
      <c r="FH325" s="156"/>
      <c r="FI325" s="156"/>
      <c r="FJ325" s="156"/>
      <c r="FK325" s="156"/>
      <c r="FL325" s="162"/>
    </row>
    <row r="326" spans="1:168" s="163" customFormat="1">
      <c r="A326" s="1933" t="s">
        <v>2069</v>
      </c>
      <c r="B326" s="1939">
        <v>980000</v>
      </c>
      <c r="C326" s="1032">
        <v>-1</v>
      </c>
      <c r="D326" s="1033" t="s">
        <v>1196</v>
      </c>
      <c r="E326" s="1940">
        <f t="shared" si="58"/>
        <v>-980000</v>
      </c>
      <c r="F326" s="1623">
        <f t="shared" si="59"/>
        <v>-2.4468191351243385</v>
      </c>
      <c r="G326" s="1621"/>
      <c r="H326" s="1510"/>
      <c r="I326" s="1034"/>
      <c r="J326" s="156"/>
      <c r="K326" s="156"/>
      <c r="L326" s="170"/>
      <c r="M326" s="171"/>
      <c r="N326" s="156"/>
      <c r="O326" s="156"/>
      <c r="P326" s="156"/>
      <c r="Q326" s="156"/>
      <c r="R326" s="156"/>
      <c r="S326" s="156"/>
      <c r="T326" s="156"/>
      <c r="U326" s="156"/>
      <c r="V326" s="156"/>
      <c r="W326" s="156"/>
      <c r="X326" s="156"/>
      <c r="Y326" s="156"/>
      <c r="Z326" s="156"/>
      <c r="AA326" s="156"/>
      <c r="AB326" s="156"/>
      <c r="AC326" s="156"/>
      <c r="AD326" s="156"/>
      <c r="AE326" s="156"/>
      <c r="AF326" s="156"/>
      <c r="AG326" s="156"/>
      <c r="AH326" s="156"/>
      <c r="AI326" s="156"/>
      <c r="AJ326" s="156"/>
      <c r="AK326" s="156"/>
      <c r="AL326" s="156"/>
      <c r="AM326" s="156"/>
      <c r="AN326" s="156"/>
      <c r="AO326" s="156"/>
      <c r="AP326" s="156"/>
      <c r="AQ326" s="156"/>
      <c r="AR326" s="156"/>
      <c r="AS326" s="156"/>
      <c r="AT326" s="156"/>
      <c r="AU326" s="156"/>
      <c r="AV326" s="156"/>
      <c r="AW326" s="156"/>
      <c r="AX326" s="156"/>
      <c r="AY326" s="156"/>
      <c r="AZ326" s="156"/>
      <c r="BA326" s="156"/>
      <c r="BB326" s="156"/>
      <c r="BC326" s="156"/>
      <c r="BD326" s="156"/>
      <c r="BE326" s="156"/>
      <c r="BF326" s="156"/>
      <c r="BG326" s="156"/>
      <c r="BH326" s="156"/>
      <c r="BI326" s="156"/>
      <c r="BJ326" s="156"/>
      <c r="BK326" s="156"/>
      <c r="BL326" s="156"/>
      <c r="BM326" s="156"/>
      <c r="BN326" s="156"/>
      <c r="BO326" s="156"/>
      <c r="BP326" s="156"/>
      <c r="BQ326" s="156"/>
      <c r="BR326" s="156"/>
      <c r="BS326" s="156"/>
      <c r="BT326" s="156"/>
      <c r="BU326" s="156"/>
      <c r="BV326" s="156"/>
      <c r="BW326" s="156"/>
      <c r="BX326" s="156"/>
      <c r="BY326" s="156"/>
      <c r="BZ326" s="156"/>
      <c r="CA326" s="156"/>
      <c r="CB326" s="156"/>
      <c r="CC326" s="156"/>
      <c r="CD326" s="156"/>
      <c r="CE326" s="156"/>
      <c r="CF326" s="156"/>
      <c r="CG326" s="156"/>
      <c r="CH326" s="156"/>
      <c r="CI326" s="156"/>
      <c r="CJ326" s="156"/>
      <c r="CK326" s="156"/>
      <c r="CL326" s="156"/>
      <c r="CM326" s="156"/>
      <c r="CN326" s="156"/>
      <c r="CO326" s="156"/>
      <c r="CP326" s="156"/>
      <c r="CQ326" s="156"/>
      <c r="CR326" s="156"/>
      <c r="CS326" s="156"/>
      <c r="CT326" s="156"/>
      <c r="CU326" s="156"/>
      <c r="CV326" s="156"/>
      <c r="CW326" s="156"/>
      <c r="CX326" s="156"/>
      <c r="CY326" s="156"/>
      <c r="CZ326" s="156"/>
      <c r="DA326" s="156"/>
      <c r="DB326" s="156"/>
      <c r="DC326" s="156"/>
      <c r="DD326" s="156"/>
      <c r="DE326" s="156"/>
      <c r="DF326" s="156"/>
      <c r="DG326" s="156"/>
      <c r="DH326" s="175"/>
      <c r="DI326" s="156"/>
      <c r="DJ326" s="156"/>
      <c r="DK326" s="156"/>
      <c r="DL326" s="156"/>
      <c r="DM326" s="156"/>
      <c r="DN326" s="156"/>
      <c r="DO326" s="156"/>
      <c r="DP326" s="156"/>
      <c r="DQ326" s="156"/>
      <c r="DR326" s="156"/>
      <c r="DS326" s="156"/>
      <c r="DT326" s="156"/>
      <c r="DU326" s="156"/>
      <c r="DV326" s="156"/>
      <c r="DW326" s="156"/>
      <c r="DX326" s="156"/>
      <c r="DY326" s="156"/>
      <c r="DZ326" s="156"/>
      <c r="EA326" s="156"/>
      <c r="EB326" s="156"/>
      <c r="EC326" s="156"/>
      <c r="ED326" s="156"/>
      <c r="EE326" s="156"/>
      <c r="EF326" s="156"/>
      <c r="EG326" s="156"/>
      <c r="EH326" s="156"/>
      <c r="EI326" s="156"/>
      <c r="EJ326" s="156"/>
      <c r="EK326" s="156"/>
      <c r="EL326" s="156"/>
      <c r="EM326" s="156"/>
      <c r="EN326" s="156"/>
      <c r="EO326" s="156"/>
      <c r="EP326" s="156"/>
      <c r="EQ326" s="156"/>
      <c r="ER326" s="156"/>
      <c r="ES326" s="156"/>
      <c r="ET326" s="156"/>
      <c r="EU326" s="156"/>
      <c r="EV326" s="156"/>
      <c r="EW326" s="156"/>
      <c r="EX326" s="156"/>
      <c r="EY326" s="156"/>
      <c r="EZ326" s="156"/>
      <c r="FA326" s="156"/>
      <c r="FB326" s="156"/>
      <c r="FC326" s="156"/>
      <c r="FD326" s="156"/>
      <c r="FE326" s="156"/>
      <c r="FF326" s="156"/>
      <c r="FG326" s="156"/>
      <c r="FH326" s="156"/>
      <c r="FI326" s="156"/>
      <c r="FJ326" s="156"/>
      <c r="FK326" s="156"/>
      <c r="FL326" s="162"/>
    </row>
    <row r="327" spans="1:168" s="163" customFormat="1">
      <c r="A327" s="1933"/>
      <c r="B327" s="1939"/>
      <c r="C327" s="1032"/>
      <c r="D327" s="1033" t="s">
        <v>1196</v>
      </c>
      <c r="E327" s="1940">
        <f t="shared" si="58"/>
        <v>0</v>
      </c>
      <c r="F327" s="1623">
        <f t="shared" si="59"/>
        <v>0</v>
      </c>
      <c r="G327" s="1621"/>
      <c r="H327" s="1510"/>
      <c r="I327" s="1034"/>
      <c r="J327" s="156"/>
      <c r="K327" s="156"/>
      <c r="L327" s="170"/>
      <c r="M327" s="171"/>
      <c r="N327" s="156"/>
      <c r="O327" s="156"/>
      <c r="P327" s="156"/>
      <c r="Q327" s="156"/>
      <c r="R327" s="156"/>
      <c r="S327" s="156"/>
      <c r="T327" s="156"/>
      <c r="U327" s="156"/>
      <c r="V327" s="156"/>
      <c r="W327" s="156"/>
      <c r="X327" s="156"/>
      <c r="Y327" s="156"/>
      <c r="Z327" s="156"/>
      <c r="AA327" s="156"/>
      <c r="AB327" s="156"/>
      <c r="AC327" s="156"/>
      <c r="AD327" s="156"/>
      <c r="AE327" s="156"/>
      <c r="AF327" s="156"/>
      <c r="AG327" s="156"/>
      <c r="AH327" s="156"/>
      <c r="AI327" s="156"/>
      <c r="AJ327" s="156"/>
      <c r="AK327" s="156"/>
      <c r="AL327" s="156"/>
      <c r="AM327" s="156"/>
      <c r="AN327" s="156"/>
      <c r="AO327" s="156"/>
      <c r="AP327" s="156"/>
      <c r="AQ327" s="156"/>
      <c r="AR327" s="156"/>
      <c r="AS327" s="156"/>
      <c r="AT327" s="156"/>
      <c r="AU327" s="156"/>
      <c r="AV327" s="156"/>
      <c r="AW327" s="156"/>
      <c r="AX327" s="156"/>
      <c r="AY327" s="156"/>
      <c r="AZ327" s="156"/>
      <c r="BA327" s="156"/>
      <c r="BB327" s="156"/>
      <c r="BC327" s="156"/>
      <c r="BD327" s="156"/>
      <c r="BE327" s="156"/>
      <c r="BF327" s="156"/>
      <c r="BG327" s="156"/>
      <c r="BH327" s="156"/>
      <c r="BI327" s="156"/>
      <c r="BJ327" s="156"/>
      <c r="BK327" s="156"/>
      <c r="BL327" s="156"/>
      <c r="BM327" s="156"/>
      <c r="BN327" s="156"/>
      <c r="BO327" s="156"/>
      <c r="BP327" s="156"/>
      <c r="BQ327" s="156"/>
      <c r="BR327" s="156"/>
      <c r="BS327" s="156"/>
      <c r="BT327" s="156"/>
      <c r="BU327" s="156"/>
      <c r="BV327" s="156"/>
      <c r="BW327" s="156"/>
      <c r="BX327" s="156"/>
      <c r="BY327" s="156"/>
      <c r="BZ327" s="156"/>
      <c r="CA327" s="156"/>
      <c r="CB327" s="156"/>
      <c r="CC327" s="156"/>
      <c r="CD327" s="156"/>
      <c r="CE327" s="156"/>
      <c r="CF327" s="156"/>
      <c r="CG327" s="156"/>
      <c r="CH327" s="156"/>
      <c r="CI327" s="156"/>
      <c r="CJ327" s="156"/>
      <c r="CK327" s="156"/>
      <c r="CL327" s="156"/>
      <c r="CM327" s="156"/>
      <c r="CN327" s="156"/>
      <c r="CO327" s="156"/>
      <c r="CP327" s="156"/>
      <c r="CQ327" s="156"/>
      <c r="CR327" s="156"/>
      <c r="CS327" s="156"/>
      <c r="CT327" s="156"/>
      <c r="CU327" s="156"/>
      <c r="CV327" s="156"/>
      <c r="CW327" s="156"/>
      <c r="CX327" s="156"/>
      <c r="CY327" s="156"/>
      <c r="CZ327" s="156"/>
      <c r="DA327" s="156"/>
      <c r="DB327" s="156"/>
      <c r="DC327" s="156"/>
      <c r="DD327" s="156"/>
      <c r="DE327" s="156"/>
      <c r="DF327" s="156"/>
      <c r="DG327" s="156"/>
      <c r="DH327" s="175"/>
      <c r="DI327" s="156"/>
      <c r="DJ327" s="156"/>
      <c r="DK327" s="156"/>
      <c r="DL327" s="156"/>
      <c r="DM327" s="156"/>
      <c r="DN327" s="156"/>
      <c r="DO327" s="156"/>
      <c r="DP327" s="156"/>
      <c r="DQ327" s="156"/>
      <c r="DR327" s="156"/>
      <c r="DS327" s="156"/>
      <c r="DT327" s="156"/>
      <c r="DU327" s="156"/>
      <c r="DV327" s="156"/>
      <c r="DW327" s="156"/>
      <c r="DX327" s="156"/>
      <c r="DY327" s="156"/>
      <c r="DZ327" s="156"/>
      <c r="EA327" s="156"/>
      <c r="EB327" s="156"/>
      <c r="EC327" s="156"/>
      <c r="ED327" s="156"/>
      <c r="EE327" s="156"/>
      <c r="EF327" s="156"/>
      <c r="EG327" s="156"/>
      <c r="EH327" s="156"/>
      <c r="EI327" s="156"/>
      <c r="EJ327" s="156"/>
      <c r="EK327" s="156"/>
      <c r="EL327" s="156"/>
      <c r="EM327" s="156"/>
      <c r="EN327" s="156"/>
      <c r="EO327" s="156"/>
      <c r="EP327" s="156"/>
      <c r="EQ327" s="156"/>
      <c r="ER327" s="156"/>
      <c r="ES327" s="156"/>
      <c r="ET327" s="156"/>
      <c r="EU327" s="156"/>
      <c r="EV327" s="156"/>
      <c r="EW327" s="156"/>
      <c r="EX327" s="156"/>
      <c r="EY327" s="156"/>
      <c r="EZ327" s="156"/>
      <c r="FA327" s="156"/>
      <c r="FB327" s="156"/>
      <c r="FC327" s="156"/>
      <c r="FD327" s="156"/>
      <c r="FE327" s="156"/>
      <c r="FF327" s="156"/>
      <c r="FG327" s="156"/>
      <c r="FH327" s="156"/>
      <c r="FI327" s="156"/>
      <c r="FJ327" s="156"/>
      <c r="FK327" s="156"/>
      <c r="FL327" s="162"/>
    </row>
    <row r="328" spans="1:168" s="163" customFormat="1">
      <c r="A328" s="1933"/>
      <c r="B328" s="1939">
        <v>0</v>
      </c>
      <c r="C328" s="1032">
        <v>0</v>
      </c>
      <c r="D328" s="1033" t="s">
        <v>1196</v>
      </c>
      <c r="E328" s="1940">
        <f t="shared" si="58"/>
        <v>0</v>
      </c>
      <c r="F328" s="1623">
        <f t="shared" si="59"/>
        <v>0</v>
      </c>
      <c r="G328" s="1621"/>
      <c r="H328" s="1510"/>
      <c r="I328" s="1034"/>
      <c r="J328" s="156"/>
      <c r="K328" s="156"/>
      <c r="L328" s="170"/>
      <c r="M328" s="171"/>
      <c r="N328" s="156"/>
      <c r="O328" s="156"/>
      <c r="P328" s="156"/>
      <c r="Q328" s="156"/>
      <c r="R328" s="156"/>
      <c r="S328" s="156"/>
      <c r="T328" s="156"/>
      <c r="U328" s="156"/>
      <c r="V328" s="156"/>
      <c r="W328" s="156"/>
      <c r="X328" s="156"/>
      <c r="Y328" s="156"/>
      <c r="Z328" s="156"/>
      <c r="AA328" s="156"/>
      <c r="AB328" s="156"/>
      <c r="AC328" s="156"/>
      <c r="AD328" s="156"/>
      <c r="AE328" s="156"/>
      <c r="AF328" s="156"/>
      <c r="AG328" s="156"/>
      <c r="AH328" s="156"/>
      <c r="AI328" s="156"/>
      <c r="AJ328" s="156"/>
      <c r="AK328" s="156"/>
      <c r="AL328" s="156"/>
      <c r="AM328" s="156"/>
      <c r="AN328" s="156"/>
      <c r="AO328" s="156"/>
      <c r="AP328" s="156"/>
      <c r="AQ328" s="156"/>
      <c r="AR328" s="156"/>
      <c r="AS328" s="156"/>
      <c r="AT328" s="156"/>
      <c r="AU328" s="156"/>
      <c r="AV328" s="156"/>
      <c r="AW328" s="156"/>
      <c r="AX328" s="156"/>
      <c r="AY328" s="156"/>
      <c r="AZ328" s="156"/>
      <c r="BA328" s="156"/>
      <c r="BB328" s="156"/>
      <c r="BC328" s="156"/>
      <c r="BD328" s="156"/>
      <c r="BE328" s="156"/>
      <c r="BF328" s="156"/>
      <c r="BG328" s="156"/>
      <c r="BH328" s="156"/>
      <c r="BI328" s="156"/>
      <c r="BJ328" s="156"/>
      <c r="BK328" s="156"/>
      <c r="BL328" s="156"/>
      <c r="BM328" s="156"/>
      <c r="BN328" s="156"/>
      <c r="BO328" s="156"/>
      <c r="BP328" s="156"/>
      <c r="BQ328" s="156"/>
      <c r="BR328" s="156"/>
      <c r="BS328" s="156"/>
      <c r="BT328" s="156"/>
      <c r="BU328" s="156"/>
      <c r="BV328" s="156"/>
      <c r="BW328" s="156"/>
      <c r="BX328" s="156"/>
      <c r="BY328" s="156"/>
      <c r="BZ328" s="156"/>
      <c r="CA328" s="156"/>
      <c r="CB328" s="156"/>
      <c r="CC328" s="156"/>
      <c r="CD328" s="156"/>
      <c r="CE328" s="156"/>
      <c r="CF328" s="156"/>
      <c r="CG328" s="156"/>
      <c r="CH328" s="156"/>
      <c r="CI328" s="156"/>
      <c r="CJ328" s="156"/>
      <c r="CK328" s="156"/>
      <c r="CL328" s="156"/>
      <c r="CM328" s="156"/>
      <c r="CN328" s="156"/>
      <c r="CO328" s="156"/>
      <c r="CP328" s="156"/>
      <c r="CQ328" s="156"/>
      <c r="CR328" s="156"/>
      <c r="CS328" s="156"/>
      <c r="CT328" s="156"/>
      <c r="CU328" s="156"/>
      <c r="CV328" s="156"/>
      <c r="CW328" s="156"/>
      <c r="CX328" s="156"/>
      <c r="CY328" s="156"/>
      <c r="CZ328" s="156"/>
      <c r="DA328" s="156"/>
      <c r="DB328" s="156"/>
      <c r="DC328" s="156"/>
      <c r="DD328" s="156"/>
      <c r="DE328" s="156"/>
      <c r="DF328" s="156"/>
      <c r="DG328" s="156"/>
      <c r="DH328" s="175"/>
      <c r="DI328" s="156"/>
      <c r="DJ328" s="156"/>
      <c r="DK328" s="156"/>
      <c r="DL328" s="156"/>
      <c r="DM328" s="156"/>
      <c r="DN328" s="156"/>
      <c r="DO328" s="156"/>
      <c r="DP328" s="156"/>
      <c r="DQ328" s="156"/>
      <c r="DR328" s="156"/>
      <c r="DS328" s="156"/>
      <c r="DT328" s="156"/>
      <c r="DU328" s="156"/>
      <c r="DV328" s="156"/>
      <c r="DW328" s="156"/>
      <c r="DX328" s="156"/>
      <c r="DY328" s="156"/>
      <c r="DZ328" s="156"/>
      <c r="EA328" s="156"/>
      <c r="EB328" s="156"/>
      <c r="EC328" s="156"/>
      <c r="ED328" s="156"/>
      <c r="EE328" s="156"/>
      <c r="EF328" s="156"/>
      <c r="EG328" s="156"/>
      <c r="EH328" s="156"/>
      <c r="EI328" s="156"/>
      <c r="EJ328" s="156"/>
      <c r="EK328" s="156"/>
      <c r="EL328" s="156"/>
      <c r="EM328" s="156"/>
      <c r="EN328" s="156"/>
      <c r="EO328" s="156"/>
      <c r="EP328" s="156"/>
      <c r="EQ328" s="156"/>
      <c r="ER328" s="156"/>
      <c r="ES328" s="156"/>
      <c r="ET328" s="156"/>
      <c r="EU328" s="156"/>
      <c r="EV328" s="156"/>
      <c r="EW328" s="156"/>
      <c r="EX328" s="156"/>
      <c r="EY328" s="156"/>
      <c r="EZ328" s="156"/>
      <c r="FA328" s="156"/>
      <c r="FB328" s="156"/>
      <c r="FC328" s="156"/>
      <c r="FD328" s="156"/>
      <c r="FE328" s="156"/>
      <c r="FF328" s="156"/>
      <c r="FG328" s="156"/>
      <c r="FH328" s="156"/>
      <c r="FI328" s="156"/>
      <c r="FJ328" s="156"/>
      <c r="FK328" s="156"/>
      <c r="FL328" s="162"/>
    </row>
    <row r="329" spans="1:168" s="163" customFormat="1">
      <c r="A329" s="1933"/>
      <c r="B329" s="1939">
        <v>0</v>
      </c>
      <c r="C329" s="1032">
        <v>0</v>
      </c>
      <c r="D329" s="1033" t="s">
        <v>1196</v>
      </c>
      <c r="E329" s="1940">
        <f t="shared" si="58"/>
        <v>0</v>
      </c>
      <c r="F329" s="1623">
        <f t="shared" si="59"/>
        <v>0</v>
      </c>
      <c r="G329" s="1621"/>
      <c r="H329" s="1510"/>
      <c r="I329" s="1034"/>
      <c r="J329" s="156"/>
      <c r="K329" s="156"/>
      <c r="L329" s="170"/>
      <c r="M329" s="171"/>
      <c r="N329" s="156"/>
      <c r="O329" s="156"/>
      <c r="P329" s="156"/>
      <c r="Q329" s="156"/>
      <c r="R329" s="156"/>
      <c r="S329" s="156"/>
      <c r="T329" s="156"/>
      <c r="U329" s="156"/>
      <c r="V329" s="156"/>
      <c r="W329" s="156"/>
      <c r="X329" s="156"/>
      <c r="Y329" s="156"/>
      <c r="Z329" s="156"/>
      <c r="AA329" s="156"/>
      <c r="AB329" s="156"/>
      <c r="AC329" s="156"/>
      <c r="AD329" s="156"/>
      <c r="AE329" s="156"/>
      <c r="AF329" s="156"/>
      <c r="AG329" s="156"/>
      <c r="AH329" s="156"/>
      <c r="AI329" s="156"/>
      <c r="AJ329" s="156"/>
      <c r="AK329" s="156"/>
      <c r="AL329" s="156"/>
      <c r="AM329" s="156"/>
      <c r="AN329" s="156"/>
      <c r="AO329" s="156"/>
      <c r="AP329" s="156"/>
      <c r="AQ329" s="156"/>
      <c r="AR329" s="156"/>
      <c r="AS329" s="156"/>
      <c r="AT329" s="156"/>
      <c r="AU329" s="156"/>
      <c r="AV329" s="156"/>
      <c r="AW329" s="156"/>
      <c r="AX329" s="156"/>
      <c r="AY329" s="156"/>
      <c r="AZ329" s="156"/>
      <c r="BA329" s="156"/>
      <c r="BB329" s="156"/>
      <c r="BC329" s="156"/>
      <c r="BD329" s="156"/>
      <c r="BE329" s="156"/>
      <c r="BF329" s="156"/>
      <c r="BG329" s="156"/>
      <c r="BH329" s="156"/>
      <c r="BI329" s="156"/>
      <c r="BJ329" s="156"/>
      <c r="BK329" s="156"/>
      <c r="BL329" s="156"/>
      <c r="BM329" s="156"/>
      <c r="BN329" s="156"/>
      <c r="BO329" s="156"/>
      <c r="BP329" s="156"/>
      <c r="BQ329" s="156"/>
      <c r="BR329" s="156"/>
      <c r="BS329" s="156"/>
      <c r="BT329" s="156"/>
      <c r="BU329" s="156"/>
      <c r="BV329" s="156"/>
      <c r="BW329" s="156"/>
      <c r="BX329" s="156"/>
      <c r="BY329" s="156"/>
      <c r="BZ329" s="156"/>
      <c r="CA329" s="156"/>
      <c r="CB329" s="156"/>
      <c r="CC329" s="156"/>
      <c r="CD329" s="156"/>
      <c r="CE329" s="156"/>
      <c r="CF329" s="156"/>
      <c r="CG329" s="156"/>
      <c r="CH329" s="156"/>
      <c r="CI329" s="156"/>
      <c r="CJ329" s="156"/>
      <c r="CK329" s="156"/>
      <c r="CL329" s="156"/>
      <c r="CM329" s="156"/>
      <c r="CN329" s="156"/>
      <c r="CO329" s="156"/>
      <c r="CP329" s="156"/>
      <c r="CQ329" s="156"/>
      <c r="CR329" s="156"/>
      <c r="CS329" s="156"/>
      <c r="CT329" s="156"/>
      <c r="CU329" s="156"/>
      <c r="CV329" s="156"/>
      <c r="CW329" s="156"/>
      <c r="CX329" s="156"/>
      <c r="CY329" s="156"/>
      <c r="CZ329" s="156"/>
      <c r="DA329" s="156"/>
      <c r="DB329" s="156"/>
      <c r="DC329" s="156"/>
      <c r="DD329" s="156"/>
      <c r="DE329" s="156"/>
      <c r="DF329" s="156"/>
      <c r="DG329" s="156"/>
      <c r="DH329" s="175"/>
      <c r="DI329" s="156"/>
      <c r="DJ329" s="156"/>
      <c r="DK329" s="156"/>
      <c r="DL329" s="156"/>
      <c r="DM329" s="156"/>
      <c r="DN329" s="156"/>
      <c r="DO329" s="156"/>
      <c r="DP329" s="156"/>
      <c r="DQ329" s="156"/>
      <c r="DR329" s="156"/>
      <c r="DS329" s="156"/>
      <c r="DT329" s="156"/>
      <c r="DU329" s="156"/>
      <c r="DV329" s="156"/>
      <c r="DW329" s="156"/>
      <c r="DX329" s="156"/>
      <c r="DY329" s="156"/>
      <c r="DZ329" s="156"/>
      <c r="EA329" s="156"/>
      <c r="EB329" s="156"/>
      <c r="EC329" s="156"/>
      <c r="ED329" s="156"/>
      <c r="EE329" s="156"/>
      <c r="EF329" s="156"/>
      <c r="EG329" s="156"/>
      <c r="EH329" s="156"/>
      <c r="EI329" s="156"/>
      <c r="EJ329" s="156"/>
      <c r="EK329" s="156"/>
      <c r="EL329" s="156"/>
      <c r="EM329" s="156"/>
      <c r="EN329" s="156"/>
      <c r="EO329" s="156"/>
      <c r="EP329" s="156"/>
      <c r="EQ329" s="156"/>
      <c r="ER329" s="156"/>
      <c r="ES329" s="156"/>
      <c r="ET329" s="156"/>
      <c r="EU329" s="156"/>
      <c r="EV329" s="156"/>
      <c r="EW329" s="156"/>
      <c r="EX329" s="156"/>
      <c r="EY329" s="156"/>
      <c r="EZ329" s="156"/>
      <c r="FA329" s="156"/>
      <c r="FB329" s="156"/>
      <c r="FC329" s="156"/>
      <c r="FD329" s="156"/>
      <c r="FE329" s="156"/>
      <c r="FF329" s="156"/>
      <c r="FG329" s="156"/>
      <c r="FH329" s="156"/>
      <c r="FI329" s="156"/>
      <c r="FJ329" s="156"/>
      <c r="FK329" s="156"/>
      <c r="FL329" s="162"/>
    </row>
    <row r="330" spans="1:168" s="163" customFormat="1" ht="15" thickBot="1">
      <c r="A330" s="1934"/>
      <c r="B330" s="1941">
        <v>0</v>
      </c>
      <c r="C330" s="1942">
        <v>0</v>
      </c>
      <c r="D330" s="1943" t="s">
        <v>1196</v>
      </c>
      <c r="E330" s="1944">
        <f t="shared" si="58"/>
        <v>0</v>
      </c>
      <c r="F330" s="1623">
        <f t="shared" si="59"/>
        <v>0</v>
      </c>
      <c r="G330" s="1621"/>
      <c r="H330" s="1510"/>
      <c r="I330" s="1034"/>
      <c r="J330" s="156"/>
      <c r="K330" s="156"/>
      <c r="L330" s="170"/>
      <c r="M330" s="171"/>
      <c r="N330" s="156"/>
      <c r="O330" s="156"/>
      <c r="P330" s="156"/>
      <c r="Q330" s="156"/>
      <c r="R330" s="156"/>
      <c r="S330" s="156"/>
      <c r="T330" s="156"/>
      <c r="U330" s="156"/>
      <c r="V330" s="156"/>
      <c r="W330" s="156"/>
      <c r="X330" s="156"/>
      <c r="Y330" s="156"/>
      <c r="Z330" s="156"/>
      <c r="AA330" s="156"/>
      <c r="AB330" s="156"/>
      <c r="AC330" s="156"/>
      <c r="AD330" s="156"/>
      <c r="AE330" s="156"/>
      <c r="AF330" s="156"/>
      <c r="AG330" s="156"/>
      <c r="AH330" s="156"/>
      <c r="AI330" s="156"/>
      <c r="AJ330" s="156"/>
      <c r="AK330" s="156"/>
      <c r="AL330" s="156"/>
      <c r="AM330" s="156"/>
      <c r="AN330" s="156"/>
      <c r="AO330" s="156"/>
      <c r="AP330" s="156"/>
      <c r="AQ330" s="156"/>
      <c r="AR330" s="156"/>
      <c r="AS330" s="156"/>
      <c r="AT330" s="156"/>
      <c r="AU330" s="156"/>
      <c r="AV330" s="156"/>
      <c r="AW330" s="156"/>
      <c r="AX330" s="156"/>
      <c r="AY330" s="156"/>
      <c r="AZ330" s="156"/>
      <c r="BA330" s="156"/>
      <c r="BB330" s="156"/>
      <c r="BC330" s="156"/>
      <c r="BD330" s="156"/>
      <c r="BE330" s="156"/>
      <c r="BF330" s="156"/>
      <c r="BG330" s="156"/>
      <c r="BH330" s="156"/>
      <c r="BI330" s="156"/>
      <c r="BJ330" s="156"/>
      <c r="BK330" s="156"/>
      <c r="BL330" s="156"/>
      <c r="BM330" s="156"/>
      <c r="BN330" s="156"/>
      <c r="BO330" s="156"/>
      <c r="BP330" s="156"/>
      <c r="BQ330" s="156"/>
      <c r="BR330" s="156"/>
      <c r="BS330" s="156"/>
      <c r="BT330" s="156"/>
      <c r="BU330" s="156"/>
      <c r="BV330" s="156"/>
      <c r="BW330" s="156"/>
      <c r="BX330" s="156"/>
      <c r="BY330" s="156"/>
      <c r="BZ330" s="156"/>
      <c r="CA330" s="156"/>
      <c r="CB330" s="156"/>
      <c r="CC330" s="156"/>
      <c r="CD330" s="156"/>
      <c r="CE330" s="156"/>
      <c r="CF330" s="156"/>
      <c r="CG330" s="156"/>
      <c r="CH330" s="156"/>
      <c r="CI330" s="156"/>
      <c r="CJ330" s="156"/>
      <c r="CK330" s="156"/>
      <c r="CL330" s="156"/>
      <c r="CM330" s="156"/>
      <c r="CN330" s="156"/>
      <c r="CO330" s="156"/>
      <c r="CP330" s="156"/>
      <c r="CQ330" s="156"/>
      <c r="CR330" s="156"/>
      <c r="CS330" s="156"/>
      <c r="CT330" s="156"/>
      <c r="CU330" s="156"/>
      <c r="CV330" s="156"/>
      <c r="CW330" s="156"/>
      <c r="CX330" s="156"/>
      <c r="CY330" s="156"/>
      <c r="CZ330" s="156"/>
      <c r="DA330" s="156"/>
      <c r="DB330" s="156"/>
      <c r="DC330" s="156"/>
      <c r="DD330" s="156"/>
      <c r="DE330" s="156"/>
      <c r="DF330" s="156"/>
      <c r="DG330" s="156"/>
      <c r="DH330" s="175"/>
      <c r="DI330" s="156"/>
      <c r="DJ330" s="156"/>
      <c r="DK330" s="156"/>
      <c r="DL330" s="156"/>
      <c r="DM330" s="156"/>
      <c r="DN330" s="156"/>
      <c r="DO330" s="156"/>
      <c r="DP330" s="156"/>
      <c r="DQ330" s="156"/>
      <c r="DR330" s="156"/>
      <c r="DS330" s="156"/>
      <c r="DT330" s="156"/>
      <c r="DU330" s="156"/>
      <c r="DV330" s="156"/>
      <c r="DW330" s="156"/>
      <c r="DX330" s="156"/>
      <c r="DY330" s="156"/>
      <c r="DZ330" s="156"/>
      <c r="EA330" s="156"/>
      <c r="EB330" s="156"/>
      <c r="EC330" s="156"/>
      <c r="ED330" s="156"/>
      <c r="EE330" s="156"/>
      <c r="EF330" s="156"/>
      <c r="EG330" s="156"/>
      <c r="EH330" s="156"/>
      <c r="EI330" s="156"/>
      <c r="EJ330" s="156"/>
      <c r="EK330" s="156"/>
      <c r="EL330" s="156"/>
      <c r="EM330" s="156"/>
      <c r="EN330" s="156"/>
      <c r="EO330" s="156"/>
      <c r="EP330" s="156"/>
      <c r="EQ330" s="156"/>
      <c r="ER330" s="156"/>
      <c r="ES330" s="156"/>
      <c r="ET330" s="156"/>
      <c r="EU330" s="156"/>
      <c r="EV330" s="156"/>
      <c r="EW330" s="156"/>
      <c r="EX330" s="156"/>
      <c r="EY330" s="156"/>
      <c r="EZ330" s="156"/>
      <c r="FA330" s="156"/>
      <c r="FB330" s="156"/>
      <c r="FC330" s="156"/>
      <c r="FD330" s="156"/>
      <c r="FE330" s="156"/>
      <c r="FF330" s="156"/>
      <c r="FG330" s="156"/>
      <c r="FH330" s="156"/>
      <c r="FI330" s="156"/>
      <c r="FJ330" s="156"/>
      <c r="FK330" s="156"/>
      <c r="FL330" s="162"/>
    </row>
    <row r="331" spans="1:168" ht="16.2" thickBot="1">
      <c r="A331" s="2166" t="s">
        <v>1559</v>
      </c>
      <c r="B331" s="2167"/>
      <c r="C331" s="2167"/>
      <c r="D331" s="2168"/>
      <c r="E331" s="1729">
        <f>IF($G$18&lt;1,0,SUM(E324:E330))</f>
        <v>-8077214.4000000004</v>
      </c>
      <c r="F331" s="1730">
        <f t="shared" si="59"/>
        <v>-20.166819135124339</v>
      </c>
      <c r="G331" s="1744"/>
      <c r="H331" s="1746"/>
      <c r="I331" s="1750"/>
    </row>
    <row r="332" spans="1:168" ht="16.2" thickBot="1">
      <c r="A332" s="1758" t="s">
        <v>1560</v>
      </c>
      <c r="B332" s="2180"/>
      <c r="C332" s="2194"/>
      <c r="D332" s="2194"/>
      <c r="E332" s="2194"/>
      <c r="F332" s="2196"/>
      <c r="G332" s="2194"/>
      <c r="H332" s="2194"/>
      <c r="I332" s="2195"/>
    </row>
    <row r="333" spans="1:168" ht="15">
      <c r="A333" s="1500" t="s">
        <v>1561</v>
      </c>
      <c r="B333" s="1434">
        <v>73000</v>
      </c>
      <c r="C333" s="992">
        <v>2</v>
      </c>
      <c r="D333" s="939" t="s">
        <v>208</v>
      </c>
      <c r="E333" s="1577">
        <f>IF($G$18&lt;1,0,B333*C333)</f>
        <v>146000</v>
      </c>
      <c r="F333" s="1581">
        <f t="shared" ref="F333:F349" si="60">E333/$G$18/1000</f>
        <v>0.36452611604913615</v>
      </c>
      <c r="G333" s="1669"/>
      <c r="H333" s="2169" t="s">
        <v>1550</v>
      </c>
      <c r="I333" s="1560"/>
    </row>
    <row r="334" spans="1:168" ht="15">
      <c r="A334" s="1501" t="s">
        <v>1562</v>
      </c>
      <c r="B334" s="1435">
        <v>75000</v>
      </c>
      <c r="C334" s="985">
        <f>ROUNDUP(SUM(G9:G10)/350,0)</f>
        <v>0</v>
      </c>
      <c r="D334" s="942" t="s">
        <v>208</v>
      </c>
      <c r="E334" s="1595">
        <f>IF(SUM($G$9:$G$10)&lt;&gt;0,B334*C334,0)</f>
        <v>0</v>
      </c>
      <c r="F334" s="1582">
        <f t="shared" si="60"/>
        <v>0</v>
      </c>
      <c r="G334" s="1670"/>
      <c r="H334" s="2170"/>
      <c r="I334" s="974"/>
    </row>
    <row r="335" spans="1:168" ht="15">
      <c r="A335" s="1501" t="s">
        <v>1563</v>
      </c>
      <c r="B335" s="1502">
        <f>IF(G9&lt;100,AD563,IF(G9&lt;250,AE563,IF(G9&lt;500,AF563,IF(OR(G9&lt;1001,G9=1000),AG563,IF(G9&gt;1000,AH563,0)))))</f>
        <v>1550</v>
      </c>
      <c r="C335" s="1027">
        <f t="shared" ref="C335:C343" si="61">G9</f>
        <v>0</v>
      </c>
      <c r="D335" s="942" t="s">
        <v>1564</v>
      </c>
      <c r="E335" s="1594">
        <f>IF($G$9&lt;1,0,B335*C335)</f>
        <v>0</v>
      </c>
      <c r="F335" s="1582">
        <f t="shared" si="60"/>
        <v>0</v>
      </c>
      <c r="G335" s="1670"/>
      <c r="H335" s="2170"/>
      <c r="I335" s="974"/>
    </row>
    <row r="336" spans="1:168" ht="15">
      <c r="A336" s="1501" t="s">
        <v>1565</v>
      </c>
      <c r="B336" s="1502">
        <f t="shared" ref="B336:B343" si="62">IF(G10&lt;100,AD564,IF(G10&lt;250,AE564,IF(G10&lt;500,AF564,IF(OR(G10&lt;1001,G10=1000),AG564,IF(G10&gt;1001,AH564,0)))))</f>
        <v>1850</v>
      </c>
      <c r="C336" s="1027">
        <f t="shared" si="61"/>
        <v>0</v>
      </c>
      <c r="D336" s="942" t="s">
        <v>1564</v>
      </c>
      <c r="E336" s="1594">
        <f>IF($G$10&lt;1,0,B336*C336)</f>
        <v>0</v>
      </c>
      <c r="F336" s="1582">
        <f t="shared" si="60"/>
        <v>0</v>
      </c>
      <c r="G336" s="1670"/>
      <c r="H336" s="2170"/>
      <c r="I336" s="974"/>
    </row>
    <row r="337" spans="1:112" ht="15">
      <c r="A337" s="1501" t="s">
        <v>1566</v>
      </c>
      <c r="B337" s="1502">
        <f t="shared" si="62"/>
        <v>3500</v>
      </c>
      <c r="C337" s="1027">
        <f t="shared" si="61"/>
        <v>0</v>
      </c>
      <c r="D337" s="942" t="s">
        <v>1564</v>
      </c>
      <c r="E337" s="1594">
        <f>IF($G$11&lt;1,0,B337*C337)</f>
        <v>0</v>
      </c>
      <c r="F337" s="1582">
        <f t="shared" si="60"/>
        <v>0</v>
      </c>
      <c r="G337" s="1670"/>
      <c r="H337" s="2170"/>
      <c r="I337" s="974"/>
    </row>
    <row r="338" spans="1:112" ht="15">
      <c r="A338" s="1501" t="s">
        <v>1567</v>
      </c>
      <c r="B338" s="1502">
        <f t="shared" si="62"/>
        <v>5500</v>
      </c>
      <c r="C338" s="1027">
        <f t="shared" si="61"/>
        <v>400.52</v>
      </c>
      <c r="D338" s="942" t="s">
        <v>1564</v>
      </c>
      <c r="E338" s="1594">
        <f>IF($G$12&lt;1,0,B338*C338)</f>
        <v>2202860</v>
      </c>
      <c r="F338" s="1582">
        <f t="shared" si="60"/>
        <v>5.5</v>
      </c>
      <c r="G338" s="1670"/>
      <c r="H338" s="2170"/>
      <c r="I338" s="974"/>
    </row>
    <row r="339" spans="1:112" ht="15.75" customHeight="1">
      <c r="A339" s="1501" t="s">
        <v>1568</v>
      </c>
      <c r="B339" s="1502">
        <f t="shared" si="62"/>
        <v>6400</v>
      </c>
      <c r="C339" s="1027">
        <f t="shared" si="61"/>
        <v>0</v>
      </c>
      <c r="D339" s="942" t="s">
        <v>1564</v>
      </c>
      <c r="E339" s="1594">
        <f>IF($G$13&lt;1,0,B339*C339)</f>
        <v>0</v>
      </c>
      <c r="F339" s="1582">
        <f t="shared" si="60"/>
        <v>0</v>
      </c>
      <c r="G339" s="1670"/>
      <c r="H339" s="2170"/>
      <c r="I339" s="974"/>
    </row>
    <row r="340" spans="1:112" ht="15">
      <c r="A340" s="1501" t="s">
        <v>1569</v>
      </c>
      <c r="B340" s="1502">
        <f t="shared" si="62"/>
        <v>2500</v>
      </c>
      <c r="C340" s="1027">
        <f t="shared" si="61"/>
        <v>0</v>
      </c>
      <c r="D340" s="942" t="s">
        <v>1564</v>
      </c>
      <c r="E340" s="1594">
        <f>IF($G$14&lt;1,0,B340*C340)</f>
        <v>0</v>
      </c>
      <c r="F340" s="1582">
        <f t="shared" si="60"/>
        <v>0</v>
      </c>
      <c r="G340" s="1670"/>
      <c r="H340" s="2170"/>
      <c r="I340" s="974"/>
    </row>
    <row r="341" spans="1:112" ht="15">
      <c r="A341" s="1501" t="s">
        <v>1570</v>
      </c>
      <c r="B341" s="1502">
        <f t="shared" si="62"/>
        <v>6400</v>
      </c>
      <c r="C341" s="1027">
        <f t="shared" si="61"/>
        <v>0</v>
      </c>
      <c r="D341" s="942" t="s">
        <v>1564</v>
      </c>
      <c r="E341" s="1594">
        <f>IF($G$15&lt;1,0,B341*C341)</f>
        <v>0</v>
      </c>
      <c r="F341" s="1582">
        <f t="shared" si="60"/>
        <v>0</v>
      </c>
      <c r="G341" s="1670"/>
      <c r="H341" s="2170"/>
      <c r="I341" s="974"/>
    </row>
    <row r="342" spans="1:112" ht="15">
      <c r="A342" s="1501" t="s">
        <v>1571</v>
      </c>
      <c r="B342" s="1502">
        <f t="shared" si="62"/>
        <v>8000</v>
      </c>
      <c r="C342" s="1027">
        <f t="shared" si="61"/>
        <v>0</v>
      </c>
      <c r="D342" s="942" t="s">
        <v>1564</v>
      </c>
      <c r="E342" s="1594">
        <f>IF($G$16&lt;1,0,B342*C342)</f>
        <v>0</v>
      </c>
      <c r="F342" s="1582">
        <f>E342/$G$18/1000</f>
        <v>0</v>
      </c>
      <c r="G342" s="1670"/>
      <c r="H342" s="2170"/>
      <c r="I342" s="974"/>
    </row>
    <row r="343" spans="1:112" ht="15">
      <c r="A343" s="1501" t="s">
        <v>1572</v>
      </c>
      <c r="B343" s="1502">
        <f t="shared" si="62"/>
        <v>2800</v>
      </c>
      <c r="C343" s="1027">
        <f t="shared" si="61"/>
        <v>0</v>
      </c>
      <c r="D343" s="942" t="s">
        <v>1564</v>
      </c>
      <c r="E343" s="1594">
        <f>IF($G$17&lt;1,0,B343*C343)</f>
        <v>0</v>
      </c>
      <c r="F343" s="1582">
        <f t="shared" si="60"/>
        <v>0</v>
      </c>
      <c r="G343" s="1670"/>
      <c r="H343" s="2170"/>
      <c r="I343" s="974"/>
    </row>
    <row r="344" spans="1:112" ht="15">
      <c r="A344" s="1501" t="s">
        <v>1573</v>
      </c>
      <c r="B344" s="1502">
        <v>9000</v>
      </c>
      <c r="C344" s="2157">
        <f>SUM(C34:C43)</f>
        <v>2</v>
      </c>
      <c r="D344" s="942" t="s">
        <v>1196</v>
      </c>
      <c r="E344" s="1594">
        <f>IF($G$18&lt;1,0,B344*C344)</f>
        <v>18000</v>
      </c>
      <c r="F344" s="1582">
        <f t="shared" si="60"/>
        <v>4.4941575951263357E-2</v>
      </c>
      <c r="G344" s="1670"/>
      <c r="H344" s="2170"/>
      <c r="I344" s="974"/>
    </row>
    <row r="345" spans="1:112" ht="15">
      <c r="A345" s="1501" t="s">
        <v>1574</v>
      </c>
      <c r="B345" s="1502">
        <f>('Input''s from Initial Design'!AN60+'Input''s from Initial Design'!AN65)*12000+(SUM('Input''s from Initial Design'!AN61:AN67)-'Input''s from Initial Design'!AN64)*22000+SUM('Input''s from Initial Design'!AN68:AN71)*35000+SUM('Input''s from Initial Design'!AN72:AN75)*55000+SUM('Input''s from Initial Design'!AN76:AN79)*70000+SUM('Input''s from Initial Design'!AN80:AN92)*105000</f>
        <v>44000</v>
      </c>
      <c r="C345" s="2157">
        <f>IF($G$18&gt;0,1,0)</f>
        <v>1</v>
      </c>
      <c r="D345" s="942" t="s">
        <v>1237</v>
      </c>
      <c r="E345" s="1594">
        <f>IF($G$18&lt;1,0,B345*C345)</f>
        <v>44000</v>
      </c>
      <c r="F345" s="1582">
        <f t="shared" ref="F345" si="63">E345/$G$18/1000</f>
        <v>0.10985718565864377</v>
      </c>
      <c r="G345" s="1893" t="str">
        <f>'Input''s from Initial Design'!AN93 &amp;" Set's of ACCB Panels Stand with canopy"</f>
        <v>2 Set's of ACCB Panels Stand with canopy</v>
      </c>
      <c r="H345" s="2170"/>
      <c r="I345" s="974"/>
    </row>
    <row r="346" spans="1:112" s="161" customFormat="1" ht="15">
      <c r="A346" s="1503" t="s">
        <v>1575</v>
      </c>
      <c r="B346" s="1435">
        <v>400</v>
      </c>
      <c r="C346" s="985">
        <f>'Input''s from Initial Design'!AC120</f>
        <v>0</v>
      </c>
      <c r="D346" s="988" t="s">
        <v>1246</v>
      </c>
      <c r="E346" s="1594">
        <f>IF(G346&lt;&gt;"Soil Trench",0,B346*C346)</f>
        <v>0</v>
      </c>
      <c r="F346" s="1582">
        <f t="shared" si="60"/>
        <v>0</v>
      </c>
      <c r="G346" s="1893" t="s">
        <v>133</v>
      </c>
      <c r="H346" s="2170"/>
      <c r="I346" s="974"/>
      <c r="DH346" s="218"/>
    </row>
    <row r="347" spans="1:112" s="161" customFormat="1" ht="15">
      <c r="A347" s="1503" t="s">
        <v>1948</v>
      </c>
      <c r="B347" s="1435">
        <f>800</f>
        <v>800</v>
      </c>
      <c r="C347" s="985">
        <f>IF(G8='Input''s from BD(Sales)'!A287,G18,0)</f>
        <v>0</v>
      </c>
      <c r="D347" s="988" t="s">
        <v>1549</v>
      </c>
      <c r="E347" s="1594">
        <f>IF($G$18&lt;1,0,B347*C347)</f>
        <v>0</v>
      </c>
      <c r="F347" s="1582">
        <f t="shared" ref="F347" si="64">E347/$G$18/1000</f>
        <v>0</v>
      </c>
      <c r="G347" s="1893" t="s">
        <v>1576</v>
      </c>
      <c r="H347" s="2170"/>
      <c r="I347" s="974"/>
      <c r="DH347" s="218"/>
    </row>
    <row r="348" spans="1:112" s="161" customFormat="1" ht="15">
      <c r="A348" s="1504" t="s">
        <v>1949</v>
      </c>
      <c r="B348" s="1435">
        <v>800</v>
      </c>
      <c r="C348" s="985">
        <f>'Input''s from Initial Design'!AD120</f>
        <v>0</v>
      </c>
      <c r="D348" s="988" t="s">
        <v>1246</v>
      </c>
      <c r="E348" s="1594">
        <f>IF(F24&lt;1,0,B348*C348)</f>
        <v>0</v>
      </c>
      <c r="F348" s="1582">
        <f t="shared" si="60"/>
        <v>0</v>
      </c>
      <c r="G348" s="1893" t="s">
        <v>1577</v>
      </c>
      <c r="H348" s="2170"/>
      <c r="I348" s="974"/>
      <c r="DH348" s="218"/>
    </row>
    <row r="349" spans="1:112" s="161" customFormat="1" ht="15">
      <c r="A349" s="1504" t="s">
        <v>1578</v>
      </c>
      <c r="B349" s="1436">
        <v>25000</v>
      </c>
      <c r="C349" s="995">
        <f>'Input''s from Initial Design'!AF120</f>
        <v>0</v>
      </c>
      <c r="D349" s="996" t="s">
        <v>1246</v>
      </c>
      <c r="E349" s="1595">
        <f>IF(F24&lt;1,0,B349*C349)</f>
        <v>0</v>
      </c>
      <c r="F349" s="1582">
        <f t="shared" si="60"/>
        <v>0</v>
      </c>
      <c r="G349" s="1893" t="s">
        <v>1579</v>
      </c>
      <c r="H349" s="2193"/>
      <c r="I349" s="973"/>
      <c r="DH349" s="218"/>
    </row>
    <row r="350" spans="1:112" ht="15.6">
      <c r="A350" s="1663" t="s">
        <v>1580</v>
      </c>
      <c r="B350" s="1666"/>
      <c r="C350" s="1667"/>
      <c r="D350" s="1667"/>
      <c r="E350" s="1667"/>
      <c r="F350" s="1625"/>
      <c r="G350" s="1667"/>
      <c r="H350" s="1625"/>
      <c r="I350" s="1668"/>
    </row>
    <row r="351" spans="1:112">
      <c r="A351" s="1505" t="s">
        <v>1581</v>
      </c>
      <c r="B351" s="1460">
        <v>75000</v>
      </c>
      <c r="C351" s="959">
        <f>C352/2</f>
        <v>0</v>
      </c>
      <c r="D351" s="960" t="s">
        <v>1582</v>
      </c>
      <c r="E351" s="1578">
        <f>IF(SUM($G$14:$G$17)&lt;&gt;0,IF(G351='Input''s from Initial Design'!B381,B351*C351,0),0)</f>
        <v>0</v>
      </c>
      <c r="F351" s="1582">
        <f t="shared" ref="F351:F359" si="65">E351/$G$18/1000</f>
        <v>0</v>
      </c>
      <c r="G351" s="1788">
        <f>'Input''s from BD(Sales)'!B49</f>
        <v>0</v>
      </c>
      <c r="H351" s="2185" t="s">
        <v>1583</v>
      </c>
      <c r="I351" s="961"/>
    </row>
    <row r="352" spans="1:112">
      <c r="A352" s="1426" t="s">
        <v>1584</v>
      </c>
      <c r="B352" s="1435">
        <v>35000</v>
      </c>
      <c r="C352" s="1004">
        <f>'Input''s from Initial Design'!BB55</f>
        <v>0</v>
      </c>
      <c r="D352" s="988" t="s">
        <v>1585</v>
      </c>
      <c r="E352" s="1594">
        <f>IF(SUM($G$14:$G$17)&lt;&gt;0,IF(G352='Input''s from BD(Sales)'!A147,B352*C352,0),0)</f>
        <v>0</v>
      </c>
      <c r="F352" s="1582">
        <f t="shared" si="65"/>
        <v>0</v>
      </c>
      <c r="G352" s="1889">
        <f>'Input''s from BD(Sales)'!B50</f>
        <v>0</v>
      </c>
      <c r="H352" s="2186"/>
      <c r="I352" s="963"/>
    </row>
    <row r="353" spans="1:112">
      <c r="A353" s="1426" t="s">
        <v>1586</v>
      </c>
      <c r="B353" s="1435">
        <v>800000</v>
      </c>
      <c r="C353" s="1004">
        <f>IF(G353='Input''s from BD(Sales)'!A147,1,0)</f>
        <v>0</v>
      </c>
      <c r="D353" s="988" t="s">
        <v>1292</v>
      </c>
      <c r="E353" s="1594">
        <f>IF(SUM($G$17)&lt;&gt;0,IF(G353='Input''s from BD(Sales)'!A147,B353*C353,0),0)</f>
        <v>0</v>
      </c>
      <c r="F353" s="1582">
        <f>E353/$G$18/1000</f>
        <v>0</v>
      </c>
      <c r="G353" s="2407">
        <f>'Input''s from BD(Sales)'!B59</f>
        <v>0</v>
      </c>
      <c r="H353" s="2186"/>
      <c r="I353" s="963"/>
    </row>
    <row r="354" spans="1:112">
      <c r="A354" s="1426" t="s">
        <v>1587</v>
      </c>
      <c r="B354" s="1435">
        <v>500000</v>
      </c>
      <c r="C354" s="1004">
        <f>IF(G353='Input''s from BD(Sales)'!A147,1,0)</f>
        <v>0</v>
      </c>
      <c r="D354" s="988" t="s">
        <v>1292</v>
      </c>
      <c r="E354" s="1594">
        <f>IF(SUM($G$17)&lt;&gt;0,IF(G353='Input''s from BD(Sales)'!A147,B354*C354,0),0)</f>
        <v>0</v>
      </c>
      <c r="F354" s="1582">
        <f>E354/$G$18/1000</f>
        <v>0</v>
      </c>
      <c r="G354" s="2408"/>
      <c r="H354" s="2186"/>
      <c r="I354" s="963"/>
    </row>
    <row r="355" spans="1:112">
      <c r="A355" s="1426" t="s">
        <v>1588</v>
      </c>
      <c r="B355" s="1435">
        <v>1850</v>
      </c>
      <c r="C355" s="1005">
        <f>'Input''s from Initial Design'!BD55</f>
        <v>0</v>
      </c>
      <c r="D355" s="988" t="s">
        <v>1246</v>
      </c>
      <c r="E355" s="1594">
        <f>IF(SUM($G$14:$G$17)&lt;&gt;0,IF(G355='Input''s from BD(Sales)'!A147,B355*C355,0),0)</f>
        <v>0</v>
      </c>
      <c r="F355" s="1582">
        <f t="shared" si="65"/>
        <v>0</v>
      </c>
      <c r="G355" s="1889">
        <f>'Input''s from BD(Sales)'!B54</f>
        <v>0</v>
      </c>
      <c r="H355" s="2186"/>
      <c r="I355" s="963"/>
    </row>
    <row r="356" spans="1:112">
      <c r="A356" s="1426" t="s">
        <v>1589</v>
      </c>
      <c r="B356" s="1435">
        <v>1850</v>
      </c>
      <c r="C356" s="1005">
        <f>'Input''s from Initial Design'!BE55</f>
        <v>0</v>
      </c>
      <c r="D356" s="988" t="s">
        <v>1246</v>
      </c>
      <c r="E356" s="1594">
        <f>IF(SUM($G$14:$G$17)&lt;&gt;0,IF(G356='Input''s from BD(Sales)'!A147,B356*C356,0),0)</f>
        <v>0</v>
      </c>
      <c r="F356" s="1582">
        <f t="shared" si="65"/>
        <v>0</v>
      </c>
      <c r="G356" s="1889">
        <f>'Input''s from BD(Sales)'!B55</f>
        <v>0</v>
      </c>
      <c r="H356" s="2186"/>
      <c r="I356" s="963"/>
    </row>
    <row r="357" spans="1:112">
      <c r="A357" s="1426" t="s">
        <v>1590</v>
      </c>
      <c r="B357" s="1435">
        <v>1450</v>
      </c>
      <c r="C357" s="1005">
        <f>'Input''s from Initial Design'!BH55</f>
        <v>0</v>
      </c>
      <c r="D357" s="988" t="s">
        <v>1246</v>
      </c>
      <c r="E357" s="1594">
        <f>IF(SUM($G$14:$G$17)&lt;&gt;0,IF(G357='Input''s from BD(Sales)'!A147,B357*C357,0),0)</f>
        <v>0</v>
      </c>
      <c r="F357" s="1582">
        <f t="shared" si="65"/>
        <v>0</v>
      </c>
      <c r="G357" s="1889">
        <f>'Input''s from BD(Sales)'!B56</f>
        <v>0</v>
      </c>
      <c r="H357" s="2186"/>
      <c r="I357" s="963"/>
    </row>
    <row r="358" spans="1:112">
      <c r="A358" s="1426" t="s">
        <v>82</v>
      </c>
      <c r="B358" s="1435">
        <v>1850</v>
      </c>
      <c r="C358" s="1005">
        <f>'Input''s from Initial Design'!BF55</f>
        <v>0</v>
      </c>
      <c r="D358" s="988" t="s">
        <v>1246</v>
      </c>
      <c r="E358" s="1594">
        <f>IF(SUM($G$14:$G$17)&lt;&gt;0,IF(G358='Input''s from BD(Sales)'!A147,B358*C358,0),0)</f>
        <v>0</v>
      </c>
      <c r="F358" s="1582">
        <f t="shared" si="65"/>
        <v>0</v>
      </c>
      <c r="G358" s="1889">
        <f>'Input''s from BD(Sales)'!B57</f>
        <v>0</v>
      </c>
      <c r="H358" s="2186"/>
      <c r="I358" s="963"/>
    </row>
    <row r="359" spans="1:112" ht="15" thickBot="1">
      <c r="A359" s="1486" t="s">
        <v>1591</v>
      </c>
      <c r="B359" s="1436">
        <f>VLOOKUP(G359,E522:F524,2,0)</f>
        <v>850</v>
      </c>
      <c r="C359" s="1711">
        <v>1200</v>
      </c>
      <c r="D359" s="996" t="s">
        <v>1592</v>
      </c>
      <c r="E359" s="1595">
        <f>IF(SUM($G$14:$G$17)&lt;&gt;0,IF('Input''s from BD(Sales)'!B69='Input''s from BD(Sales)'!A147,B359*C359,0),0)</f>
        <v>0</v>
      </c>
      <c r="F359" s="1583">
        <f t="shared" si="65"/>
        <v>0</v>
      </c>
      <c r="G359" s="1894" t="s">
        <v>1593</v>
      </c>
      <c r="H359" s="2382"/>
      <c r="I359" s="967"/>
    </row>
    <row r="360" spans="1:112" ht="16.2" thickBot="1">
      <c r="A360" s="2400" t="s">
        <v>1594</v>
      </c>
      <c r="B360" s="2401"/>
      <c r="C360" s="2401"/>
      <c r="D360" s="2418"/>
      <c r="E360" s="1729">
        <f>IF($G$18&lt;1,0,SUM(E333:E359))</f>
        <v>2410860</v>
      </c>
      <c r="F360" s="1730">
        <f>E360/$G$18/1000</f>
        <v>6.0193248776590433</v>
      </c>
      <c r="G360" s="1745"/>
      <c r="H360" s="1746"/>
      <c r="I360" s="1750"/>
    </row>
    <row r="361" spans="1:112" ht="18.600000000000001" thickBot="1">
      <c r="A361" s="2415" t="s">
        <v>1595</v>
      </c>
      <c r="B361" s="2416"/>
      <c r="C361" s="2416"/>
      <c r="D361" s="2416"/>
      <c r="E361" s="2416"/>
      <c r="F361" s="2416"/>
      <c r="G361" s="2416"/>
      <c r="H361" s="2416"/>
      <c r="I361" s="2416"/>
    </row>
    <row r="362" spans="1:112" s="1136" customFormat="1" ht="18.600000000000001" thickBot="1">
      <c r="A362" s="1665" t="s">
        <v>1596</v>
      </c>
      <c r="B362" s="1626"/>
      <c r="C362" s="1628"/>
      <c r="D362" s="1627"/>
      <c r="E362" s="1134">
        <f>IF($G$18&lt;1,0,E32+E45+E59+E66+E73+E77+E81+E94+E107+E121+E132+E137+E141+E150+E159+E178+E194+E200+E305+E309+E317+E322+E331+E360)</f>
        <v>11211771.5364</v>
      </c>
      <c r="F362" s="1135">
        <f>E362/$G$18/1000</f>
        <v>27.993037891740737</v>
      </c>
      <c r="G362" s="2081" t="s">
        <v>1597</v>
      </c>
      <c r="H362" s="1566"/>
      <c r="I362" s="1565"/>
      <c r="J362" s="156"/>
      <c r="DH362" s="1137"/>
    </row>
    <row r="363" spans="1:112" ht="16.2" thickBot="1">
      <c r="A363" s="2219"/>
      <c r="B363" s="2221"/>
      <c r="C363" s="2221"/>
      <c r="D363" s="2221"/>
      <c r="E363" s="2221"/>
      <c r="F363" s="2221"/>
      <c r="G363" s="2108" t="str">
        <f>IF('Site Vist fomat  (Design)'!B24='Input''s from BD(Sales)'!B210,"Existing Solar Capacity in KWp DC capacity: " &amp; 'Site Vist fomat  (Design)'!C24 &amp; " KWp","No existing plant")</f>
        <v>No existing plant</v>
      </c>
      <c r="H363" s="2091" t="s">
        <v>1598</v>
      </c>
      <c r="I363" s="2092"/>
      <c r="K363" s="2088"/>
      <c r="L363" s="2088"/>
      <c r="M363" s="2088"/>
      <c r="N363" s="2089"/>
    </row>
    <row r="364" spans="1:112" ht="16.2" thickBot="1">
      <c r="A364" s="2074" t="s">
        <v>1599</v>
      </c>
      <c r="B364" s="2412"/>
      <c r="C364" s="2413"/>
      <c r="D364" s="2413"/>
      <c r="E364" s="2413"/>
      <c r="F364" s="2413"/>
      <c r="G364" s="2075"/>
      <c r="H364" s="2294"/>
      <c r="I364" s="2414"/>
    </row>
    <row r="365" spans="1:112">
      <c r="A365" s="2014" t="s">
        <v>1600</v>
      </c>
      <c r="B365" s="2076">
        <f>IF(G365='Input''s from BD(Sales)'!A147,IF('Input''s from Initial Design'!F215,'Input''s from Initial Design'!F215),'Input''s from Initial Design'!F215)</f>
        <v>190000</v>
      </c>
      <c r="C365" s="2077">
        <f>IF(G365='Input''s from BD(Sales)'!A147,1,0)</f>
        <v>1</v>
      </c>
      <c r="D365" s="2078" t="s">
        <v>1292</v>
      </c>
      <c r="E365" s="2079">
        <f>IF(E371&gt;1,0,B365*C365)</f>
        <v>190000</v>
      </c>
      <c r="F365" s="2080">
        <f t="shared" ref="F365:F377" si="66">E365/$G$18/1000</f>
        <v>0.47438330170777993</v>
      </c>
      <c r="G365" s="2073" t="str">
        <f>'Input''s from BD(Sales)'!B62</f>
        <v>4PEL Scope</v>
      </c>
      <c r="H365" s="1519" t="s">
        <v>1601</v>
      </c>
      <c r="I365" s="1560"/>
    </row>
    <row r="366" spans="1:112">
      <c r="A366" s="2015" t="s">
        <v>949</v>
      </c>
      <c r="B366" s="2018">
        <f>IF('Input''s from BD(Sales)'!B63='Input''s from BD(Sales)'!A147,'Input''s from Initial Design'!F216,0)</f>
        <v>290000</v>
      </c>
      <c r="C366" s="1899">
        <f>IF($G$18&lt;1,0,'Site Vist fomat  (Design)'!B26)</f>
        <v>2</v>
      </c>
      <c r="D366" s="942" t="s">
        <v>1292</v>
      </c>
      <c r="E366" s="1995">
        <f>IF(AND(D606&gt;999.99,$G$8='Input''s from BD(Sales)'!A289),0,IF(AND(C606&gt;999.99,$G$8='Input''s from BD(Sales)'!A275),0,IF(AND(D606&gt;1000,$G$8='Input''s from BD(Sales)'!A287),0,IF(AND(D606&gt;1000,$G$8='Input''s from BD(Sales)'!A298),0,IF(AND(D606&gt;1000,$G$8='Input''s from BD(Sales)'!A283),0,IF(AND(D606&gt;1000,$G$8='Input''s from BD(Sales)'!A278),0,IF(AND(C606&gt;500,$G$8='Input''s from BD(Sales)'!A288),0,IF(AND(C606&gt;5000,$G$8='Input''s from BD(Sales)'!A295),0,IF(AND(C606&gt;1000,$G$8='Input''s from BD(Sales)'!A296),0,IF(AND(C606&gt;500,$G$8='Input''s from BD(Sales)'!A279),0,IF(AND(C606&gt;750,$G$8='Input''s from BD(Sales)'!A282),0,IF(AND(C606&gt;500,$G$8='Input''s from BD(Sales)'!A294),0,IF(AND(C606&gt;1000,$G$8='Input''s from BD(Sales)'!A281),0,IF(AND(C606&gt;500,$G$8='Input''s from BD(Sales)'!A299),0,IF(AND(C606&gt;5000,$G$8='Input''s from BD(Sales)'!A307),0,IF(AND(C606&gt;1000,$G$8='Input''s from BD(Sales)'!A277),0,IF(AND(C606&gt;2000,$G$8='Input''s from BD(Sales)'!A285),0,IF(AND(C606&gt;2000,$G$8='Input''s from BD(Sales)'!A286),0,IF(AND(C606&gt;0,$G$8='Input''s from BD(Sales)'!A303),0,IF(AND(C606&gt;2000,$G$8='Input''s from BD(Sales)'!A301),0,IF(AND(D606&gt;750,$G$8='Input''s from BD(Sales)'!A282),0,IF(AND(C606&gt;1000,$G$8='Input''s from BD(Sales)'!A302),0,IF(AND(C606&gt;500,$G$8='Input''s from BD(Sales)'!A304),0,B366*C366)))))))))))))))))))))))</f>
        <v>580000</v>
      </c>
      <c r="F366" s="1582">
        <f t="shared" si="66"/>
        <v>1.4481174473184861</v>
      </c>
      <c r="G366" s="1771" t="str">
        <f>IF(AND(E366=0,'Input''s from BD(Sales)'!B63&lt;&gt;"Client scope",'Input''s from BD(Sales)'!B63&lt;&gt;"Not required"),"Net metering not applicable",'Input''s from BD(Sales)'!B63)</f>
        <v>4PEL Scope</v>
      </c>
      <c r="H366" s="2207" t="str">
        <f>IFERROR(VLOOKUP(G8,A733:E754,3,0),0)</f>
        <v>on AC - 1 MW NM, above BTM</v>
      </c>
      <c r="I366" s="2208"/>
    </row>
    <row r="367" spans="1:112">
      <c r="A367" s="2015" t="s">
        <v>1602</v>
      </c>
      <c r="B367" s="2018">
        <f>IF('Input''s from BD(Sales)'!B65="4PEL Scope",'Input''s from Initial Design'!F217,0)</f>
        <v>200000</v>
      </c>
      <c r="C367" s="1899">
        <f>C366</f>
        <v>2</v>
      </c>
      <c r="D367" s="942" t="s">
        <v>1292</v>
      </c>
      <c r="E367" s="1995">
        <f>IF(AND(D606&gt;999.99,$G$8="Maharashtra"),0,IF(AND(C606&gt;999.99,$G$8="Andhra Pradesh"),0,IF(AND(D606&gt;500,$G$8="Kerala"),0,IF(AND(D606&gt;1000,$G$8="Tamil Nadu"),0,IF(AND(D606&gt;1000,$G$8="Himachal Pradesh"),0,IF(AND(D606&gt;1000,$G$8="Bihar"),0,IF(AND(C606&gt;500,$G$8="Madhya Pradesh"),0,IF(AND(C606&gt;5000,$G$8="Punjab"),0,IF(AND(C606&gt;1000,$G$8="Rajasthan"),0,IF(AND(C606&gt;500,$G$8="Chhattisgarh"),0,IF(AND(C606&gt;750,$G$8="Haryana"),0,IF(AND(C606&gt;500,$G$8="Odisha"),0,IF(AND(C606&gt;1000,$G$8="Gujarat"),0,IF(AND(C606&gt;500,$G$8="Telangana"),0,IF(AND(C606&gt;5000,$G$8="Delhi"),0,IF(AND(C606&gt;1000,$G$8="Assam"),0,IF(AND(C606&gt;2000,$G$8="Jharkhand"),0,IF(AND(C606&gt;2000,$G$8="Karnataka"),0,IF(AND(C606&gt;0,$G$8="West Bengal"),0,IF(AND(C606&gt;2000,$G$8="Uttar Pradesh"),0,IF(AND(D606&gt;750,$G$8="Haryana"),0,IF(AND(C606&gt;1000,$G$8="Uttrakhand"),0,IF(AND(C606&gt;500,$G$8="Daman &amp; Diu"),0,B367*C367)))))))))))))))))))))))</f>
        <v>400000</v>
      </c>
      <c r="F367" s="1582">
        <f t="shared" si="66"/>
        <v>0.99870168780585244</v>
      </c>
      <c r="G367" s="1771" t="str">
        <f>IF(AND(E367=0,'Input''s from BD(Sales)'!B65&lt;&gt;"Client scope",'Input''s from BD(Sales)'!B65&lt;&gt;"Not required"),"Net metering not applicable",'Input''s from BD(Sales)'!B65)</f>
        <v>4PEL Scope</v>
      </c>
      <c r="H367" s="2102" t="s">
        <v>1603</v>
      </c>
      <c r="I367" s="968"/>
    </row>
    <row r="368" spans="1:112">
      <c r="A368" s="2015" t="s">
        <v>1604</v>
      </c>
      <c r="B368" s="2018">
        <f>IF('Input''s from BD(Sales)'!B65="4PEL Scope",'Input''s from Initial Design'!F219,0)</f>
        <v>40000</v>
      </c>
      <c r="C368" s="1899">
        <f>C367</f>
        <v>2</v>
      </c>
      <c r="D368" s="942" t="s">
        <v>1292</v>
      </c>
      <c r="E368" s="1995">
        <f>IF(AND(D606&gt;999.99,$G$8="Maharashtra"),0,IF(AND(C606&gt;999.99,$G$8="Andhra Pradesh"),0,IF(AND(D606&gt;500,$G$8="Kerala"),0,IF(AND(D606&gt;1000,$G$8="Tamil Nadu"),0,IF(AND(D606&gt;1000,$G$8="Himachal Pradesh"),0,IF(AND(D606&gt;1000,$G$8="Bihar"),0,IF(AND(C606&gt;500,$G$8="Madhya Pradesh"),0,IF(AND(C606&gt;5000,$G$8="Punjab"),0,IF(AND(C606&gt;1000,$G$8="Rajasthan"),0,IF(AND(C606&gt;500,$G$8="Chhattisgarh"),0,IF(AND(C606&gt;750,$G$8="Haryana"),0,IF(AND(C606&gt;500,$G$8="Odisha"),0,IF(AND(C606&gt;1000,$G$8="Gujarat"),0,IF(AND(C606&gt;500,$G$8="Telangana"),0,IF(AND(C606&gt;5000,$G$8="Delhi"),0,IF(AND(C606&gt;1000,$G$8="Assam"),0,IF(AND(C606&gt;2000,$G$8="Jharkhand"),0,IF(AND(C606&gt;2000,$G$8="Karnataka"),0,IF(AND(C606&gt;0,$G$8="West Bengal"),0,IF(AND(C606&gt;2000,$G$8="Uttar Pradesh"),0,IF(AND(D606&gt;750,$G$8="Haryana"),0,IF(AND(C606&gt;1000,$G$8="Uttrakhand"),0,IF(AND(C606&gt;500,$G$8="Daman &amp; Diu"),0,B368*C368)))))))))))))))))))))))</f>
        <v>80000</v>
      </c>
      <c r="F368" s="1582">
        <f t="shared" si="66"/>
        <v>0.19974033756117049</v>
      </c>
      <c r="G368" s="1771" t="str">
        <f>IF(AND(E368=0,'Input''s from BD(Sales)'!B65&lt;&gt;"Client scope",'Input''s from BD(Sales)'!B65&lt;&gt;"Not required"),"Net metering not applicable",'Input''s from BD(Sales)'!B65)</f>
        <v>4PEL Scope</v>
      </c>
      <c r="H368" s="2103" t="str">
        <f>IFERROR(VLOOKUP(G8,A733:F754,6,0),0)</f>
        <v>BTM</v>
      </c>
      <c r="I368" s="974"/>
    </row>
    <row r="369" spans="1:168">
      <c r="A369" s="2015" t="s">
        <v>1605</v>
      </c>
      <c r="B369" s="2018">
        <f>IF('Input''s from BD(Sales)'!B66="4PEL Scope",'Input''s from Initial Design'!F218,0)</f>
        <v>0</v>
      </c>
      <c r="C369" s="1899">
        <f>C368</f>
        <v>2</v>
      </c>
      <c r="D369" s="942" t="s">
        <v>1292</v>
      </c>
      <c r="E369" s="1995">
        <f>IF(AND(D606&gt;999.99,$G$8="Maharashtra"),0,IF(AND(C606&gt;999.99,$G$8="Andhra Pradesh"),0,IF(AND(D606&gt;1000,$G$8="Kerala"),0,IF(AND(D606&gt;1000,$G$8="Tamil Nadu"),0,IF(AND(D606&gt;1000,$G$8="Himachal Pradesh"),0,IF(AND(D606&gt;1000,$G$8="Bihar"),0,IF(AND(C606&gt;500,$G$8="Madhya Pradesh"),0,IF(AND(C606&gt;5000,$G$8="Punjab"),0,IF(AND(C606&gt;1000,$G$8="Rajasthan"),0,IF(AND(C606&gt;500,$G$8="Chhattisgarh"),0,IF(AND(C606&gt;750,$G$8="Haryana"),0,IF(AND(C606&gt;500,$G$8="Odisha"),0,IF(AND(C606&gt;1000,$G$8="Gujarat"),0,IF(AND(C606&gt;500,$G$8="Telangana"),0,IF(AND(C606&gt;5000,$G$8="Delhi"),0,IF(AND(C606&gt;1000,$G$8="Assam"),0,IF(AND(C606&gt;2000,$G$8="Jharkhand"),0,IF(AND(C606&gt;2000,$G$8="Karnataka"),0,IF(AND(C606&gt;0,$G$8="West Bengal"),0,IF(AND(C606&gt;2000,$G$8="Uttar Pradesh"),0,IF(AND(D606&gt;750,$G$8="Haryana"),0,IF(AND(C606&gt;1000,$G$8="Uttrakhand"),0,IF(AND(C606&gt;500,$G$8="Daman &amp; Diu"),0,B369*C369)))))))))))))))))))))))</f>
        <v>0</v>
      </c>
      <c r="F369" s="1582">
        <f t="shared" si="66"/>
        <v>0</v>
      </c>
      <c r="G369" s="1771" t="str">
        <f>IF(AND(E369=0,'Input''s from BD(Sales)'!B66&lt;&gt;"Client scope",'Input''s from BD(Sales)'!B66&lt;&gt;"Not required"),"Net metering not applicable",'Input''s from BD(Sales)'!B66)</f>
        <v>Client Scope</v>
      </c>
      <c r="H369" s="1563" t="s">
        <v>1606</v>
      </c>
      <c r="I369" s="974"/>
    </row>
    <row r="370" spans="1:168">
      <c r="A370" s="2016" t="s">
        <v>1607</v>
      </c>
      <c r="B370" s="2020">
        <f>2800000*('Input''s from Initial Design'!G55/1000)</f>
        <v>1121456</v>
      </c>
      <c r="C370" s="1920">
        <f>IF(G8='Input''s from BD(Sales)'!A286,1,0)</f>
        <v>0</v>
      </c>
      <c r="D370" s="965" t="s">
        <v>1292</v>
      </c>
      <c r="E370" s="2019">
        <f>IF($G$8='Input''s from BD(Sales)'!$A$286,$C$370*$B$370,0)</f>
        <v>0</v>
      </c>
      <c r="F370" s="1582">
        <f>E370/$G$18/1000</f>
        <v>0</v>
      </c>
      <c r="G370" s="1921" t="str">
        <f>G365</f>
        <v>4PEL Scope</v>
      </c>
      <c r="H370" s="1509" t="s">
        <v>1608</v>
      </c>
      <c r="I370" s="968"/>
    </row>
    <row r="371" spans="1:168">
      <c r="A371" s="2016" t="s">
        <v>1609</v>
      </c>
      <c r="B371" s="2020">
        <f>3000000*('Input''s from Initial Design'!R55/1000)</f>
        <v>900000</v>
      </c>
      <c r="C371" s="1920">
        <f>IF(G8='Input''s from BD(Sales)'!A298,1,0)</f>
        <v>0</v>
      </c>
      <c r="D371" s="965" t="s">
        <v>1292</v>
      </c>
      <c r="E371" s="2019">
        <f>IF('Input''s from Initial Design'!R55&gt;1000,$C$371*$B$371,0)</f>
        <v>0</v>
      </c>
      <c r="F371" s="1582">
        <f>E371/$G$18/1000</f>
        <v>0</v>
      </c>
      <c r="G371" s="1921" t="str">
        <f>G365</f>
        <v>4PEL Scope</v>
      </c>
      <c r="H371" s="2185" t="s">
        <v>1610</v>
      </c>
      <c r="I371" s="968"/>
    </row>
    <row r="372" spans="1:168">
      <c r="A372" s="2016" t="s">
        <v>1611</v>
      </c>
      <c r="B372" s="2020">
        <f>IF('Input''s from BD(Sales)'!B62='Input''s from BD(Sales)'!A147,1200000*('Input''s from Initial Design'!R55/1000),0)</f>
        <v>360000</v>
      </c>
      <c r="C372" s="1920">
        <f>IF(G8='Input''s from BD(Sales)'!A298,1,0)</f>
        <v>0</v>
      </c>
      <c r="D372" s="965" t="s">
        <v>1292</v>
      </c>
      <c r="E372" s="2019">
        <f>IF('Input''s from Initial Design'!R55&gt;1000,$C$372*$B$372,0)</f>
        <v>0</v>
      </c>
      <c r="F372" s="1582">
        <f>E372/$G$18/1000</f>
        <v>0</v>
      </c>
      <c r="G372" s="1921" t="str">
        <f>'Input''s from BD(Sales)'!B62</f>
        <v>4PEL Scope</v>
      </c>
      <c r="H372" s="2187"/>
      <c r="I372" s="968"/>
    </row>
    <row r="373" spans="1:168" s="163" customFormat="1" ht="16.5" customHeight="1">
      <c r="A373" s="2015" t="s">
        <v>1612</v>
      </c>
      <c r="B373" s="2021">
        <f>IF($G$8='Input''s from BD(Sales)'!A298,300000,135000)</f>
        <v>135000</v>
      </c>
      <c r="C373" s="999">
        <f>IF(AND('Input''s from BD(Sales)'!$B$68='Input''s from Initial Design'!$B$381,'Input''s from BD(Sales)'!B10&lt;&gt;'Input''s from BD(Sales)'!A289),'Input''s from Initial Design'!AN93,0)</f>
        <v>0</v>
      </c>
      <c r="D373" s="942" t="s">
        <v>1292</v>
      </c>
      <c r="E373" s="1995">
        <f>IF(AND('Input''s from BD(Sales)'!B68&lt;&gt;'Input''s from Initial Design'!B381,'Input''s from BD(Sales)'!$B$68&lt;&gt;"4PEL Scope"),0,B373*C373)</f>
        <v>0</v>
      </c>
      <c r="F373" s="1582">
        <f t="shared" si="66"/>
        <v>0</v>
      </c>
      <c r="G373" s="1889" t="str">
        <f>'Input''s from Initial Design'!AN93&amp;" Set's of Generation Panel"</f>
        <v>2 Set's of Generation Panel</v>
      </c>
      <c r="H373" s="2185" t="str">
        <f>H68</f>
        <v>Breakers- ABB/ Schneider/ Equilent and Panel from Sri Venkateswara Power Systems/Bhagyashree/ Accupanels/ JVS/Alnico/ DB  electrical</v>
      </c>
      <c r="I373" s="1561"/>
      <c r="J373" s="156"/>
      <c r="K373" s="156"/>
      <c r="L373" s="156"/>
      <c r="M373" s="156"/>
      <c r="N373" s="156"/>
      <c r="O373" s="156"/>
      <c r="P373" s="156"/>
      <c r="Q373" s="156"/>
      <c r="R373" s="156"/>
      <c r="S373" s="156"/>
      <c r="T373" s="156"/>
      <c r="U373" s="156"/>
      <c r="V373" s="156"/>
      <c r="W373" s="156"/>
      <c r="X373" s="156"/>
      <c r="Y373" s="156"/>
      <c r="Z373" s="156"/>
      <c r="AA373" s="156"/>
      <c r="AB373" s="156"/>
      <c r="AC373" s="156"/>
      <c r="AD373" s="156"/>
      <c r="AE373" s="156"/>
      <c r="AF373" s="156"/>
      <c r="AG373" s="156"/>
      <c r="AH373" s="156"/>
      <c r="AI373" s="156"/>
      <c r="AJ373" s="156"/>
      <c r="AK373" s="156"/>
      <c r="AL373" s="156"/>
      <c r="AM373" s="156"/>
      <c r="AN373" s="156"/>
      <c r="AO373" s="156"/>
      <c r="AP373" s="156"/>
      <c r="AQ373" s="156"/>
      <c r="AR373" s="156"/>
      <c r="AS373" s="156"/>
      <c r="AT373" s="156"/>
      <c r="AU373" s="156"/>
      <c r="AV373" s="156"/>
      <c r="AW373" s="156"/>
      <c r="AX373" s="156"/>
      <c r="AY373" s="156"/>
      <c r="AZ373" s="156"/>
      <c r="BA373" s="156"/>
      <c r="BB373" s="156"/>
      <c r="BC373" s="156"/>
      <c r="BD373" s="156"/>
      <c r="BE373" s="156"/>
      <c r="BF373" s="156"/>
      <c r="BG373" s="156"/>
      <c r="BH373" s="156"/>
      <c r="BI373" s="156"/>
      <c r="BJ373" s="156"/>
      <c r="BK373" s="156"/>
      <c r="BL373" s="156"/>
      <c r="BM373" s="156"/>
      <c r="BN373" s="156"/>
      <c r="BO373" s="156"/>
      <c r="BP373" s="156"/>
      <c r="BQ373" s="156"/>
      <c r="BR373" s="156"/>
      <c r="BS373" s="156"/>
      <c r="BT373" s="156"/>
      <c r="BU373" s="156"/>
      <c r="BV373" s="156"/>
      <c r="BW373" s="156"/>
      <c r="BX373" s="156"/>
      <c r="BY373" s="156"/>
      <c r="BZ373" s="156"/>
      <c r="CA373" s="156"/>
      <c r="CB373" s="156"/>
      <c r="CC373" s="156"/>
      <c r="CD373" s="156"/>
      <c r="CE373" s="156"/>
      <c r="CF373" s="156"/>
      <c r="CG373" s="156"/>
      <c r="CH373" s="156"/>
      <c r="CI373" s="156"/>
      <c r="CJ373" s="156"/>
      <c r="CK373" s="156"/>
      <c r="CL373" s="156"/>
      <c r="CM373" s="156"/>
      <c r="CN373" s="156"/>
      <c r="CO373" s="156"/>
      <c r="CP373" s="156"/>
      <c r="CQ373" s="156"/>
      <c r="CR373" s="156"/>
      <c r="CS373" s="156"/>
      <c r="CT373" s="156"/>
      <c r="CU373" s="156"/>
      <c r="CV373" s="156"/>
      <c r="CW373" s="156"/>
      <c r="CX373" s="156"/>
      <c r="CY373" s="156"/>
      <c r="CZ373" s="156"/>
      <c r="DA373" s="156"/>
      <c r="DB373" s="156"/>
      <c r="DC373" s="156"/>
      <c r="DD373" s="156"/>
      <c r="DE373" s="156"/>
      <c r="DF373" s="156"/>
      <c r="DG373" s="156"/>
      <c r="DH373" s="175"/>
      <c r="DI373" s="156"/>
      <c r="DJ373" s="156"/>
      <c r="DK373" s="156"/>
      <c r="DL373" s="156"/>
      <c r="DM373" s="156"/>
      <c r="DN373" s="156"/>
      <c r="DO373" s="156"/>
      <c r="DP373" s="156"/>
      <c r="DQ373" s="156"/>
      <c r="DR373" s="156"/>
      <c r="DS373" s="156"/>
      <c r="DT373" s="156"/>
      <c r="DU373" s="156"/>
      <c r="DV373" s="156"/>
      <c r="DW373" s="156"/>
      <c r="DX373" s="156"/>
      <c r="DY373" s="156"/>
      <c r="DZ373" s="156"/>
      <c r="EA373" s="156"/>
      <c r="EB373" s="156"/>
      <c r="EC373" s="156"/>
      <c r="ED373" s="156"/>
      <c r="EE373" s="156"/>
      <c r="EF373" s="156"/>
      <c r="EG373" s="156"/>
      <c r="EH373" s="156"/>
      <c r="EI373" s="156"/>
      <c r="EJ373" s="156"/>
      <c r="EK373" s="156"/>
      <c r="EL373" s="156"/>
      <c r="EM373" s="156"/>
      <c r="EN373" s="156"/>
      <c r="EO373" s="156"/>
      <c r="EP373" s="156"/>
      <c r="EQ373" s="156"/>
      <c r="ER373" s="156"/>
      <c r="ES373" s="156"/>
      <c r="ET373" s="156"/>
      <c r="EU373" s="156"/>
      <c r="EV373" s="156"/>
      <c r="EW373" s="156"/>
      <c r="EX373" s="156"/>
      <c r="EY373" s="156"/>
      <c r="EZ373" s="156"/>
      <c r="FA373" s="156"/>
      <c r="FB373" s="156"/>
      <c r="FC373" s="156"/>
      <c r="FD373" s="156"/>
      <c r="FE373" s="156"/>
      <c r="FF373" s="156"/>
      <c r="FG373" s="156"/>
      <c r="FH373" s="156"/>
      <c r="FI373" s="156"/>
      <c r="FJ373" s="156"/>
      <c r="FK373" s="156"/>
      <c r="FL373" s="162"/>
    </row>
    <row r="374" spans="1:168" ht="16.5" customHeight="1">
      <c r="A374" s="2015" t="s">
        <v>1613</v>
      </c>
      <c r="B374" s="2021">
        <f>'Input''s from Initial Design'!N345</f>
        <v>120968</v>
      </c>
      <c r="C374" s="999">
        <f>IF(AND('Input''s from BD(Sales)'!$B$68='Input''s from Initial Design'!$B$381,'Input''s from BD(Sales)'!B10='Input''s from BD(Sales)'!A289),'Input''s from Initial Design'!AN93,0)</f>
        <v>2</v>
      </c>
      <c r="D374" s="942" t="s">
        <v>1292</v>
      </c>
      <c r="E374" s="1995">
        <f>IF($G$8='Input''s from BD(Sales)'!$A$289,$C$374*$B$374,0)</f>
        <v>241936</v>
      </c>
      <c r="F374" s="1582">
        <f t="shared" si="66"/>
        <v>0.60405472885249178</v>
      </c>
      <c r="G374" s="2031" t="str">
        <f>'Input''s from Initial Design'!AN93&amp;" Set's of Generation Panel with breaker"</f>
        <v>2 Set's of Generation Panel with breaker</v>
      </c>
      <c r="H374" s="2186"/>
      <c r="I374" s="1561"/>
    </row>
    <row r="375" spans="1:168">
      <c r="A375" s="2015" t="s">
        <v>93</v>
      </c>
      <c r="B375" s="2018">
        <f>IF('Input''s from BD(Sales)'!B67="4PEL Scope",'Input''s from Initial Design'!F220,0)</f>
        <v>0</v>
      </c>
      <c r="C375" s="1902">
        <f>IF(G18&gt;1000,G18/1000,1)</f>
        <v>1</v>
      </c>
      <c r="D375" s="942" t="s">
        <v>1614</v>
      </c>
      <c r="E375" s="1995">
        <f>IF(G375&lt;&gt;'Input''s from BD(Sales)'!A147,0,B375*C375)</f>
        <v>0</v>
      </c>
      <c r="F375" s="1582">
        <f t="shared" si="66"/>
        <v>0</v>
      </c>
      <c r="G375" s="1771" t="str">
        <f>'Input''s from BD(Sales)'!B67</f>
        <v>Client Scope</v>
      </c>
      <c r="H375" s="2187"/>
      <c r="I375" s="974"/>
    </row>
    <row r="376" spans="1:168">
      <c r="A376" s="2015" t="s">
        <v>1615</v>
      </c>
      <c r="B376" s="2018">
        <v>800000</v>
      </c>
      <c r="C376" s="1010">
        <f>IF($G$8='Input''s from BD(Sales)'!A288,1,0)</f>
        <v>0</v>
      </c>
      <c r="D376" s="942" t="s">
        <v>1292</v>
      </c>
      <c r="E376" s="1995">
        <f>IF($G$18&lt;1,0,B376*C376)</f>
        <v>0</v>
      </c>
      <c r="F376" s="1582">
        <f t="shared" si="66"/>
        <v>0</v>
      </c>
      <c r="G376" s="2067" t="s">
        <v>1616</v>
      </c>
      <c r="H376" s="2185" t="s">
        <v>1617</v>
      </c>
      <c r="I376" s="974"/>
    </row>
    <row r="377" spans="1:168">
      <c r="A377" s="2015" t="s">
        <v>1618</v>
      </c>
      <c r="B377" s="2018">
        <v>150000</v>
      </c>
      <c r="C377" s="1010">
        <f>IF(AND('Input''s from BD(Sales)'!B16='Input''s from BD(Sales)'!C230,'Input''s from BD(Sales)'!B10='Input''s from BD(Sales)'!A288),'Input''s from BD(Sales)'!B25,0)</f>
        <v>0</v>
      </c>
      <c r="D377" s="942" t="s">
        <v>1543</v>
      </c>
      <c r="E377" s="1995">
        <f>IF($G$18&lt;1,0,B377*C377)</f>
        <v>0</v>
      </c>
      <c r="F377" s="1582">
        <f t="shared" si="66"/>
        <v>0</v>
      </c>
      <c r="G377" s="2072" t="s">
        <v>1619</v>
      </c>
      <c r="H377" s="2187"/>
      <c r="I377" s="974"/>
    </row>
    <row r="378" spans="1:168">
      <c r="A378" s="2015" t="s">
        <v>1620</v>
      </c>
      <c r="B378" s="2018">
        <f>300000+300000+300000+150000</f>
        <v>1050000</v>
      </c>
      <c r="C378" s="1900">
        <f>IF('Input''s from BD(Sales)'!B10='Input''s from Initial Design'!B332,IF('Input''s from Initial Design'!F211&gt;999,'Input''s from Site Visit'!B20,0),0)</f>
        <v>0</v>
      </c>
      <c r="D378" s="942" t="s">
        <v>1292</v>
      </c>
      <c r="E378" s="1995">
        <f>IF(AND('Input''s from Initial Design'!F211&gt;999.99,$G$8='Input''s from BD(Sales)'!A275),B378*C378,0)</f>
        <v>0</v>
      </c>
      <c r="F378" s="1582">
        <f>E378/$G$18/1000</f>
        <v>0</v>
      </c>
      <c r="G378" s="1771" t="str">
        <f>IF(AND(C378=0,'Input''s from BD(Sales)'!B62&lt;&gt;"Client Scope",'Input''s from BD(Sales)'!B62&lt;&gt;"Not required"),"DISCOM NOC, Nodal Agency &amp; Grid con. Approval NA",'Input''s from BD(Sales)'!B62)</f>
        <v>DISCOM NOC, Nodal Agency &amp; Grid con. Approval NA</v>
      </c>
      <c r="H378" s="2174" t="s">
        <v>1621</v>
      </c>
      <c r="I378" s="974"/>
    </row>
    <row r="379" spans="1:168">
      <c r="A379" s="2015" t="s">
        <v>1622</v>
      </c>
      <c r="B379" s="2022">
        <v>3800000</v>
      </c>
      <c r="C379" s="1900">
        <f>IF('Input''s from BD(Sales)'!B10='Input''s from Initial Design'!B332,IF('Input''s from Initial Design'!F211&gt;999,'Input''s from Site Visit'!B20,0),0)</f>
        <v>0</v>
      </c>
      <c r="D379" s="942" t="s">
        <v>1292</v>
      </c>
      <c r="E379" s="1995">
        <f>IF(AND('Input''s from Initial Design'!F211&gt;999.99,$G$8='Input''s from BD(Sales)'!A275),B379*C379,0)</f>
        <v>0</v>
      </c>
      <c r="F379" s="1582">
        <f>E379/$G$18/1000</f>
        <v>0</v>
      </c>
      <c r="G379" s="1771" t="str">
        <f>IF(AND(C379=0,'Input''s from BD(Sales)'!B62&lt;&gt;"Client scope",'Input''s from BD(Sales)'!B62&lt;&gt;"Not required"),"Below 1MW RTU &amp; SLDC Not required",'Input''s from BD(Sales)'!B62)</f>
        <v>Below 1MW RTU &amp; SLDC Not required</v>
      </c>
      <c r="H379" s="2174"/>
      <c r="I379" s="1012"/>
    </row>
    <row r="380" spans="1:168" ht="15" thickBot="1">
      <c r="A380" s="2017" t="s">
        <v>1623</v>
      </c>
      <c r="B380" s="2023">
        <f>13500+(4000*3)+12000+10000</f>
        <v>47500</v>
      </c>
      <c r="C380" s="1901">
        <f>'Input''s from Initial Design'!AN93</f>
        <v>2</v>
      </c>
      <c r="D380" s="1028" t="s">
        <v>1624</v>
      </c>
      <c r="E380" s="1998">
        <f>IF(AND('Input''s from Initial Design'!F211&gt;999.99,$G$8='Input''s from BD(Sales)'!A275),B380*C380,0)</f>
        <v>0</v>
      </c>
      <c r="F380" s="1624">
        <f>E380/$G$18/1000</f>
        <v>0</v>
      </c>
      <c r="G380" s="1895" t="str">
        <f>G365</f>
        <v>4PEL Scope</v>
      </c>
      <c r="H380" s="2175"/>
      <c r="I380" s="1562"/>
    </row>
    <row r="381" spans="1:168" ht="16.2" thickBot="1">
      <c r="A381" s="2232" t="s">
        <v>1625</v>
      </c>
      <c r="B381" s="2233"/>
      <c r="C381" s="2233"/>
      <c r="D381" s="2234"/>
      <c r="E381" s="1759">
        <f>IF($G$18&lt;1,0,SUM(E365:E380))</f>
        <v>1491936</v>
      </c>
      <c r="F381" s="1755">
        <f>E381/$G$18/1000</f>
        <v>3.7249975032457807</v>
      </c>
      <c r="G381" s="1760"/>
      <c r="H381" s="1746"/>
      <c r="I381" s="1761"/>
    </row>
    <row r="382" spans="1:168" ht="16.2" thickBot="1">
      <c r="A382" s="2219"/>
      <c r="B382" s="2220"/>
      <c r="C382" s="2220"/>
      <c r="D382" s="2220"/>
      <c r="E382" s="2220"/>
      <c r="F382" s="2220"/>
      <c r="G382" s="2220"/>
      <c r="H382" s="2220"/>
      <c r="I382" s="2222"/>
    </row>
    <row r="383" spans="1:168" s="1136" customFormat="1" ht="18.600000000000001" thickBot="1">
      <c r="A383" s="1665" t="s">
        <v>1626</v>
      </c>
      <c r="B383" s="1626"/>
      <c r="C383" s="1628"/>
      <c r="D383" s="1627"/>
      <c r="E383" s="1134">
        <f>IF(G18&lt;1,0,E362+E381)</f>
        <v>12703707.5364</v>
      </c>
      <c r="F383" s="1135">
        <f>E383/$G$18/1000</f>
        <v>31.718035394986515</v>
      </c>
      <c r="G383" s="1564" t="s">
        <v>1627</v>
      </c>
      <c r="H383" s="1566"/>
      <c r="I383" s="1565"/>
      <c r="DH383" s="1137"/>
    </row>
    <row r="384" spans="1:168" ht="16.2" thickBot="1">
      <c r="A384" s="2219"/>
      <c r="B384" s="2220"/>
      <c r="C384" s="2220"/>
      <c r="D384" s="2220"/>
      <c r="E384" s="2220"/>
      <c r="F384" s="2220"/>
      <c r="G384" s="2220"/>
      <c r="H384" s="2220"/>
      <c r="I384" s="2222"/>
    </row>
    <row r="385" spans="1:112" ht="16.2" thickBot="1">
      <c r="A385" s="1734" t="s">
        <v>1628</v>
      </c>
      <c r="B385" s="2180"/>
      <c r="C385" s="2194"/>
      <c r="D385" s="2194"/>
      <c r="E385" s="2194"/>
      <c r="F385" s="2194"/>
      <c r="G385" s="2194"/>
      <c r="H385" s="2194"/>
      <c r="I385" s="2195"/>
    </row>
    <row r="386" spans="1:112">
      <c r="A386" s="1485" t="s">
        <v>1629</v>
      </c>
      <c r="B386" s="1036">
        <f>'Input''s from BD(Sales)'!B29</f>
        <v>0.1</v>
      </c>
      <c r="C386" s="1029"/>
      <c r="D386" s="1030"/>
      <c r="E386" s="1579">
        <f>E383/(1-B386)-E383</f>
        <v>1411523.0595999993</v>
      </c>
      <c r="F386" s="1581">
        <f>E386/$G$18/1000</f>
        <v>3.5242261549985003</v>
      </c>
      <c r="G386" s="1896" t="str">
        <f>'Input''s from BD(Sales)'!B29*100&amp;"% Considered as per BD's Input's "</f>
        <v xml:space="preserve">10% Considered as per BD's Input's </v>
      </c>
      <c r="H386" s="2241" t="s">
        <v>1630</v>
      </c>
      <c r="I386" s="1567"/>
      <c r="J386" s="172"/>
    </row>
    <row r="387" spans="1:112" ht="15" thickBot="1">
      <c r="A387" s="1443" t="s">
        <v>1631</v>
      </c>
      <c r="B387" s="1037">
        <f>'Input''s from BD(Sales)'!B28</f>
        <v>0</v>
      </c>
      <c r="C387" s="1031"/>
      <c r="D387" s="954"/>
      <c r="E387" s="1595">
        <f>E362*B387</f>
        <v>0</v>
      </c>
      <c r="F387" s="1624">
        <f>E387/$G$18/1000</f>
        <v>0</v>
      </c>
      <c r="G387" s="1897" t="str">
        <f>'Input''s from BD(Sales)'!B28*100&amp;"% of Total-A"</f>
        <v>0% of Total-A</v>
      </c>
      <c r="H387" s="2242"/>
      <c r="I387" s="974"/>
    </row>
    <row r="388" spans="1:112" ht="16.2" thickBot="1">
      <c r="A388" s="2235" t="s">
        <v>1632</v>
      </c>
      <c r="B388" s="2236"/>
      <c r="C388" s="2236"/>
      <c r="D388" s="2237"/>
      <c r="E388" s="1736">
        <f>IF($G$18&lt;1,0,SUM(E386:E387))</f>
        <v>1411523.0595999993</v>
      </c>
      <c r="F388" s="1730">
        <f>E388/$G$18/1000</f>
        <v>3.5242261549985003</v>
      </c>
      <c r="G388" s="1762"/>
      <c r="H388" s="1763"/>
      <c r="I388" s="1764"/>
    </row>
    <row r="389" spans="1:112" ht="16.2" thickBot="1">
      <c r="A389" s="2219"/>
      <c r="B389" s="2220"/>
      <c r="C389" s="2220"/>
      <c r="D389" s="2220"/>
      <c r="E389" s="2220"/>
      <c r="F389" s="2220"/>
      <c r="G389" s="2220"/>
      <c r="H389" s="2220"/>
      <c r="I389" s="2222"/>
    </row>
    <row r="390" spans="1:112" ht="16.2" thickBot="1">
      <c r="A390" s="1734" t="s">
        <v>1633</v>
      </c>
      <c r="B390" s="2238"/>
      <c r="C390" s="2196"/>
      <c r="D390" s="2196"/>
      <c r="E390" s="2196"/>
      <c r="F390" s="2194"/>
      <c r="G390" s="2194"/>
      <c r="H390" s="2194"/>
      <c r="I390" s="2195"/>
    </row>
    <row r="391" spans="1:112">
      <c r="A391" s="1989" t="s">
        <v>1634</v>
      </c>
      <c r="B391" s="1993">
        <f>IF(G391='Input''s from BD(Sales)'!A147,G18*600,0)</f>
        <v>0</v>
      </c>
      <c r="C391" s="989">
        <f>IF(AND('Input''s from BD(Sales)'!$B$24='Input''s from BD(Sales)'!$A$147,TRIM('Input''s from BD(Sales)'!$B$25)&lt;&gt;""),'Input''s from BD(Sales)'!$B$25,1)</f>
        <v>1</v>
      </c>
      <c r="D391" s="951" t="s">
        <v>1543</v>
      </c>
      <c r="E391" s="1994">
        <f>IF(H391='Input''s from BD(Sales)'!C231,0,B391*C391)</f>
        <v>0</v>
      </c>
      <c r="F391" s="1990">
        <f>E391/$G$18/1000</f>
        <v>0</v>
      </c>
      <c r="G391" s="1898">
        <f>'Input''s from BD(Sales)'!B24</f>
        <v>0</v>
      </c>
      <c r="H391" s="2223" t="str">
        <f>'Input''s from BD(Sales)'!B16</f>
        <v>Capex</v>
      </c>
      <c r="I391" s="974"/>
    </row>
    <row r="392" spans="1:112" ht="15" thickBot="1">
      <c r="A392" s="1987" t="s">
        <v>1635</v>
      </c>
      <c r="B392" s="1996">
        <v>1000</v>
      </c>
      <c r="C392" s="1997">
        <f>IF(G$6='Input''s from BD(Sales)'!A159,G$18,0)</f>
        <v>0</v>
      </c>
      <c r="D392" s="977" t="s">
        <v>1564</v>
      </c>
      <c r="E392" s="1998">
        <f>IF($G$18&gt;0,B392*C392,0)</f>
        <v>0</v>
      </c>
      <c r="F392" s="1991">
        <f>E392/$G$18/1000</f>
        <v>0</v>
      </c>
      <c r="G392" s="1988" t="s">
        <v>1636</v>
      </c>
      <c r="H392" s="2224"/>
      <c r="I392" s="994"/>
    </row>
    <row r="393" spans="1:112" ht="16.2" thickBot="1">
      <c r="A393" s="2166" t="s">
        <v>1637</v>
      </c>
      <c r="B393" s="2239"/>
      <c r="C393" s="2239"/>
      <c r="D393" s="2240"/>
      <c r="E393" s="1992">
        <f>IF($G$18&lt;1,0,SUM(E391:E392))</f>
        <v>0</v>
      </c>
      <c r="F393" s="1765">
        <f>E393/$G$18/1000</f>
        <v>0</v>
      </c>
      <c r="G393" s="1962" t="s">
        <v>1638</v>
      </c>
      <c r="H393" s="1746"/>
      <c r="I393" s="1750"/>
    </row>
    <row r="394" spans="1:112" ht="16.2" thickBot="1">
      <c r="A394" s="2219"/>
      <c r="B394" s="2220"/>
      <c r="C394" s="2220"/>
      <c r="D394" s="2220"/>
      <c r="E394" s="2220"/>
      <c r="F394" s="2220"/>
      <c r="G394" s="2220"/>
      <c r="H394" s="2221"/>
      <c r="I394" s="2222"/>
    </row>
    <row r="395" spans="1:112" s="158" customFormat="1" ht="18" thickBot="1">
      <c r="A395" s="1132" t="s">
        <v>1639</v>
      </c>
      <c r="B395" s="1132"/>
      <c r="C395" s="1553"/>
      <c r="D395" s="1552"/>
      <c r="E395" s="1127">
        <f>IF(G18&lt;1,0,E383+E388+E393)</f>
        <v>14115230.595999999</v>
      </c>
      <c r="F395" s="1128">
        <f>E395/$G$18/1000</f>
        <v>35.242261549985024</v>
      </c>
      <c r="G395" s="1129" t="s">
        <v>1640</v>
      </c>
      <c r="H395" s="1568"/>
      <c r="I395" s="1130"/>
      <c r="DH395" s="932"/>
    </row>
    <row r="396" spans="1:112" s="158" customFormat="1" ht="18" thickBot="1">
      <c r="A396" s="2215"/>
      <c r="B396" s="2216"/>
      <c r="C396" s="2216"/>
      <c r="D396" s="2216"/>
      <c r="E396" s="2216"/>
      <c r="F396" s="2216"/>
      <c r="G396" s="2216"/>
      <c r="H396" s="2217"/>
      <c r="I396" s="2218"/>
      <c r="J396" s="1131"/>
      <c r="DH396" s="932"/>
    </row>
    <row r="397" spans="1:112" s="158" customFormat="1" ht="18" thickBot="1">
      <c r="A397" s="1132" t="s">
        <v>1641</v>
      </c>
      <c r="B397" s="1132"/>
      <c r="C397" s="1553"/>
      <c r="D397" s="1554"/>
      <c r="E397" s="1133">
        <f>IF('Input''s from BD(Sales)'!B16='Input''s from BD(Sales)'!C231,0,'Input''s from Initial Design'!G394)</f>
        <v>0</v>
      </c>
      <c r="F397" s="1128">
        <f>E397/$G$18/1000</f>
        <v>0</v>
      </c>
      <c r="G397" s="1129" t="str">
        <f xml:space="preserve"> 'Input''s from BD(Sales)'!B26*100 &amp;"% with - "&amp;'Input''s from BD(Sales)'!B27&amp;" Years"</f>
        <v>0% with -  Years</v>
      </c>
      <c r="H397" s="1568"/>
      <c r="I397" s="1130"/>
      <c r="DH397" s="932"/>
    </row>
    <row r="398" spans="1:112" s="158" customFormat="1" ht="18" thickBot="1">
      <c r="A398" s="2215"/>
      <c r="B398" s="2216"/>
      <c r="C398" s="2217"/>
      <c r="D398" s="2217"/>
      <c r="E398" s="2216"/>
      <c r="F398" s="2216"/>
      <c r="G398" s="2216"/>
      <c r="H398" s="2216"/>
      <c r="I398" s="2218"/>
      <c r="J398" s="1131"/>
      <c r="DH398" s="932"/>
    </row>
    <row r="399" spans="1:112" s="158" customFormat="1" ht="18" thickBot="1">
      <c r="A399" s="1132" t="s">
        <v>1642</v>
      </c>
      <c r="B399" s="1132"/>
      <c r="C399" s="1553"/>
      <c r="D399" s="1552"/>
      <c r="E399" s="1127">
        <f>IF(G18&lt;1,0,E395+E397)</f>
        <v>14115230.595999999</v>
      </c>
      <c r="F399" s="1128">
        <f>E399/$G$18/1000</f>
        <v>35.242261549985024</v>
      </c>
      <c r="G399" s="1712" t="s">
        <v>1643</v>
      </c>
      <c r="H399" s="1569"/>
      <c r="I399" s="1130"/>
      <c r="DH399" s="932"/>
    </row>
    <row r="400" spans="1:112" s="158" customFormat="1" ht="18" thickBot="1">
      <c r="A400" s="2215"/>
      <c r="B400" s="2216"/>
      <c r="C400" s="2216"/>
      <c r="D400" s="2216"/>
      <c r="E400" s="2216"/>
      <c r="F400" s="2216"/>
      <c r="G400" s="2216"/>
      <c r="H400" s="2216"/>
      <c r="I400" s="2218"/>
      <c r="J400" s="1131"/>
      <c r="DH400" s="932"/>
    </row>
    <row r="401" spans="1:112" s="174" customFormat="1" ht="16.2" thickBot="1">
      <c r="A401" s="1556" t="s">
        <v>1644</v>
      </c>
      <c r="B401" s="1558">
        <v>8.8999999999999996E-2</v>
      </c>
      <c r="C401" s="1557"/>
      <c r="D401" s="1555"/>
      <c r="E401" s="1544">
        <f>IF(G18&lt;1,0,E399*B401)</f>
        <v>1256255.5230439999</v>
      </c>
      <c r="F401" s="1559">
        <f>E401/$G$18/1000</f>
        <v>3.1365612779486667</v>
      </c>
      <c r="G401" s="1713" t="s">
        <v>1645</v>
      </c>
      <c r="H401" s="1570"/>
      <c r="I401" s="1551"/>
      <c r="J401" s="1545"/>
      <c r="DH401" s="935"/>
    </row>
    <row r="402" spans="1:112" s="158" customFormat="1" ht="18" thickBot="1">
      <c r="A402" s="2215"/>
      <c r="B402" s="2216"/>
      <c r="C402" s="2216"/>
      <c r="D402" s="2216"/>
      <c r="E402" s="2216"/>
      <c r="F402" s="2216"/>
      <c r="G402" s="2216"/>
      <c r="H402" s="2216"/>
      <c r="I402" s="2218"/>
      <c r="J402" s="1131"/>
      <c r="DH402" s="932"/>
    </row>
    <row r="403" spans="1:112" s="158" customFormat="1" ht="18" thickBot="1">
      <c r="A403" s="1132" t="s">
        <v>1646</v>
      </c>
      <c r="B403" s="1132"/>
      <c r="C403" s="1553"/>
      <c r="D403" s="1554"/>
      <c r="E403" s="1127">
        <f>IF(G18&lt;1,0,E399+E401)</f>
        <v>15371486.119043998</v>
      </c>
      <c r="F403" s="1128">
        <f>E403/$G$18/1000</f>
        <v>38.378822827933682</v>
      </c>
      <c r="G403" s="1712" t="s">
        <v>1647</v>
      </c>
      <c r="H403" s="1568"/>
      <c r="I403" s="1130"/>
      <c r="DH403" s="932"/>
    </row>
    <row r="404" spans="1:112" ht="17.399999999999999">
      <c r="A404" s="2381" t="s">
        <v>1648</v>
      </c>
      <c r="B404" s="2381"/>
      <c r="C404" s="2381"/>
      <c r="D404" s="2381"/>
      <c r="E404" s="2381"/>
      <c r="F404" s="2381"/>
      <c r="G404" s="2381"/>
      <c r="H404" s="2381"/>
      <c r="I404" s="2381"/>
      <c r="J404" s="158"/>
    </row>
    <row r="408" spans="1:112" s="174" customFormat="1" ht="15.6">
      <c r="A408" s="156"/>
      <c r="B408" s="156"/>
      <c r="C408" s="175"/>
      <c r="D408" s="156"/>
      <c r="E408" s="156"/>
      <c r="F408" s="156"/>
      <c r="G408" s="156"/>
      <c r="H408" s="1520"/>
      <c r="I408" s="156"/>
      <c r="J408" s="156"/>
      <c r="DH408" s="935"/>
    </row>
    <row r="447" spans="4:7">
      <c r="F447" s="176"/>
      <c r="G447" s="176"/>
    </row>
    <row r="448" spans="4:7">
      <c r="D448" s="2231"/>
      <c r="E448" s="2231"/>
    </row>
    <row r="449" spans="2:114">
      <c r="D449" s="2231"/>
      <c r="E449" s="2231"/>
    </row>
    <row r="450" spans="2:114">
      <c r="D450" s="2231"/>
      <c r="E450" s="2231"/>
    </row>
    <row r="451" spans="2:114">
      <c r="D451" s="2231"/>
      <c r="E451" s="2231"/>
    </row>
    <row r="452" spans="2:114">
      <c r="D452" s="2231"/>
      <c r="E452" s="2231"/>
    </row>
    <row r="453" spans="2:114">
      <c r="D453" s="2231"/>
      <c r="E453" s="2231"/>
    </row>
    <row r="454" spans="2:114">
      <c r="D454" s="2231"/>
      <c r="E454" s="2231"/>
    </row>
    <row r="455" spans="2:114">
      <c r="D455" s="2231"/>
      <c r="E455" s="2231"/>
    </row>
    <row r="456" spans="2:114">
      <c r="D456" s="2231"/>
      <c r="E456" s="2231"/>
    </row>
    <row r="457" spans="2:114">
      <c r="D457" s="2231"/>
      <c r="E457" s="2231"/>
      <c r="H457" s="1521"/>
    </row>
    <row r="458" spans="2:114" ht="16.5" customHeight="1">
      <c r="C458" s="176"/>
    </row>
    <row r="459" spans="2:114" ht="15" customHeight="1">
      <c r="C459" s="176"/>
    </row>
    <row r="460" spans="2:114" ht="15.75" customHeight="1">
      <c r="C460" s="176"/>
    </row>
    <row r="461" spans="2:114">
      <c r="C461" s="176"/>
    </row>
    <row r="462" spans="2:114">
      <c r="B462" s="183"/>
      <c r="C462" s="176"/>
      <c r="E462" s="49"/>
      <c r="G462" s="183"/>
      <c r="J462" s="49"/>
      <c r="DJ462" s="183"/>
    </row>
    <row r="463" spans="2:114">
      <c r="B463" s="183"/>
      <c r="C463" s="176"/>
      <c r="G463" s="183"/>
    </row>
    <row r="464" spans="2:114">
      <c r="C464" s="176"/>
    </row>
    <row r="465" spans="1:37" ht="15.75" customHeight="1">
      <c r="C465" s="176"/>
    </row>
    <row r="466" spans="1:37">
      <c r="C466" s="176"/>
    </row>
    <row r="467" spans="1:37">
      <c r="C467" s="176"/>
    </row>
    <row r="468" spans="1:37">
      <c r="C468" s="176"/>
    </row>
    <row r="469" spans="1:37">
      <c r="C469" s="176"/>
    </row>
    <row r="470" spans="1:37">
      <c r="C470" s="176"/>
    </row>
    <row r="471" spans="1:37">
      <c r="C471" s="176"/>
    </row>
    <row r="472" spans="1:37">
      <c r="C472" s="176"/>
    </row>
    <row r="473" spans="1:37">
      <c r="C473" s="176"/>
    </row>
    <row r="474" spans="1:37" ht="15" thickBot="1">
      <c r="C474" s="867"/>
      <c r="H474" s="1521"/>
    </row>
    <row r="475" spans="1:37" ht="15.6" thickBot="1">
      <c r="C475" s="176"/>
      <c r="V475" s="2203" t="s">
        <v>1039</v>
      </c>
      <c r="W475" s="2204" t="s">
        <v>1649</v>
      </c>
      <c r="X475" s="2204"/>
      <c r="Y475" s="2204" t="s">
        <v>1650</v>
      </c>
      <c r="Z475" s="2204"/>
      <c r="AA475" s="2204" t="s">
        <v>1651</v>
      </c>
      <c r="AB475" s="2204"/>
      <c r="AC475" s="2204"/>
      <c r="AD475" s="2204"/>
      <c r="AE475" s="2272" t="s">
        <v>1652</v>
      </c>
      <c r="AF475" s="2273"/>
      <c r="AG475" s="2245" t="s">
        <v>1653</v>
      </c>
      <c r="AH475" s="2246"/>
      <c r="AI475" s="2246"/>
      <c r="AJ475" s="2246"/>
      <c r="AK475" s="2246"/>
    </row>
    <row r="476" spans="1:37" ht="17.399999999999999">
      <c r="A476" s="1120" t="s">
        <v>1654</v>
      </c>
      <c r="B476" s="1121" t="s">
        <v>1655</v>
      </c>
      <c r="C476" s="1122" t="s">
        <v>1656</v>
      </c>
      <c r="V476" s="2388"/>
      <c r="W476" s="2206"/>
      <c r="X476" s="2206"/>
      <c r="Y476" s="2206"/>
      <c r="Z476" s="2206"/>
      <c r="AA476" s="2283" t="s">
        <v>1657</v>
      </c>
      <c r="AB476" s="2283"/>
      <c r="AC476" s="2283" t="s">
        <v>1658</v>
      </c>
      <c r="AD476" s="2283"/>
      <c r="AE476" s="2274"/>
      <c r="AF476" s="2275"/>
      <c r="AG476" s="2247"/>
      <c r="AH476" s="2248"/>
      <c r="AI476" s="2248"/>
      <c r="AJ476" s="2248"/>
      <c r="AK476" s="2248"/>
    </row>
    <row r="477" spans="1:37" ht="17.399999999999999">
      <c r="A477" s="1106" t="s">
        <v>1659</v>
      </c>
      <c r="B477" s="1112">
        <f>F31</f>
        <v>18</v>
      </c>
      <c r="C477" s="1115">
        <f t="shared" ref="C477:C486" si="67">B477/$B$487</f>
        <v>0.56750047018502148</v>
      </c>
      <c r="V477" s="2086">
        <v>1</v>
      </c>
      <c r="W477" s="2417" t="str">
        <f>'Input''s from BD(Sales)'!A275</f>
        <v>Andhra Pradesh</v>
      </c>
      <c r="X477" s="2417"/>
      <c r="Y477" s="2417" t="s">
        <v>151</v>
      </c>
      <c r="Z477" s="2417"/>
      <c r="AA477" s="2284" t="s">
        <v>1959</v>
      </c>
      <c r="AB477" s="2284"/>
      <c r="AC477" s="2281"/>
      <c r="AD477" s="2281"/>
      <c r="AE477" s="2276" t="s">
        <v>1660</v>
      </c>
      <c r="AF477" s="2277"/>
      <c r="AG477" s="2257" t="s">
        <v>1661</v>
      </c>
      <c r="AH477" s="2258"/>
      <c r="AI477" s="2258"/>
      <c r="AJ477" s="2258"/>
      <c r="AK477" s="2259"/>
    </row>
    <row r="478" spans="1:37" ht="17.399999999999999">
      <c r="A478" s="1107" t="s">
        <v>1662</v>
      </c>
      <c r="B478" s="1113">
        <f>F45</f>
        <v>1.4980525317087785</v>
      </c>
      <c r="C478" s="1116">
        <f t="shared" si="67"/>
        <v>4.7230306450366306E-2</v>
      </c>
      <c r="V478" s="2083">
        <v>2</v>
      </c>
      <c r="W478" s="2285" t="str">
        <f>'Input''s from BD(Sales)'!A277</f>
        <v>Assam</v>
      </c>
      <c r="X478" s="2285"/>
      <c r="Y478" s="2285" t="s">
        <v>151</v>
      </c>
      <c r="Z478" s="2285"/>
      <c r="AA478" s="2255" t="s">
        <v>1663</v>
      </c>
      <c r="AB478" s="2255"/>
      <c r="AC478" s="2271"/>
      <c r="AD478" s="2271"/>
      <c r="AE478" s="2278" t="s">
        <v>1660</v>
      </c>
      <c r="AF478" s="2279"/>
      <c r="AG478" s="2254" t="s">
        <v>1664</v>
      </c>
      <c r="AH478" s="2255"/>
      <c r="AI478" s="2255"/>
      <c r="AJ478" s="2255"/>
      <c r="AK478" s="2256"/>
    </row>
    <row r="479" spans="1:37" ht="17.399999999999999">
      <c r="A479" s="1107" t="s">
        <v>1158</v>
      </c>
      <c r="B479" s="1113">
        <f t="shared" ref="B479:B485" si="68">B8</f>
        <v>0.85972236093079002</v>
      </c>
      <c r="C479" s="1116">
        <f t="shared" si="67"/>
        <v>2.710515800315556E-2</v>
      </c>
      <c r="V479" s="2083">
        <v>3</v>
      </c>
      <c r="W479" s="2285" t="str">
        <f>'Input''s from BD(Sales)'!A278</f>
        <v>Bihar</v>
      </c>
      <c r="X479" s="2285"/>
      <c r="Y479" s="2285" t="s">
        <v>1665</v>
      </c>
      <c r="Z479" s="2285"/>
      <c r="AA479" s="2255" t="s">
        <v>1666</v>
      </c>
      <c r="AB479" s="2255"/>
      <c r="AC479" s="2280"/>
      <c r="AD479" s="2280"/>
      <c r="AE479" s="2268" t="s">
        <v>462</v>
      </c>
      <c r="AF479" s="2269"/>
      <c r="AG479" s="2254" t="s">
        <v>1667</v>
      </c>
      <c r="AH479" s="2255"/>
      <c r="AI479" s="2255"/>
      <c r="AJ479" s="2255"/>
      <c r="AK479" s="2256"/>
    </row>
    <row r="480" spans="1:37" ht="17.399999999999999">
      <c r="A480" s="1108" t="s">
        <v>1159</v>
      </c>
      <c r="B480" s="1113">
        <f t="shared" si="68"/>
        <v>14.720000000000002</v>
      </c>
      <c r="C480" s="1116">
        <f t="shared" si="67"/>
        <v>0.46408927339575096</v>
      </c>
      <c r="V480" s="2083">
        <v>4</v>
      </c>
      <c r="W480" s="2285" t="str">
        <f>'Input''s from BD(Sales)'!A279</f>
        <v>Chhattisgarh</v>
      </c>
      <c r="X480" s="2285"/>
      <c r="Y480" s="2285" t="s">
        <v>151</v>
      </c>
      <c r="Z480" s="2285"/>
      <c r="AA480" s="2271"/>
      <c r="AB480" s="2271"/>
      <c r="AC480" s="2255" t="s">
        <v>1668</v>
      </c>
      <c r="AD480" s="2255"/>
      <c r="AE480" s="2268" t="s">
        <v>462</v>
      </c>
      <c r="AF480" s="2269"/>
      <c r="AG480" s="2254" t="s">
        <v>1669</v>
      </c>
      <c r="AH480" s="2255"/>
      <c r="AI480" s="2255"/>
      <c r="AJ480" s="2255"/>
      <c r="AK480" s="2256"/>
    </row>
    <row r="481" spans="1:120" ht="17.399999999999999">
      <c r="A481" s="1107" t="s">
        <v>1160</v>
      </c>
      <c r="B481" s="1113">
        <f t="shared" si="68"/>
        <v>2.7400028373114953</v>
      </c>
      <c r="C481" s="1116">
        <f t="shared" si="67"/>
        <v>8.6386272137920356E-2</v>
      </c>
      <c r="V481" s="2083">
        <v>5</v>
      </c>
      <c r="W481" s="2285" t="str">
        <f>'Input''s from BD(Sales)'!A307</f>
        <v>Delhi</v>
      </c>
      <c r="X481" s="2285"/>
      <c r="Y481" s="2285" t="s">
        <v>151</v>
      </c>
      <c r="Z481" s="2285"/>
      <c r="AA481" s="2255" t="s">
        <v>1670</v>
      </c>
      <c r="AB481" s="2255"/>
      <c r="AC481" s="2271"/>
      <c r="AD481" s="2271"/>
      <c r="AE481" s="2268" t="s">
        <v>462</v>
      </c>
      <c r="AF481" s="2269"/>
      <c r="AG481" s="2254" t="s">
        <v>1671</v>
      </c>
      <c r="AH481" s="2255"/>
      <c r="AI481" s="2255"/>
      <c r="AJ481" s="2255"/>
      <c r="AK481" s="2256"/>
    </row>
    <row r="482" spans="1:120" ht="17.399999999999999">
      <c r="A482" s="1107" t="s">
        <v>1161</v>
      </c>
      <c r="B482" s="1113">
        <f t="shared" si="68"/>
        <v>1.6775451912513735</v>
      </c>
      <c r="C482" s="1116">
        <f t="shared" si="67"/>
        <v>5.2889315821765343E-2</v>
      </c>
      <c r="V482" s="2083">
        <v>6</v>
      </c>
      <c r="W482" s="2285" t="str">
        <f>'Input''s from BD(Sales)'!A281</f>
        <v>Gujarat</v>
      </c>
      <c r="X482" s="2285"/>
      <c r="Y482" s="2285" t="s">
        <v>151</v>
      </c>
      <c r="Z482" s="2285"/>
      <c r="AA482" s="2271"/>
      <c r="AB482" s="2271"/>
      <c r="AC482" s="2255" t="s">
        <v>1672</v>
      </c>
      <c r="AD482" s="2255"/>
      <c r="AE482" s="2278" t="s">
        <v>1660</v>
      </c>
      <c r="AF482" s="2279"/>
      <c r="AG482" s="2254" t="s">
        <v>1673</v>
      </c>
      <c r="AH482" s="2255"/>
      <c r="AI482" s="2255"/>
      <c r="AJ482" s="2255"/>
      <c r="AK482" s="2256"/>
    </row>
    <row r="483" spans="1:120" ht="17.399999999999999">
      <c r="A483" s="1107" t="s">
        <v>1162</v>
      </c>
      <c r="B483" s="1113">
        <f t="shared" si="68"/>
        <v>2.6452092280035955</v>
      </c>
      <c r="C483" s="1116">
        <f t="shared" si="67"/>
        <v>8.3397637812766559E-2</v>
      </c>
      <c r="V483" s="2083">
        <v>7</v>
      </c>
      <c r="W483" s="2285" t="str">
        <f>'Input''s from BD(Sales)'!A280</f>
        <v>Goa</v>
      </c>
      <c r="X483" s="2285"/>
      <c r="Y483" s="2285" t="s">
        <v>151</v>
      </c>
      <c r="Z483" s="2285"/>
      <c r="AA483" s="2271"/>
      <c r="AB483" s="2271"/>
      <c r="AC483" s="2255" t="s">
        <v>1674</v>
      </c>
      <c r="AD483" s="2255"/>
      <c r="AE483" s="2268" t="s">
        <v>1675</v>
      </c>
      <c r="AF483" s="2269"/>
      <c r="AG483" s="2254" t="s">
        <v>1676</v>
      </c>
      <c r="AH483" s="2255"/>
      <c r="AI483" s="2255"/>
      <c r="AJ483" s="2255"/>
      <c r="AK483" s="2256"/>
    </row>
    <row r="484" spans="1:120" ht="17.399999999999999">
      <c r="A484" s="1108" t="s">
        <v>1677</v>
      </c>
      <c r="B484" s="1113">
        <f t="shared" si="68"/>
        <v>0</v>
      </c>
      <c r="C484" s="1116">
        <f t="shared" si="67"/>
        <v>0</v>
      </c>
      <c r="V484" s="2083">
        <v>8</v>
      </c>
      <c r="W484" s="2285" t="str">
        <f>'Input''s from BD(Sales)'!A282</f>
        <v>Haryana</v>
      </c>
      <c r="X484" s="2285"/>
      <c r="Y484" s="2285" t="s">
        <v>151</v>
      </c>
      <c r="Z484" s="2285"/>
      <c r="AA484" s="2271"/>
      <c r="AB484" s="2271"/>
      <c r="AC484" s="2255" t="s">
        <v>1678</v>
      </c>
      <c r="AD484" s="2255"/>
      <c r="AE484" s="2268" t="s">
        <v>462</v>
      </c>
      <c r="AF484" s="2269"/>
      <c r="AG484" s="2254" t="s">
        <v>1676</v>
      </c>
      <c r="AH484" s="2255"/>
      <c r="AI484" s="2255"/>
      <c r="AJ484" s="2255"/>
      <c r="AK484" s="2256"/>
    </row>
    <row r="485" spans="1:120" ht="17.399999999999999">
      <c r="A485" s="1108" t="s">
        <v>1679</v>
      </c>
      <c r="B485" s="1113">
        <f t="shared" si="68"/>
        <v>-14.147494257465295</v>
      </c>
      <c r="C485" s="1116">
        <f t="shared" si="67"/>
        <v>-0.44603942461396923</v>
      </c>
      <c r="E485" s="198"/>
      <c r="V485" s="2083">
        <v>9</v>
      </c>
      <c r="W485" s="2285" t="str">
        <f>'Input''s from BD(Sales)'!A283</f>
        <v>Himachal Pradesh</v>
      </c>
      <c r="X485" s="2285"/>
      <c r="Y485" s="2285" t="s">
        <v>151</v>
      </c>
      <c r="Z485" s="2285"/>
      <c r="AA485" s="2255" t="s">
        <v>1680</v>
      </c>
      <c r="AB485" s="2255"/>
      <c r="AC485" s="2271"/>
      <c r="AD485" s="2271"/>
      <c r="AE485" s="2268" t="s">
        <v>462</v>
      </c>
      <c r="AF485" s="2269"/>
      <c r="AG485" s="2254" t="s">
        <v>1681</v>
      </c>
      <c r="AH485" s="2255"/>
      <c r="AI485" s="2255"/>
      <c r="AJ485" s="2255"/>
      <c r="AK485" s="2256"/>
    </row>
    <row r="486" spans="1:120" ht="18" thickBot="1">
      <c r="A486" s="1111" t="s">
        <v>1682</v>
      </c>
      <c r="B486" s="1114">
        <f>B15+B16</f>
        <v>3.7249975032457807</v>
      </c>
      <c r="C486" s="1117">
        <f t="shared" si="67"/>
        <v>0.11744099080722287</v>
      </c>
      <c r="E486" s="198"/>
      <c r="V486" s="2083">
        <v>10</v>
      </c>
      <c r="W486" s="2285" t="str">
        <f>'Input''s from BD(Sales)'!A285</f>
        <v>Jharkhand</v>
      </c>
      <c r="X486" s="2285"/>
      <c r="Y486" s="2285" t="s">
        <v>151</v>
      </c>
      <c r="Z486" s="2285"/>
      <c r="AA486" s="2255" t="s">
        <v>1683</v>
      </c>
      <c r="AB486" s="2255"/>
      <c r="AC486" s="2271"/>
      <c r="AD486" s="2271"/>
      <c r="AE486" s="2268" t="s">
        <v>462</v>
      </c>
      <c r="AF486" s="2269"/>
      <c r="AG486" s="2254" t="s">
        <v>1684</v>
      </c>
      <c r="AH486" s="2255"/>
      <c r="AI486" s="2255"/>
      <c r="AJ486" s="2255"/>
      <c r="AK486" s="2256"/>
    </row>
    <row r="487" spans="1:120" s="49" customFormat="1" ht="18" thickBot="1">
      <c r="A487" s="1118" t="s">
        <v>1685</v>
      </c>
      <c r="B487" s="1119">
        <f>SUM(B477:B486)</f>
        <v>31.718035394986515</v>
      </c>
      <c r="C487" s="1126">
        <f>SUM(C477:C486)</f>
        <v>1.0000000000000002</v>
      </c>
      <c r="D487" s="199"/>
      <c r="E487" s="200"/>
      <c r="H487" s="1520"/>
      <c r="V487" s="2083">
        <v>11</v>
      </c>
      <c r="W487" s="2285" t="str">
        <f>'Input''s from BD(Sales)'!A286</f>
        <v>Karnataka</v>
      </c>
      <c r="X487" s="2285"/>
      <c r="Y487" s="2285" t="s">
        <v>151</v>
      </c>
      <c r="Z487" s="2285"/>
      <c r="AA487" s="2255" t="s">
        <v>1686</v>
      </c>
      <c r="AB487" s="2255"/>
      <c r="AC487" s="2271"/>
      <c r="AD487" s="2271"/>
      <c r="AE487" s="2268" t="s">
        <v>1675</v>
      </c>
      <c r="AF487" s="2269"/>
      <c r="AG487" s="2254" t="s">
        <v>1687</v>
      </c>
      <c r="AH487" s="2255"/>
      <c r="AI487" s="2255"/>
      <c r="AJ487" s="2255"/>
      <c r="AK487" s="2256"/>
      <c r="DE487" s="156"/>
      <c r="DF487" s="156"/>
      <c r="DG487" s="156"/>
      <c r="DH487" s="175"/>
      <c r="DI487" s="156"/>
      <c r="DJ487" s="156"/>
      <c r="DK487" s="156"/>
      <c r="DL487" s="156"/>
      <c r="DM487" s="156"/>
      <c r="DN487" s="156"/>
      <c r="DO487" s="156"/>
      <c r="DP487" s="156"/>
    </row>
    <row r="488" spans="1:120" ht="15" customHeight="1">
      <c r="D488" s="198"/>
      <c r="E488" s="183"/>
      <c r="V488" s="2083">
        <v>12</v>
      </c>
      <c r="W488" s="2285" t="str">
        <f>'Input''s from BD(Sales)'!A287</f>
        <v>Kerala</v>
      </c>
      <c r="X488" s="2285"/>
      <c r="Y488" s="2285" t="s">
        <v>151</v>
      </c>
      <c r="Z488" s="2285"/>
      <c r="AA488" s="2271"/>
      <c r="AB488" s="2271"/>
      <c r="AC488" s="2255" t="s">
        <v>1688</v>
      </c>
      <c r="AD488" s="2255"/>
      <c r="AE488" s="2268" t="s">
        <v>1689</v>
      </c>
      <c r="AF488" s="2269"/>
      <c r="AG488" s="2254" t="s">
        <v>1690</v>
      </c>
      <c r="AH488" s="2255"/>
      <c r="AI488" s="2255"/>
      <c r="AJ488" s="2255"/>
      <c r="AK488" s="2256"/>
    </row>
    <row r="489" spans="1:120" ht="15" customHeight="1">
      <c r="E489" s="198"/>
      <c r="V489" s="2083">
        <v>13</v>
      </c>
      <c r="W489" s="2285" t="str">
        <f>'Input''s from BD(Sales)'!A288</f>
        <v>Madhya Pradesh</v>
      </c>
      <c r="X489" s="2285"/>
      <c r="Y489" s="2285" t="s">
        <v>151</v>
      </c>
      <c r="Z489" s="2285"/>
      <c r="AA489" s="2280"/>
      <c r="AB489" s="2280"/>
      <c r="AC489" s="2255" t="s">
        <v>1678</v>
      </c>
      <c r="AD489" s="2255"/>
      <c r="AE489" s="2268" t="s">
        <v>462</v>
      </c>
      <c r="AF489" s="2269"/>
      <c r="AG489" s="2260" t="s">
        <v>1669</v>
      </c>
      <c r="AH489" s="2261"/>
      <c r="AI489" s="2261"/>
      <c r="AJ489" s="2261"/>
      <c r="AK489" s="2262"/>
    </row>
    <row r="490" spans="1:120" ht="15" customHeight="1">
      <c r="E490" s="198"/>
      <c r="V490" s="2083">
        <v>14</v>
      </c>
      <c r="W490" s="2285" t="str">
        <f>'Input''s from BD(Sales)'!A289</f>
        <v>Maharashtra</v>
      </c>
      <c r="X490" s="2285"/>
      <c r="Y490" s="2285" t="s">
        <v>151</v>
      </c>
      <c r="Z490" s="2285"/>
      <c r="AA490" s="2271"/>
      <c r="AB490" s="2271"/>
      <c r="AC490" s="2255" t="s">
        <v>1691</v>
      </c>
      <c r="AD490" s="2255"/>
      <c r="AE490" s="2278" t="s">
        <v>1660</v>
      </c>
      <c r="AF490" s="2279"/>
      <c r="AG490" s="2254" t="s">
        <v>1673</v>
      </c>
      <c r="AH490" s="2255"/>
      <c r="AI490" s="2255"/>
      <c r="AJ490" s="2255"/>
      <c r="AK490" s="2256"/>
    </row>
    <row r="491" spans="1:120" ht="15" customHeight="1">
      <c r="D491" s="183"/>
      <c r="E491" s="198"/>
      <c r="F491" s="198"/>
      <c r="V491" s="2083">
        <v>15</v>
      </c>
      <c r="W491" s="2285" t="str">
        <f>'Input''s from BD(Sales)'!A294</f>
        <v>Odisha</v>
      </c>
      <c r="X491" s="2285"/>
      <c r="Y491" s="2285" t="s">
        <v>1692</v>
      </c>
      <c r="Z491" s="2285"/>
      <c r="AA491" s="2255" t="s">
        <v>1678</v>
      </c>
      <c r="AB491" s="2255"/>
      <c r="AC491" s="2271"/>
      <c r="AD491" s="2271"/>
      <c r="AE491" s="2268" t="s">
        <v>462</v>
      </c>
      <c r="AF491" s="2269"/>
      <c r="AG491" s="2254" t="s">
        <v>1693</v>
      </c>
      <c r="AH491" s="2255"/>
      <c r="AI491" s="2255"/>
      <c r="AJ491" s="2255"/>
      <c r="AK491" s="2256"/>
    </row>
    <row r="492" spans="1:120" ht="15" customHeight="1">
      <c r="H492" s="156"/>
      <c r="V492" s="2083">
        <v>16</v>
      </c>
      <c r="W492" s="2285" t="str">
        <f>'Input''s from BD(Sales)'!A295</f>
        <v>Punjab</v>
      </c>
      <c r="X492" s="2285"/>
      <c r="Y492" s="2285" t="s">
        <v>151</v>
      </c>
      <c r="Z492" s="2285"/>
      <c r="AA492" s="2271"/>
      <c r="AB492" s="2271"/>
      <c r="AC492" s="2255" t="s">
        <v>1674</v>
      </c>
      <c r="AD492" s="2255"/>
      <c r="AE492" s="2268" t="s">
        <v>1694</v>
      </c>
      <c r="AF492" s="2269"/>
      <c r="AG492" s="2254" t="s">
        <v>1695</v>
      </c>
      <c r="AH492" s="2255"/>
      <c r="AI492" s="2255"/>
      <c r="AJ492" s="2255"/>
      <c r="AK492" s="2256"/>
    </row>
    <row r="493" spans="1:120" ht="15" customHeight="1">
      <c r="D493" s="198"/>
      <c r="H493" s="156"/>
      <c r="T493" s="190"/>
      <c r="V493" s="2083">
        <v>17</v>
      </c>
      <c r="W493" s="2285" t="str">
        <f>'Input''s from BD(Sales)'!A296</f>
        <v>Rajasthan</v>
      </c>
      <c r="X493" s="2285"/>
      <c r="Y493" s="2285" t="s">
        <v>151</v>
      </c>
      <c r="Z493" s="2285"/>
      <c r="AA493" s="2255" t="s">
        <v>1672</v>
      </c>
      <c r="AB493" s="2255"/>
      <c r="AC493" s="2271"/>
      <c r="AD493" s="2271"/>
      <c r="AE493" s="2268" t="s">
        <v>462</v>
      </c>
      <c r="AF493" s="2269"/>
      <c r="AG493" s="2254" t="s">
        <v>1667</v>
      </c>
      <c r="AH493" s="2255"/>
      <c r="AI493" s="2255"/>
      <c r="AJ493" s="2255"/>
      <c r="AK493" s="2256"/>
    </row>
    <row r="494" spans="1:120" ht="15.75" customHeight="1">
      <c r="V494" s="2083">
        <v>18</v>
      </c>
      <c r="W494" s="2285" t="str">
        <f>'Input''s from BD(Sales)'!A298</f>
        <v>Tamil Nadu</v>
      </c>
      <c r="X494" s="2285"/>
      <c r="Y494" s="2285" t="s">
        <v>151</v>
      </c>
      <c r="Z494" s="2285"/>
      <c r="AA494" s="2271"/>
      <c r="AB494" s="2271"/>
      <c r="AC494" s="2255" t="s">
        <v>1691</v>
      </c>
      <c r="AD494" s="2255"/>
      <c r="AE494" s="2268" t="s">
        <v>1696</v>
      </c>
      <c r="AF494" s="2269"/>
      <c r="AG494" s="2254" t="s">
        <v>1697</v>
      </c>
      <c r="AH494" s="2255"/>
      <c r="AI494" s="2255"/>
      <c r="AJ494" s="2255"/>
      <c r="AK494" s="2256"/>
    </row>
    <row r="495" spans="1:120" ht="15.75" customHeight="1">
      <c r="V495" s="2083">
        <v>19</v>
      </c>
      <c r="W495" s="2285" t="str">
        <f>'Input''s from BD(Sales)'!A299</f>
        <v>Telangana</v>
      </c>
      <c r="X495" s="2285"/>
      <c r="Y495" s="2285" t="s">
        <v>151</v>
      </c>
      <c r="Z495" s="2285"/>
      <c r="AA495" s="2255" t="s">
        <v>1698</v>
      </c>
      <c r="AB495" s="2255"/>
      <c r="AC495" s="2271"/>
      <c r="AD495" s="2271"/>
      <c r="AE495" s="2278" t="s">
        <v>1660</v>
      </c>
      <c r="AF495" s="2279"/>
      <c r="AG495" s="2254" t="s">
        <v>1664</v>
      </c>
      <c r="AH495" s="2255"/>
      <c r="AI495" s="2255"/>
      <c r="AJ495" s="2255"/>
      <c r="AK495" s="2256"/>
    </row>
    <row r="496" spans="1:120">
      <c r="I496" s="201"/>
      <c r="J496" s="201"/>
      <c r="V496" s="2083">
        <v>20</v>
      </c>
      <c r="W496" s="2285" t="str">
        <f>'Input''s from BD(Sales)'!A301</f>
        <v>Uttar Pradesh</v>
      </c>
      <c r="X496" s="2285"/>
      <c r="Y496" s="2285" t="s">
        <v>151</v>
      </c>
      <c r="Z496" s="2285"/>
      <c r="AA496" s="2255" t="s">
        <v>1699</v>
      </c>
      <c r="AB496" s="2255"/>
      <c r="AC496" s="2271"/>
      <c r="AD496" s="2271"/>
      <c r="AE496" s="2268" t="s">
        <v>462</v>
      </c>
      <c r="AF496" s="2269"/>
      <c r="AG496" s="2254" t="s">
        <v>1684</v>
      </c>
      <c r="AH496" s="2255"/>
      <c r="AI496" s="2255"/>
      <c r="AJ496" s="2255"/>
      <c r="AK496" s="2256"/>
    </row>
    <row r="497" spans="1:37">
      <c r="G497" s="198"/>
      <c r="V497" s="2083">
        <v>21</v>
      </c>
      <c r="W497" s="2285" t="str">
        <f>'Input''s from BD(Sales)'!A302</f>
        <v>Uttarakhand</v>
      </c>
      <c r="X497" s="2285"/>
      <c r="Y497" s="2285" t="s">
        <v>151</v>
      </c>
      <c r="Z497" s="2285"/>
      <c r="AA497" s="2255" t="s">
        <v>1700</v>
      </c>
      <c r="AB497" s="2255"/>
      <c r="AC497" s="2271"/>
      <c r="AD497" s="2271"/>
      <c r="AE497" s="2268" t="s">
        <v>462</v>
      </c>
      <c r="AF497" s="2269"/>
      <c r="AG497" s="2254" t="s">
        <v>1667</v>
      </c>
      <c r="AH497" s="2255"/>
      <c r="AI497" s="2255"/>
      <c r="AJ497" s="2255"/>
      <c r="AK497" s="2256"/>
    </row>
    <row r="498" spans="1:37" ht="15" thickBot="1">
      <c r="B498" s="198"/>
      <c r="C498" s="202"/>
      <c r="G498" s="198"/>
      <c r="V498" s="2085">
        <v>22</v>
      </c>
      <c r="W498" s="2286" t="str">
        <f>'Input''s from BD(Sales)'!A303</f>
        <v>West Bengal</v>
      </c>
      <c r="X498" s="2286"/>
      <c r="Y498" s="2286" t="s">
        <v>1701</v>
      </c>
      <c r="Z498" s="2286"/>
      <c r="AA498" s="2270"/>
      <c r="AB498" s="2270"/>
      <c r="AC498" s="2282" t="s">
        <v>1702</v>
      </c>
      <c r="AD498" s="2282"/>
      <c r="AE498" s="2266" t="s">
        <v>1703</v>
      </c>
      <c r="AF498" s="2267"/>
      <c r="AG498" s="2263" t="s">
        <v>1704</v>
      </c>
      <c r="AH498" s="2264"/>
      <c r="AI498" s="2264"/>
      <c r="AJ498" s="2264"/>
      <c r="AK498" s="2265"/>
    </row>
    <row r="499" spans="1:37" ht="15" thickBot="1">
      <c r="B499" s="198"/>
      <c r="G499" s="198"/>
    </row>
    <row r="500" spans="1:37" ht="15" thickBot="1">
      <c r="B500" s="198"/>
      <c r="G500" s="198"/>
      <c r="AD500" s="2249" t="s">
        <v>1098</v>
      </c>
      <c r="AE500" s="2250"/>
      <c r="AF500" s="2250"/>
      <c r="AG500" s="2250"/>
      <c r="AH500" s="2250"/>
      <c r="AI500" s="2251"/>
    </row>
    <row r="501" spans="1:37" hidden="1">
      <c r="B501" s="198"/>
      <c r="H501" s="201"/>
      <c r="I501" s="201"/>
      <c r="J501" s="201"/>
    </row>
    <row r="502" spans="1:37" hidden="1">
      <c r="AE502" s="190"/>
      <c r="AF502" s="190"/>
    </row>
    <row r="503" spans="1:37" hidden="1"/>
    <row r="504" spans="1:37" hidden="1"/>
    <row r="505" spans="1:37" hidden="1">
      <c r="A505" s="156" t="s">
        <v>1705</v>
      </c>
    </row>
    <row r="506" spans="1:37" hidden="1">
      <c r="A506" s="156" t="s">
        <v>1706</v>
      </c>
    </row>
    <row r="507" spans="1:37" hidden="1"/>
    <row r="508" spans="1:37" hidden="1"/>
    <row r="509" spans="1:37" hidden="1">
      <c r="A509" s="156" t="s">
        <v>12</v>
      </c>
    </row>
    <row r="510" spans="1:37" hidden="1">
      <c r="A510" s="156" t="s">
        <v>7</v>
      </c>
    </row>
    <row r="511" spans="1:37" hidden="1">
      <c r="A511" s="156" t="s">
        <v>0</v>
      </c>
    </row>
    <row r="512" spans="1:37" hidden="1">
      <c r="A512" s="156" t="s">
        <v>11</v>
      </c>
    </row>
    <row r="513" spans="1:112" hidden="1"/>
    <row r="514" spans="1:112" hidden="1"/>
    <row r="515" spans="1:112" hidden="1">
      <c r="A515" s="156" t="s">
        <v>1707</v>
      </c>
    </row>
    <row r="516" spans="1:112" hidden="1">
      <c r="A516" s="156" t="s">
        <v>1708</v>
      </c>
      <c r="G516" s="156" t="s">
        <v>1709</v>
      </c>
    </row>
    <row r="517" spans="1:112" hidden="1">
      <c r="A517" s="156" t="s">
        <v>1710</v>
      </c>
    </row>
    <row r="518" spans="1:112" hidden="1">
      <c r="A518" s="156" t="s">
        <v>1711</v>
      </c>
      <c r="G518" s="156" t="s">
        <v>1096</v>
      </c>
      <c r="H518" s="1520">
        <v>345</v>
      </c>
    </row>
    <row r="519" spans="1:112" hidden="1">
      <c r="A519" s="156" t="s">
        <v>1712</v>
      </c>
      <c r="G519" s="161" t="s">
        <v>1713</v>
      </c>
      <c r="H519" s="1520">
        <f>32+6</f>
        <v>38</v>
      </c>
    </row>
    <row r="520" spans="1:112" hidden="1">
      <c r="A520" s="156" t="s">
        <v>1714</v>
      </c>
      <c r="G520" s="156" t="s">
        <v>1715</v>
      </c>
      <c r="H520" s="1520">
        <v>20</v>
      </c>
    </row>
    <row r="521" spans="1:112" hidden="1"/>
    <row r="522" spans="1:112" hidden="1">
      <c r="A522" s="156" t="s">
        <v>1716</v>
      </c>
      <c r="B522" s="929">
        <f>'Site Vist fomat  (Design)'!C24</f>
        <v>0</v>
      </c>
      <c r="C522" s="175" t="s">
        <v>1564</v>
      </c>
      <c r="E522" s="156" t="s">
        <v>1717</v>
      </c>
      <c r="F522" s="156">
        <v>3000</v>
      </c>
    </row>
    <row r="523" spans="1:112" hidden="1">
      <c r="A523" s="49"/>
      <c r="E523" s="156" t="s">
        <v>1718</v>
      </c>
      <c r="F523" s="156">
        <v>1850</v>
      </c>
      <c r="H523" s="156">
        <v>928</v>
      </c>
      <c r="I523" s="156">
        <f>H523*3.2</f>
        <v>2969.6000000000004</v>
      </c>
      <c r="J523" s="156" t="s">
        <v>1352</v>
      </c>
    </row>
    <row r="524" spans="1:112" hidden="1">
      <c r="A524" s="176" t="s">
        <v>151</v>
      </c>
      <c r="E524" s="156" t="s">
        <v>1593</v>
      </c>
      <c r="F524" s="156">
        <v>850</v>
      </c>
      <c r="G524" s="156" t="s">
        <v>1310</v>
      </c>
      <c r="H524" s="1520">
        <v>430</v>
      </c>
      <c r="I524" s="203">
        <f>$H$523*H524</f>
        <v>399040</v>
      </c>
    </row>
    <row r="525" spans="1:112" ht="15" hidden="1" thickBot="1">
      <c r="A525" s="176" t="s">
        <v>63</v>
      </c>
      <c r="G525" s="161" t="s">
        <v>1719</v>
      </c>
      <c r="H525" s="1522">
        <v>49</v>
      </c>
      <c r="I525" s="203">
        <f>I523*H525</f>
        <v>145510.40000000002</v>
      </c>
      <c r="J525" s="161"/>
    </row>
    <row r="526" spans="1:112" hidden="1">
      <c r="A526" s="204" t="s">
        <v>1720</v>
      </c>
      <c r="B526" s="205">
        <f>28000+4125</f>
        <v>32125</v>
      </c>
      <c r="G526" s="161" t="s">
        <v>1721</v>
      </c>
      <c r="H526" s="1522">
        <f>17+8</f>
        <v>25</v>
      </c>
      <c r="I526" s="203">
        <f>I523*H526</f>
        <v>74240.000000000015</v>
      </c>
      <c r="J526" s="161"/>
      <c r="K526" s="156">
        <f>H528/55</f>
        <v>50.909090909090907</v>
      </c>
    </row>
    <row r="527" spans="1:112" ht="15" hidden="1" thickBot="1">
      <c r="A527" s="206" t="s">
        <v>7</v>
      </c>
      <c r="B527" s="192">
        <v>0</v>
      </c>
      <c r="G527" s="161"/>
      <c r="H527" s="1522">
        <v>8</v>
      </c>
      <c r="I527" s="207">
        <f>I523*H527</f>
        <v>23756.800000000003</v>
      </c>
      <c r="J527" s="161"/>
      <c r="AC527" s="156">
        <v>1.1000000000000001</v>
      </c>
    </row>
    <row r="528" spans="1:112" s="161" customFormat="1" hidden="1">
      <c r="A528" s="208" t="s">
        <v>1722</v>
      </c>
      <c r="B528" s="209">
        <f>20000*1.15</f>
        <v>23000</v>
      </c>
      <c r="C528" s="175"/>
      <c r="G528" s="156" t="s">
        <v>1723</v>
      </c>
      <c r="H528" s="1520">
        <v>2800</v>
      </c>
      <c r="I528" s="203">
        <f>((I523)/55)</f>
        <v>53.992727272727279</v>
      </c>
      <c r="J528" s="156" t="s">
        <v>1724</v>
      </c>
      <c r="DH528" s="218"/>
    </row>
    <row r="529" spans="1:112" s="161" customFormat="1" hidden="1">
      <c r="A529" s="210" t="s">
        <v>1725</v>
      </c>
      <c r="B529" s="189">
        <f>45000*1.15</f>
        <v>51749.999999999993</v>
      </c>
      <c r="C529" s="175"/>
      <c r="D529" s="208" t="s">
        <v>1722</v>
      </c>
      <c r="E529" s="209">
        <f>20000*1.15</f>
        <v>23000</v>
      </c>
      <c r="I529" s="211">
        <f>SUM(I524:I528)</f>
        <v>642601.19272727275</v>
      </c>
      <c r="DH529" s="218"/>
    </row>
    <row r="530" spans="1:112" s="161" customFormat="1" ht="15" hidden="1" thickBot="1">
      <c r="A530" s="212" t="s">
        <v>7</v>
      </c>
      <c r="B530" s="213">
        <v>0</v>
      </c>
      <c r="C530" s="175"/>
      <c r="D530" s="212" t="s">
        <v>7</v>
      </c>
      <c r="E530" s="213">
        <v>0</v>
      </c>
      <c r="DH530" s="218"/>
    </row>
    <row r="531" spans="1:112" hidden="1">
      <c r="A531" s="214" t="s">
        <v>1726</v>
      </c>
      <c r="B531" s="215">
        <f>3850</f>
        <v>3850</v>
      </c>
    </row>
    <row r="532" spans="1:112" hidden="1">
      <c r="A532" s="216" t="s">
        <v>1727</v>
      </c>
      <c r="B532" s="217">
        <f>10500</f>
        <v>10500</v>
      </c>
      <c r="C532" s="218"/>
      <c r="H532" s="1520" t="s">
        <v>1728</v>
      </c>
      <c r="I532" s="156">
        <f>3808*1.05</f>
        <v>3998.4</v>
      </c>
    </row>
    <row r="533" spans="1:112" ht="15" hidden="1" thickBot="1">
      <c r="A533" s="219" t="s">
        <v>7</v>
      </c>
      <c r="B533" s="189"/>
      <c r="C533" s="218"/>
      <c r="G533" s="156" t="s">
        <v>1729</v>
      </c>
      <c r="H533" s="1523">
        <v>51</v>
      </c>
      <c r="I533" s="220">
        <f>H533*$I$532</f>
        <v>203918.4</v>
      </c>
      <c r="M533" s="190"/>
      <c r="N533" s="190"/>
      <c r="O533" s="190"/>
      <c r="P533" s="190"/>
    </row>
    <row r="534" spans="1:112" ht="15" hidden="1" thickBot="1">
      <c r="A534" s="219"/>
      <c r="B534" s="683">
        <v>0</v>
      </c>
      <c r="C534" s="218"/>
      <c r="D534" s="156">
        <f>2.5/8</f>
        <v>0.3125</v>
      </c>
      <c r="E534" s="198"/>
      <c r="G534" s="156" t="s">
        <v>1730</v>
      </c>
      <c r="H534" s="1523">
        <v>29</v>
      </c>
      <c r="I534" s="220">
        <f>H534*$I$532</f>
        <v>115953.60000000001</v>
      </c>
      <c r="L534" s="187" t="s">
        <v>1731</v>
      </c>
      <c r="M534" s="181">
        <v>24.7</v>
      </c>
    </row>
    <row r="535" spans="1:112" hidden="1">
      <c r="A535" s="49"/>
      <c r="E535" s="198"/>
      <c r="G535" s="156" t="s">
        <v>1732</v>
      </c>
      <c r="H535" s="1523">
        <v>2800</v>
      </c>
      <c r="I535" s="220">
        <f>(I532/33)*H535</f>
        <v>339258.18181818182</v>
      </c>
      <c r="L535" s="187" t="s">
        <v>1733</v>
      </c>
      <c r="M535" s="181">
        <v>1.145</v>
      </c>
    </row>
    <row r="536" spans="1:112" hidden="1">
      <c r="E536" s="198"/>
      <c r="H536" s="1520" t="s">
        <v>216</v>
      </c>
      <c r="I536" s="198">
        <f>SUM(I533:I535)</f>
        <v>659130.18181818188</v>
      </c>
      <c r="L536" s="187" t="s">
        <v>1734</v>
      </c>
      <c r="M536" s="181">
        <v>1</v>
      </c>
    </row>
    <row r="537" spans="1:112" hidden="1">
      <c r="D537" s="156" t="str">
        <f>A531</f>
        <v>1 HP Motor</v>
      </c>
      <c r="E537" s="198">
        <f>830</f>
        <v>830</v>
      </c>
      <c r="I537" s="198">
        <f>I536/1000/1000</f>
        <v>0.65913018181818184</v>
      </c>
      <c r="L537" s="187"/>
      <c r="M537" s="181">
        <f>M534*M535+M536</f>
        <v>29.281500000000001</v>
      </c>
    </row>
    <row r="538" spans="1:112" ht="15.6" hidden="1">
      <c r="A538" s="1785" t="s">
        <v>1735</v>
      </c>
      <c r="B538" s="1786">
        <v>79000</v>
      </c>
      <c r="C538" s="175" t="s">
        <v>1736</v>
      </c>
      <c r="D538" s="156" t="str">
        <f>A532</f>
        <v>1.5HP Motor</v>
      </c>
      <c r="E538" s="198">
        <f>1850</f>
        <v>1850</v>
      </c>
      <c r="G538" s="156" t="s">
        <v>1737</v>
      </c>
      <c r="L538" s="187"/>
      <c r="M538" s="181"/>
    </row>
    <row r="539" spans="1:112" ht="15.6" hidden="1">
      <c r="A539" s="1785" t="s">
        <v>1738</v>
      </c>
      <c r="B539" s="1786">
        <v>150000</v>
      </c>
      <c r="C539" s="175" t="s">
        <v>1739</v>
      </c>
      <c r="D539" s="682" t="s">
        <v>1720</v>
      </c>
      <c r="E539" s="198">
        <f>1850</f>
        <v>1850</v>
      </c>
      <c r="G539" s="156" t="s">
        <v>1740</v>
      </c>
      <c r="L539" s="187"/>
      <c r="M539" s="181"/>
    </row>
    <row r="540" spans="1:112" ht="15.6" hidden="1">
      <c r="A540" s="1785" t="s">
        <v>1741</v>
      </c>
      <c r="B540" s="1786">
        <v>200000</v>
      </c>
      <c r="C540" s="175" t="s">
        <v>1742</v>
      </c>
      <c r="D540" s="684" t="s">
        <v>7</v>
      </c>
      <c r="E540" s="198">
        <v>0</v>
      </c>
      <c r="L540" s="187"/>
      <c r="M540" s="181"/>
    </row>
    <row r="541" spans="1:112" hidden="1">
      <c r="D541" s="198"/>
      <c r="E541" s="198"/>
      <c r="G541" s="156" t="s">
        <v>1743</v>
      </c>
      <c r="L541" s="187"/>
      <c r="M541" s="181"/>
    </row>
    <row r="542" spans="1:112" hidden="1">
      <c r="D542" s="198"/>
      <c r="E542" s="198"/>
      <c r="G542" s="156" t="s">
        <v>1744</v>
      </c>
      <c r="L542" s="187"/>
      <c r="M542" s="181"/>
    </row>
    <row r="543" spans="1:112" hidden="1">
      <c r="D543" s="198"/>
      <c r="E543" s="198"/>
      <c r="G543" s="156" t="s">
        <v>1745</v>
      </c>
      <c r="L543" s="187"/>
      <c r="M543" s="181"/>
    </row>
    <row r="544" spans="1:112" hidden="1">
      <c r="D544" s="198"/>
      <c r="E544" s="198"/>
      <c r="G544" s="156" t="s">
        <v>1746</v>
      </c>
      <c r="L544" s="187"/>
      <c r="M544" s="181"/>
    </row>
    <row r="545" spans="1:27" hidden="1">
      <c r="D545" s="198"/>
      <c r="E545" s="198"/>
      <c r="G545" s="156" t="s">
        <v>1747</v>
      </c>
      <c r="L545" s="187"/>
      <c r="M545" s="181"/>
    </row>
    <row r="546" spans="1:27" hidden="1">
      <c r="D546" s="198">
        <f>1523-B550</f>
        <v>1523</v>
      </c>
      <c r="E546" s="198"/>
      <c r="G546" s="156" t="s">
        <v>1748</v>
      </c>
      <c r="L546" s="187"/>
      <c r="M546" s="181"/>
      <c r="AA546" s="156" t="s">
        <v>1749</v>
      </c>
    </row>
    <row r="547" spans="1:27" hidden="1">
      <c r="A547" s="156" t="s">
        <v>1750</v>
      </c>
      <c r="B547" s="175" t="s">
        <v>1751</v>
      </c>
      <c r="D547" s="198"/>
      <c r="E547" s="198"/>
      <c r="L547" s="187"/>
      <c r="M547" s="181"/>
    </row>
    <row r="548" spans="1:27" hidden="1">
      <c r="A548" s="156" t="s">
        <v>1360</v>
      </c>
      <c r="B548" s="175" t="s">
        <v>1752</v>
      </c>
      <c r="D548" s="198"/>
      <c r="E548" s="198"/>
      <c r="L548" s="187"/>
      <c r="M548" s="181"/>
    </row>
    <row r="549" spans="1:27" hidden="1">
      <c r="E549" s="198"/>
      <c r="L549" s="187" t="s">
        <v>1753</v>
      </c>
      <c r="M549" s="181">
        <v>74</v>
      </c>
    </row>
    <row r="550" spans="1:27" ht="15" hidden="1" thickBot="1">
      <c r="C550" s="175" t="s">
        <v>1754</v>
      </c>
      <c r="E550" s="198"/>
      <c r="L550" s="191"/>
      <c r="M550" s="222">
        <f>M537*M549/100</f>
        <v>21.668310000000002</v>
      </c>
    </row>
    <row r="551" spans="1:27" ht="15.6" hidden="1">
      <c r="A551" s="156" t="s">
        <v>1750</v>
      </c>
      <c r="B551" s="156">
        <v>3000000</v>
      </c>
      <c r="C551" s="175" t="s">
        <v>1751</v>
      </c>
      <c r="G551" s="223" t="s">
        <v>1755</v>
      </c>
      <c r="H551" s="1524" t="s">
        <v>1728</v>
      </c>
      <c r="M551" s="224">
        <f>ROUNDUP(M550,0)</f>
        <v>22</v>
      </c>
    </row>
    <row r="552" spans="1:27" ht="15.75" hidden="1" customHeight="1">
      <c r="A552" s="156" t="s">
        <v>1360</v>
      </c>
      <c r="B552" s="156">
        <v>1000000</v>
      </c>
      <c r="C552" s="175" t="s">
        <v>1752</v>
      </c>
      <c r="G552" s="225" t="s">
        <v>934</v>
      </c>
      <c r="H552" s="1525">
        <v>125</v>
      </c>
    </row>
    <row r="553" spans="1:27" ht="15.6" hidden="1">
      <c r="G553" s="225" t="s">
        <v>935</v>
      </c>
      <c r="H553" s="1525">
        <v>139</v>
      </c>
    </row>
    <row r="554" spans="1:27" ht="16.2" hidden="1" thickBot="1">
      <c r="G554" s="225" t="s">
        <v>936</v>
      </c>
      <c r="H554" s="1525">
        <v>126</v>
      </c>
    </row>
    <row r="555" spans="1:27" ht="16.2" hidden="1" thickBot="1">
      <c r="A555" s="2393" t="s">
        <v>1756</v>
      </c>
      <c r="B555" s="2394"/>
      <c r="G555" s="226" t="s">
        <v>937</v>
      </c>
      <c r="H555" s="1526">
        <f>5+78</f>
        <v>83</v>
      </c>
      <c r="AA555" s="190"/>
    </row>
    <row r="556" spans="1:27" ht="15" hidden="1" customHeight="1">
      <c r="A556" s="184" t="s">
        <v>1247</v>
      </c>
      <c r="B556" s="227">
        <v>58</v>
      </c>
    </row>
    <row r="557" spans="1:27" ht="15.75" hidden="1" customHeight="1" thickBot="1">
      <c r="A557" s="187" t="s">
        <v>1757</v>
      </c>
      <c r="B557" s="228">
        <f>42*0</f>
        <v>0</v>
      </c>
      <c r="AA557" s="190"/>
    </row>
    <row r="558" spans="1:27" ht="16.2" hidden="1" thickBot="1">
      <c r="A558" s="187" t="s">
        <v>1758</v>
      </c>
      <c r="B558" s="228">
        <f>36.8*0</f>
        <v>0</v>
      </c>
      <c r="G558" s="679" t="s">
        <v>1759</v>
      </c>
      <c r="H558" s="1527" t="s">
        <v>1728</v>
      </c>
    </row>
    <row r="559" spans="1:27" ht="16.2" hidden="1" thickBot="1">
      <c r="A559" s="191" t="s">
        <v>1760</v>
      </c>
      <c r="B559" s="229">
        <v>70</v>
      </c>
      <c r="G559" s="922" t="s">
        <v>1761</v>
      </c>
      <c r="H559" s="1528">
        <v>59</v>
      </c>
      <c r="I559" s="916" t="s">
        <v>1720</v>
      </c>
    </row>
    <row r="560" spans="1:27" ht="16.2" hidden="1" thickBot="1">
      <c r="G560" s="923" t="s">
        <v>1201</v>
      </c>
      <c r="H560" s="1529">
        <v>70</v>
      </c>
    </row>
    <row r="561" spans="1:112" ht="16.2" hidden="1" thickBot="1">
      <c r="A561" s="2393" t="s">
        <v>1762</v>
      </c>
      <c r="B561" s="2394"/>
      <c r="G561" s="1636" t="s">
        <v>1763</v>
      </c>
      <c r="H561" s="1637">
        <v>123</v>
      </c>
      <c r="AB561" s="2389" t="s">
        <v>1764</v>
      </c>
      <c r="AC561" s="2390"/>
      <c r="AD561" s="2378" t="s">
        <v>1765</v>
      </c>
      <c r="AE561" s="2379"/>
      <c r="AF561" s="2379"/>
      <c r="AG561" s="2379"/>
      <c r="AH561" s="2380"/>
    </row>
    <row r="562" spans="1:112" ht="16.5" hidden="1" customHeight="1" thickBot="1">
      <c r="A562" s="221" t="s">
        <v>1247</v>
      </c>
      <c r="B562" s="230">
        <v>78</v>
      </c>
      <c r="G562" s="187" t="s">
        <v>1766</v>
      </c>
      <c r="H562" s="2029">
        <v>179</v>
      </c>
      <c r="AB562" s="2391"/>
      <c r="AC562" s="2392"/>
      <c r="AD562" s="193" t="s">
        <v>1767</v>
      </c>
      <c r="AE562" s="193" t="s">
        <v>1768</v>
      </c>
      <c r="AF562" s="193" t="s">
        <v>1769</v>
      </c>
      <c r="AG562" s="193" t="s">
        <v>1770</v>
      </c>
      <c r="AH562" s="194" t="s">
        <v>1771</v>
      </c>
    </row>
    <row r="563" spans="1:112" ht="15.75" hidden="1" customHeight="1" thickBot="1">
      <c r="A563" s="187" t="s">
        <v>1757</v>
      </c>
      <c r="B563" s="230">
        <f>58*0</f>
        <v>0</v>
      </c>
      <c r="G563" s="924" t="s">
        <v>1772</v>
      </c>
      <c r="H563" s="1530">
        <v>155</v>
      </c>
      <c r="AB563" s="2404" t="s">
        <v>1773</v>
      </c>
      <c r="AC563" s="729" t="s">
        <v>1774</v>
      </c>
      <c r="AD563" s="185">
        <v>1550</v>
      </c>
      <c r="AE563" s="185">
        <v>1450</v>
      </c>
      <c r="AF563" s="185">
        <f>1400</f>
        <v>1400</v>
      </c>
      <c r="AG563" s="185">
        <v>1300</v>
      </c>
      <c r="AH563" s="186">
        <v>1250</v>
      </c>
    </row>
    <row r="564" spans="1:112" ht="15" hidden="1" customHeight="1">
      <c r="A564" s="187" t="s">
        <v>1758</v>
      </c>
      <c r="B564" s="230">
        <f>52*0</f>
        <v>0</v>
      </c>
      <c r="H564" s="221" t="s">
        <v>1726</v>
      </c>
      <c r="I564" s="680">
        <v>80</v>
      </c>
      <c r="AB564" s="2405"/>
      <c r="AC564" s="162" t="s">
        <v>1775</v>
      </c>
      <c r="AD564" s="188">
        <v>1850</v>
      </c>
      <c r="AE564" s="188">
        <f t="shared" ref="AE564" si="69">AD564-(AD564*5%)</f>
        <v>1757.5</v>
      </c>
      <c r="AF564" s="188">
        <f t="shared" ref="AF564:AH564" si="70">AE564-(AE564*5%)</f>
        <v>1669.625</v>
      </c>
      <c r="AG564" s="188">
        <f t="shared" si="70"/>
        <v>1586.14375</v>
      </c>
      <c r="AH564" s="195">
        <f t="shared" si="70"/>
        <v>1506.8365624999999</v>
      </c>
    </row>
    <row r="565" spans="1:112" ht="15.75" hidden="1" customHeight="1" thickBot="1">
      <c r="A565" s="191" t="s">
        <v>1760</v>
      </c>
      <c r="B565" s="229">
        <v>85</v>
      </c>
      <c r="F565" s="198">
        <v>1.53</v>
      </c>
      <c r="H565" s="187" t="s">
        <v>1727</v>
      </c>
      <c r="I565" s="681">
        <v>170</v>
      </c>
      <c r="AB565" s="2405"/>
      <c r="AC565" s="162" t="s">
        <v>411</v>
      </c>
      <c r="AD565" s="188">
        <v>3500</v>
      </c>
      <c r="AE565" s="188">
        <v>3250</v>
      </c>
      <c r="AF565" s="188">
        <v>3100</v>
      </c>
      <c r="AG565" s="188">
        <v>2900</v>
      </c>
      <c r="AH565" s="195">
        <v>2750</v>
      </c>
    </row>
    <row r="566" spans="1:112" ht="15.75" hidden="1" customHeight="1">
      <c r="D566" s="156">
        <f>'Input''s from Initial Design'!AN93</f>
        <v>2</v>
      </c>
      <c r="F566" s="198">
        <v>1.4449999999999998</v>
      </c>
      <c r="G566" s="198"/>
      <c r="H566" s="684" t="s">
        <v>7</v>
      </c>
      <c r="I566" s="681">
        <v>170</v>
      </c>
      <c r="AB566" s="2405"/>
      <c r="AC566" s="162" t="s">
        <v>640</v>
      </c>
      <c r="AD566" s="188">
        <v>6000</v>
      </c>
      <c r="AE566" s="188">
        <v>6000</v>
      </c>
      <c r="AF566" s="188">
        <v>5500</v>
      </c>
      <c r="AG566" s="188">
        <v>5500</v>
      </c>
      <c r="AH566" s="195">
        <v>5300</v>
      </c>
    </row>
    <row r="567" spans="1:112" ht="15.6" hidden="1">
      <c r="A567" s="935">
        <v>1350</v>
      </c>
      <c r="B567" s="935" t="s">
        <v>1776</v>
      </c>
      <c r="F567" s="198">
        <v>1.19</v>
      </c>
      <c r="H567" s="684"/>
      <c r="I567" s="683">
        <v>0</v>
      </c>
      <c r="AB567" s="2405"/>
      <c r="AC567" s="156" t="s">
        <v>1777</v>
      </c>
      <c r="AD567" s="188">
        <v>6400</v>
      </c>
      <c r="AE567" s="188">
        <v>6200</v>
      </c>
      <c r="AF567" s="188">
        <v>6000</v>
      </c>
      <c r="AG567" s="188">
        <v>6000</v>
      </c>
      <c r="AH567" s="195">
        <v>6000</v>
      </c>
    </row>
    <row r="568" spans="1:112" ht="15.75" hidden="1" customHeight="1">
      <c r="A568" s="935">
        <v>970</v>
      </c>
      <c r="B568" s="935" t="s">
        <v>55</v>
      </c>
      <c r="F568" s="198">
        <v>0.76500000000000001</v>
      </c>
      <c r="G568" s="685">
        <v>80</v>
      </c>
      <c r="H568" s="1531" t="s">
        <v>1281</v>
      </c>
      <c r="AB568" s="2405"/>
      <c r="AC568" s="162" t="s">
        <v>1</v>
      </c>
      <c r="AD568" s="188">
        <v>2500</v>
      </c>
      <c r="AE568" s="188">
        <v>2450</v>
      </c>
      <c r="AF568" s="188">
        <v>2400</v>
      </c>
      <c r="AG568" s="188">
        <v>2300</v>
      </c>
      <c r="AH568" s="195">
        <v>2250</v>
      </c>
    </row>
    <row r="569" spans="1:112" ht="15.6" hidden="1">
      <c r="A569" s="231"/>
      <c r="B569" s="231"/>
      <c r="C569" s="231"/>
      <c r="F569" s="198">
        <v>0.59499999999999997</v>
      </c>
      <c r="G569" s="686">
        <v>170</v>
      </c>
      <c r="H569" s="1532" t="s">
        <v>1282</v>
      </c>
      <c r="AA569"/>
      <c r="AB569" s="2405"/>
      <c r="AC569" s="162" t="s">
        <v>622</v>
      </c>
      <c r="AD569" s="188">
        <v>6400</v>
      </c>
      <c r="AE569" s="188">
        <v>6000</v>
      </c>
      <c r="AF569" s="188">
        <v>5800</v>
      </c>
      <c r="AG569" s="188">
        <v>5600</v>
      </c>
      <c r="AH569" s="195">
        <v>5500</v>
      </c>
    </row>
    <row r="570" spans="1:112" hidden="1">
      <c r="F570" s="198">
        <v>0.55249999999999999</v>
      </c>
      <c r="G570" s="686">
        <v>170</v>
      </c>
      <c r="H570" s="1532" t="s">
        <v>1282</v>
      </c>
      <c r="AB570" s="2405"/>
      <c r="AC570" s="162" t="s">
        <v>622</v>
      </c>
      <c r="AD570" s="188">
        <v>8000</v>
      </c>
      <c r="AE570" s="188">
        <v>7800</v>
      </c>
      <c r="AF570" s="188">
        <v>7500</v>
      </c>
      <c r="AG570" s="188">
        <v>7000</v>
      </c>
      <c r="AH570" s="195">
        <v>6700</v>
      </c>
    </row>
    <row r="571" spans="1:112" hidden="1">
      <c r="A571" s="175"/>
      <c r="B571" s="175"/>
      <c r="G571" s="687">
        <v>0</v>
      </c>
      <c r="H571" s="1533" t="s">
        <v>7</v>
      </c>
      <c r="AB571" s="2406"/>
      <c r="AC571" s="730" t="s">
        <v>387</v>
      </c>
      <c r="AD571" s="196">
        <v>2800</v>
      </c>
      <c r="AE571" s="196">
        <f>AD571-(AD571*5%)</f>
        <v>2660</v>
      </c>
      <c r="AF571" s="196">
        <f>AE571-(AE571*5%)</f>
        <v>2527</v>
      </c>
      <c r="AG571" s="196">
        <f>AF571-(AF571*5%)</f>
        <v>2400.65</v>
      </c>
      <c r="AH571" s="197">
        <f>AG571-(AG571*5%)</f>
        <v>2280.6175000000003</v>
      </c>
    </row>
    <row r="572" spans="1:112" ht="15" hidden="1" thickBot="1">
      <c r="A572" s="175" t="s">
        <v>1778</v>
      </c>
      <c r="B572" s="175">
        <v>1200</v>
      </c>
    </row>
    <row r="573" spans="1:112" ht="16.2" hidden="1" thickBot="1">
      <c r="A573" s="175" t="s">
        <v>1347</v>
      </c>
      <c r="B573" s="175">
        <v>1100</v>
      </c>
      <c r="F573" s="2229" t="s">
        <v>1779</v>
      </c>
      <c r="G573" s="2230"/>
      <c r="H573" s="198">
        <f>830</f>
        <v>830</v>
      </c>
      <c r="I573" s="156" t="s">
        <v>1414</v>
      </c>
    </row>
    <row r="574" spans="1:112" ht="15.6" hidden="1" customHeight="1" thickBot="1">
      <c r="A574" s="175" t="s">
        <v>1780</v>
      </c>
      <c r="B574" s="175">
        <v>1000</v>
      </c>
      <c r="F574" s="232" t="s">
        <v>1781</v>
      </c>
      <c r="G574" s="233" t="s">
        <v>1782</v>
      </c>
      <c r="H574" s="198">
        <f>1850</f>
        <v>1850</v>
      </c>
      <c r="I574" s="156" t="s">
        <v>1417</v>
      </c>
    </row>
    <row r="575" spans="1:112" ht="15.6" hidden="1" customHeight="1" thickBot="1">
      <c r="A575" s="175"/>
      <c r="B575" s="175"/>
      <c r="F575" s="232" t="s">
        <v>1783</v>
      </c>
      <c r="G575" s="234" t="s">
        <v>1784</v>
      </c>
      <c r="H575" s="198">
        <f>1850</f>
        <v>1850</v>
      </c>
      <c r="I575" s="156" t="s">
        <v>1785</v>
      </c>
      <c r="DF575" s="175"/>
      <c r="DH575" s="156"/>
    </row>
    <row r="576" spans="1:112" hidden="1">
      <c r="A576" s="175"/>
      <c r="B576" s="175"/>
      <c r="F576" s="235">
        <v>100</v>
      </c>
      <c r="G576" s="236">
        <f>153000/2</f>
        <v>76500</v>
      </c>
      <c r="H576" s="198">
        <v>0</v>
      </c>
      <c r="I576" s="156" t="s">
        <v>7</v>
      </c>
      <c r="DF576" s="175"/>
      <c r="DH576" s="156"/>
    </row>
    <row r="577" spans="1:110" s="156" customFormat="1" ht="15" hidden="1" thickBot="1">
      <c r="C577" s="175"/>
      <c r="F577" s="237">
        <v>500</v>
      </c>
      <c r="G577" s="238">
        <f>722500/1.35</f>
        <v>535185.18518518517</v>
      </c>
      <c r="DF577" s="175"/>
    </row>
    <row r="578" spans="1:110" s="156" customFormat="1" hidden="1">
      <c r="A578" s="239" t="s">
        <v>1294</v>
      </c>
      <c r="B578" s="240">
        <v>1400</v>
      </c>
      <c r="C578" s="175"/>
      <c r="F578" s="237">
        <v>1000</v>
      </c>
      <c r="G578" s="238">
        <f>1190000/1.35</f>
        <v>881481.48148148146</v>
      </c>
      <c r="DF578" s="175"/>
    </row>
    <row r="579" spans="1:110" s="156" customFormat="1" hidden="1">
      <c r="A579" s="241" t="s">
        <v>1786</v>
      </c>
      <c r="B579" s="242">
        <v>4800</v>
      </c>
      <c r="C579" s="175"/>
      <c r="F579" s="237">
        <v>2500</v>
      </c>
      <c r="G579" s="238">
        <f>1912500/2</f>
        <v>956250</v>
      </c>
      <c r="DF579" s="175"/>
    </row>
    <row r="580" spans="1:110" s="156" customFormat="1" ht="15" hidden="1" thickBot="1">
      <c r="A580" s="191"/>
      <c r="B580" s="178"/>
      <c r="C580" s="175"/>
      <c r="F580" s="237">
        <v>5000</v>
      </c>
      <c r="G580" s="238">
        <f>2975000/2</f>
        <v>1487500</v>
      </c>
      <c r="DF580" s="175"/>
    </row>
    <row r="581" spans="1:110" s="156" customFormat="1" ht="15" hidden="1" thickBot="1">
      <c r="B581" s="176"/>
      <c r="C581" s="175"/>
      <c r="F581" s="243">
        <v>10000</v>
      </c>
      <c r="G581" s="244">
        <f>5525000/2</f>
        <v>2762500</v>
      </c>
      <c r="DF581" s="175"/>
    </row>
    <row r="582" spans="1:110" s="156" customFormat="1" ht="15" hidden="1" thickBot="1">
      <c r="B582" s="176"/>
      <c r="C582" s="175"/>
      <c r="G582" s="176"/>
      <c r="DF582" s="175"/>
    </row>
    <row r="583" spans="1:110" s="156" customFormat="1" ht="15" hidden="1" thickBot="1">
      <c r="A583" s="245" t="s">
        <v>1787</v>
      </c>
      <c r="B583" s="246"/>
      <c r="C583" s="175"/>
      <c r="DF583" s="175"/>
    </row>
    <row r="584" spans="1:110" s="156" customFormat="1" ht="15" hidden="1" thickBot="1">
      <c r="A584" s="221" t="s">
        <v>1788</v>
      </c>
      <c r="B584" s="247">
        <v>22000</v>
      </c>
      <c r="C584" s="175" t="s">
        <v>1789</v>
      </c>
      <c r="G584" s="248" t="s">
        <v>1310</v>
      </c>
      <c r="H584" s="1534" t="s">
        <v>1728</v>
      </c>
      <c r="Q584" s="159"/>
      <c r="DF584" s="175"/>
    </row>
    <row r="585" spans="1:110" s="156" customFormat="1" hidden="1">
      <c r="A585" s="187" t="s">
        <v>1790</v>
      </c>
      <c r="B585" s="249">
        <f>108500+13500</f>
        <v>122000</v>
      </c>
      <c r="C585" s="175" t="s">
        <v>1791</v>
      </c>
      <c r="G585" s="221" t="s">
        <v>1792</v>
      </c>
      <c r="H585" s="247">
        <v>420</v>
      </c>
      <c r="Q585" s="159"/>
      <c r="DF585" s="175"/>
    </row>
    <row r="586" spans="1:110" s="156" customFormat="1" hidden="1">
      <c r="A586" s="187" t="s">
        <v>1793</v>
      </c>
      <c r="B586" s="249">
        <f>258623+13500</f>
        <v>272123</v>
      </c>
      <c r="C586" s="175" t="s">
        <v>1791</v>
      </c>
      <c r="G586" s="221" t="s">
        <v>1794</v>
      </c>
      <c r="H586" s="247">
        <v>900</v>
      </c>
      <c r="Q586" s="159"/>
      <c r="DF586" s="175"/>
    </row>
    <row r="587" spans="1:110" s="156" customFormat="1" ht="15" hidden="1" thickBot="1">
      <c r="A587" s="191" t="s">
        <v>1795</v>
      </c>
      <c r="B587" s="250">
        <f>2*(255256)+13500</f>
        <v>524012</v>
      </c>
      <c r="C587" s="175" t="s">
        <v>1791</v>
      </c>
      <c r="G587" s="187" t="s">
        <v>1796</v>
      </c>
      <c r="H587" s="249">
        <v>0</v>
      </c>
      <c r="Q587" s="159"/>
      <c r="DF587" s="175"/>
    </row>
    <row r="588" spans="1:110" s="156" customFormat="1" hidden="1">
      <c r="B588" s="919"/>
      <c r="C588" s="175"/>
      <c r="G588" s="187" t="s">
        <v>1797</v>
      </c>
      <c r="H588" s="249">
        <v>0</v>
      </c>
      <c r="Q588" s="159"/>
      <c r="DF588" s="175"/>
    </row>
    <row r="589" spans="1:110" s="156" customFormat="1" hidden="1">
      <c r="B589" s="919"/>
      <c r="C589" s="175"/>
      <c r="G589" s="187" t="s">
        <v>1798</v>
      </c>
      <c r="H589" s="249">
        <v>0</v>
      </c>
      <c r="Q589" s="159"/>
      <c r="DF589" s="175"/>
    </row>
    <row r="590" spans="1:110" s="156" customFormat="1" ht="15" hidden="1" thickBot="1">
      <c r="B590" s="919"/>
      <c r="C590" s="175"/>
      <c r="G590" s="191" t="s">
        <v>1799</v>
      </c>
      <c r="H590" s="250">
        <v>0</v>
      </c>
      <c r="Q590" s="159"/>
      <c r="DF590" s="175"/>
    </row>
    <row r="591" spans="1:110" s="156" customFormat="1" hidden="1">
      <c r="A591" s="1428" t="s">
        <v>1800</v>
      </c>
      <c r="B591" s="156">
        <v>2500</v>
      </c>
      <c r="C591" s="175"/>
      <c r="H591" s="1520"/>
      <c r="Q591" s="159"/>
      <c r="DF591" s="175"/>
    </row>
    <row r="592" spans="1:110" s="156" customFormat="1" hidden="1">
      <c r="A592" s="1428" t="s">
        <v>1801</v>
      </c>
      <c r="B592" s="156">
        <v>3650</v>
      </c>
      <c r="C592" s="175"/>
      <c r="G592" s="248" t="s">
        <v>1802</v>
      </c>
      <c r="H592" s="1534" t="s">
        <v>1728</v>
      </c>
      <c r="DF592" s="175"/>
    </row>
    <row r="593" spans="1:112" hidden="1">
      <c r="G593" s="221" t="s">
        <v>1792</v>
      </c>
      <c r="H593" s="247">
        <v>420</v>
      </c>
      <c r="DF593" s="175"/>
      <c r="DH593" s="156"/>
    </row>
    <row r="594" spans="1:112" hidden="1">
      <c r="A594" s="156" t="s">
        <v>1803</v>
      </c>
      <c r="B594" s="156">
        <v>2500</v>
      </c>
      <c r="G594" s="221" t="s">
        <v>1794</v>
      </c>
      <c r="H594" s="247">
        <v>900</v>
      </c>
      <c r="DF594" s="175"/>
      <c r="DH594" s="156"/>
    </row>
    <row r="595" spans="1:112" hidden="1">
      <c r="A595" s="156" t="s">
        <v>669</v>
      </c>
      <c r="B595" s="156">
        <v>3650</v>
      </c>
      <c r="G595" s="187" t="s">
        <v>1796</v>
      </c>
      <c r="H595" s="249">
        <v>0</v>
      </c>
      <c r="DF595" s="175"/>
      <c r="DH595" s="156"/>
    </row>
    <row r="596" spans="1:112" hidden="1">
      <c r="G596" s="187" t="s">
        <v>1797</v>
      </c>
      <c r="H596" s="249">
        <v>0</v>
      </c>
      <c r="DF596" s="175"/>
      <c r="DH596" s="156"/>
    </row>
    <row r="597" spans="1:112" hidden="1">
      <c r="G597" s="187" t="s">
        <v>1798</v>
      </c>
      <c r="H597" s="249">
        <v>0</v>
      </c>
      <c r="DF597" s="175"/>
      <c r="DH597" s="156"/>
    </row>
    <row r="598" spans="1:112" ht="15" hidden="1" thickBot="1">
      <c r="G598" s="191" t="s">
        <v>1799</v>
      </c>
      <c r="H598" s="250">
        <v>0</v>
      </c>
    </row>
    <row r="599" spans="1:112" ht="15" hidden="1" thickBot="1"/>
    <row r="600" spans="1:112" ht="15" hidden="1" thickBot="1">
      <c r="C600" s="251"/>
      <c r="G600" s="248" t="s">
        <v>1804</v>
      </c>
      <c r="H600" s="1534" t="s">
        <v>1728</v>
      </c>
    </row>
    <row r="601" spans="1:112" hidden="1">
      <c r="C601" s="251"/>
      <c r="G601" s="221" t="s">
        <v>57</v>
      </c>
      <c r="H601" s="1535">
        <f>(H585/2)*2.2</f>
        <v>462.00000000000006</v>
      </c>
    </row>
    <row r="602" spans="1:112" ht="15" hidden="1" thickBot="1">
      <c r="C602" s="251"/>
      <c r="G602" s="187" t="s">
        <v>132</v>
      </c>
      <c r="H602" s="1536">
        <f>(H587/2)*2.2</f>
        <v>0</v>
      </c>
    </row>
    <row r="603" spans="1:112" ht="16.2" hidden="1" thickBot="1">
      <c r="A603" s="2182" t="s">
        <v>941</v>
      </c>
      <c r="B603" s="2183"/>
      <c r="C603" s="2183"/>
      <c r="D603" s="2184"/>
      <c r="G603" s="191" t="s">
        <v>55</v>
      </c>
      <c r="H603" s="1537">
        <f>(H590/2)*2.2</f>
        <v>0</v>
      </c>
    </row>
    <row r="604" spans="1:112" ht="16.2" hidden="1" thickBot="1">
      <c r="A604" s="2225" t="s">
        <v>942</v>
      </c>
      <c r="B604" s="2226"/>
      <c r="C604" s="2227" t="str">
        <f>'Input''s from BD(Sales)'!B10</f>
        <v>Maharashtra</v>
      </c>
      <c r="D604" s="2228"/>
    </row>
    <row r="605" spans="1:112" ht="16.2" hidden="1" thickBot="1">
      <c r="A605" s="2213" t="s">
        <v>973</v>
      </c>
      <c r="B605" s="2214"/>
      <c r="C605" s="2063" t="s">
        <v>1805</v>
      </c>
      <c r="D605" s="2064" t="s">
        <v>1806</v>
      </c>
      <c r="G605" s="918" t="s">
        <v>1807</v>
      </c>
      <c r="H605" s="1538" t="s">
        <v>1728</v>
      </c>
    </row>
    <row r="606" spans="1:112" ht="16.2" hidden="1" thickBot="1">
      <c r="A606" s="2211" t="s">
        <v>943</v>
      </c>
      <c r="B606" s="2212"/>
      <c r="C606" s="2065">
        <f>'Input''s from Initial Design'!G55+'Site Vist fomat  (Design)'!C24</f>
        <v>400.52</v>
      </c>
      <c r="D606" s="2066">
        <f>'Input''s from Initial Design'!R55+'Site Vist fomat  (Design)'!C24</f>
        <v>300</v>
      </c>
      <c r="G606" s="184" t="s">
        <v>1808</v>
      </c>
      <c r="H606" s="1539">
        <f>215*1.07</f>
        <v>230.05</v>
      </c>
    </row>
    <row r="607" spans="1:112" hidden="1">
      <c r="C607" s="251"/>
      <c r="G607" s="221" t="s">
        <v>1809</v>
      </c>
      <c r="H607" s="247">
        <f>317*1.07</f>
        <v>339.19</v>
      </c>
    </row>
    <row r="608" spans="1:112" hidden="1">
      <c r="C608" s="251"/>
      <c r="G608" s="187" t="s">
        <v>1810</v>
      </c>
      <c r="H608" s="247">
        <f>264*1.07</f>
        <v>282.48</v>
      </c>
    </row>
    <row r="609" spans="1:8" hidden="1">
      <c r="C609" s="251"/>
      <c r="G609" s="917" t="s">
        <v>1811</v>
      </c>
      <c r="H609" s="247">
        <f>342*1.07</f>
        <v>365.94</v>
      </c>
    </row>
    <row r="610" spans="1:8" hidden="1">
      <c r="C610" s="251"/>
      <c r="G610" s="917" t="s">
        <v>1812</v>
      </c>
      <c r="H610" s="247">
        <f>404*1.07</f>
        <v>432.28000000000003</v>
      </c>
    </row>
    <row r="611" spans="1:8" ht="15" hidden="1" thickBot="1">
      <c r="C611" s="251"/>
      <c r="G611" s="191" t="s">
        <v>1813</v>
      </c>
      <c r="H611" s="1540">
        <f>564*1.07</f>
        <v>603.48</v>
      </c>
    </row>
    <row r="612" spans="1:8" hidden="1">
      <c r="C612" s="251"/>
    </row>
    <row r="613" spans="1:8" hidden="1">
      <c r="C613" s="251"/>
    </row>
    <row r="614" spans="1:8" hidden="1">
      <c r="C614" s="251"/>
    </row>
    <row r="615" spans="1:8" hidden="1">
      <c r="C615" s="251"/>
    </row>
    <row r="616" spans="1:8" hidden="1">
      <c r="C616" s="251"/>
      <c r="D616" s="198"/>
    </row>
    <row r="617" spans="1:8" hidden="1">
      <c r="C617" s="251"/>
    </row>
    <row r="618" spans="1:8" hidden="1">
      <c r="C618" s="251"/>
    </row>
    <row r="619" spans="1:8" hidden="1">
      <c r="C619" s="251"/>
    </row>
    <row r="620" spans="1:8" hidden="1">
      <c r="C620" s="251"/>
    </row>
    <row r="621" spans="1:8" hidden="1">
      <c r="C621" s="251"/>
    </row>
    <row r="622" spans="1:8" hidden="1"/>
    <row r="623" spans="1:8" ht="15" hidden="1" thickBot="1"/>
    <row r="624" spans="1:8" ht="16.2" hidden="1" thickBot="1">
      <c r="A624" s="255" t="s">
        <v>1814</v>
      </c>
      <c r="B624" s="256" t="s">
        <v>1815</v>
      </c>
    </row>
    <row r="625" spans="1:8" hidden="1">
      <c r="A625" s="184" t="s">
        <v>12</v>
      </c>
      <c r="B625" s="257"/>
    </row>
    <row r="626" spans="1:8" hidden="1">
      <c r="A626" s="187" t="s">
        <v>0</v>
      </c>
      <c r="B626" s="258">
        <v>0</v>
      </c>
    </row>
    <row r="627" spans="1:8" hidden="1">
      <c r="A627" s="187" t="s">
        <v>1068</v>
      </c>
      <c r="B627" s="259">
        <v>0</v>
      </c>
    </row>
    <row r="628" spans="1:8" hidden="1">
      <c r="A628" s="187" t="s">
        <v>1816</v>
      </c>
      <c r="B628" s="177" t="s">
        <v>132</v>
      </c>
      <c r="C628" s="721">
        <f>308*1.08</f>
        <v>332.64000000000004</v>
      </c>
      <c r="H628" s="156"/>
    </row>
    <row r="629" spans="1:8" hidden="1">
      <c r="A629" s="187" t="s">
        <v>1816</v>
      </c>
      <c r="B629" s="177" t="s">
        <v>55</v>
      </c>
      <c r="C629" s="721">
        <f>401*1.08</f>
        <v>433.08000000000004</v>
      </c>
      <c r="H629" s="156"/>
    </row>
    <row r="630" spans="1:8" hidden="1">
      <c r="A630" s="187" t="s">
        <v>1816</v>
      </c>
      <c r="B630" s="177">
        <f>'Input''s from BD(Sales)'!D209</f>
        <v>0</v>
      </c>
      <c r="C630" s="721">
        <f>408*1.08</f>
        <v>440.64000000000004</v>
      </c>
      <c r="H630" s="156"/>
    </row>
    <row r="631" spans="1:8" ht="15" hidden="1" thickBot="1">
      <c r="A631" s="191" t="s">
        <v>1817</v>
      </c>
      <c r="B631" s="177" t="s">
        <v>133</v>
      </c>
      <c r="C631" s="721">
        <v>0</v>
      </c>
    </row>
    <row r="632" spans="1:8" hidden="1">
      <c r="A632" s="187" t="s">
        <v>1818</v>
      </c>
      <c r="B632" s="177" t="s">
        <v>132</v>
      </c>
      <c r="C632" s="721">
        <f>324*1.08</f>
        <v>349.92</v>
      </c>
      <c r="H632" s="156"/>
    </row>
    <row r="633" spans="1:8" hidden="1">
      <c r="A633" s="187" t="s">
        <v>1818</v>
      </c>
      <c r="B633" s="177" t="s">
        <v>55</v>
      </c>
      <c r="C633" s="721">
        <f>423*1.08</f>
        <v>456.84000000000003</v>
      </c>
    </row>
    <row r="634" spans="1:8" hidden="1">
      <c r="A634" s="187" t="s">
        <v>1818</v>
      </c>
      <c r="B634" s="177">
        <f>B630</f>
        <v>0</v>
      </c>
      <c r="C634" s="721">
        <f>487*1.08</f>
        <v>525.96</v>
      </c>
    </row>
    <row r="635" spans="1:8" ht="15" hidden="1" thickBot="1">
      <c r="A635" s="191" t="s">
        <v>1817</v>
      </c>
      <c r="B635" s="177" t="s">
        <v>133</v>
      </c>
      <c r="C635" s="721">
        <v>0</v>
      </c>
    </row>
    <row r="636" spans="1:8" hidden="1">
      <c r="A636" s="187" t="s">
        <v>1819</v>
      </c>
      <c r="B636" s="177" t="s">
        <v>132</v>
      </c>
      <c r="C636" s="721">
        <f>341*1.08</f>
        <v>368.28000000000003</v>
      </c>
    </row>
    <row r="637" spans="1:8" hidden="1">
      <c r="A637" s="187" t="s">
        <v>1819</v>
      </c>
      <c r="B637" s="177" t="s">
        <v>55</v>
      </c>
      <c r="C637" s="721">
        <f>445*1.08</f>
        <v>480.6</v>
      </c>
      <c r="G637" s="156">
        <f>41655+1800+1800+200</f>
        <v>45455</v>
      </c>
      <c r="H637" s="1520">
        <f>G637*12</f>
        <v>545460</v>
      </c>
    </row>
    <row r="638" spans="1:8" hidden="1">
      <c r="A638" s="187" t="s">
        <v>1819</v>
      </c>
      <c r="B638" s="177">
        <f>B634</f>
        <v>0</v>
      </c>
      <c r="C638" s="721">
        <f>567*1.08</f>
        <v>612.36</v>
      </c>
      <c r="G638" s="156">
        <f>41655+1800+1800+200</f>
        <v>45455</v>
      </c>
      <c r="H638" s="1520">
        <f>G638*12</f>
        <v>545460</v>
      </c>
    </row>
    <row r="639" spans="1:8" ht="15" hidden="1" thickBot="1">
      <c r="A639" s="191" t="s">
        <v>1817</v>
      </c>
      <c r="B639" s="177" t="s">
        <v>133</v>
      </c>
      <c r="C639" s="721">
        <v>0</v>
      </c>
    </row>
    <row r="640" spans="1:8" hidden="1">
      <c r="A640" s="187" t="s">
        <v>1820</v>
      </c>
      <c r="B640" s="177" t="s">
        <v>132</v>
      </c>
      <c r="C640" s="721">
        <f>374*1.08</f>
        <v>403.92</v>
      </c>
    </row>
    <row r="641" spans="1:7" hidden="1">
      <c r="A641" s="187" t="s">
        <v>1820</v>
      </c>
      <c r="B641" s="177" t="s">
        <v>55</v>
      </c>
      <c r="C641" s="721">
        <f>487*1.08</f>
        <v>525.96</v>
      </c>
    </row>
    <row r="642" spans="1:7" hidden="1">
      <c r="A642" s="187" t="s">
        <v>1820</v>
      </c>
      <c r="B642" s="177">
        <f>B638</f>
        <v>0</v>
      </c>
      <c r="C642" s="721">
        <f>725*1.08</f>
        <v>783</v>
      </c>
    </row>
    <row r="643" spans="1:7" ht="15" hidden="1" thickBot="1">
      <c r="A643" s="191" t="s">
        <v>1817</v>
      </c>
      <c r="B643" s="177" t="s">
        <v>133</v>
      </c>
      <c r="C643" s="721">
        <v>0</v>
      </c>
    </row>
    <row r="644" spans="1:7" hidden="1">
      <c r="A644" s="187" t="s">
        <v>1326</v>
      </c>
      <c r="B644" s="177" t="s">
        <v>132</v>
      </c>
      <c r="C644" s="721">
        <f>407*1.08</f>
        <v>439.56</v>
      </c>
      <c r="G644" s="156">
        <f>3514*0.5</f>
        <v>1757</v>
      </c>
    </row>
    <row r="645" spans="1:7" hidden="1">
      <c r="A645" s="187" t="s">
        <v>1326</v>
      </c>
      <c r="B645" s="177" t="s">
        <v>55</v>
      </c>
      <c r="C645" s="721">
        <f>530*1.08</f>
        <v>572.40000000000009</v>
      </c>
      <c r="G645" s="156">
        <f>4524*0.5</f>
        <v>2262</v>
      </c>
    </row>
    <row r="646" spans="1:7" hidden="1">
      <c r="A646" s="187" t="s">
        <v>1326</v>
      </c>
      <c r="B646" s="177">
        <f>B642</f>
        <v>0</v>
      </c>
      <c r="C646" s="721">
        <f>884*1.08</f>
        <v>954.72</v>
      </c>
      <c r="G646" s="156">
        <f>4524*0.5</f>
        <v>2262</v>
      </c>
    </row>
    <row r="647" spans="1:7" ht="15" hidden="1" thickBot="1">
      <c r="A647" s="191" t="s">
        <v>1817</v>
      </c>
      <c r="B647" s="177" t="s">
        <v>133</v>
      </c>
      <c r="C647" s="721">
        <v>0</v>
      </c>
    </row>
    <row r="648" spans="1:7" hidden="1">
      <c r="A648" s="187" t="s">
        <v>1327</v>
      </c>
      <c r="B648" s="177" t="s">
        <v>132</v>
      </c>
      <c r="C648" s="721">
        <f>440*1.08</f>
        <v>475.20000000000005</v>
      </c>
    </row>
    <row r="649" spans="1:7" hidden="1">
      <c r="A649" s="187" t="s">
        <v>1327</v>
      </c>
      <c r="B649" s="177" t="s">
        <v>55</v>
      </c>
      <c r="C649" s="721">
        <f>573*1.08</f>
        <v>618.84</v>
      </c>
    </row>
    <row r="650" spans="1:7" hidden="1">
      <c r="A650" s="187" t="s">
        <v>1327</v>
      </c>
      <c r="B650" s="177">
        <f>B646</f>
        <v>0</v>
      </c>
      <c r="C650" s="721">
        <f>1042*1.08</f>
        <v>1125.3600000000001</v>
      </c>
    </row>
    <row r="651" spans="1:7" ht="15" hidden="1" thickBot="1">
      <c r="A651" s="191" t="s">
        <v>1817</v>
      </c>
      <c r="B651" s="177" t="s">
        <v>133</v>
      </c>
      <c r="C651" s="721">
        <v>0</v>
      </c>
    </row>
    <row r="652" spans="1:7" hidden="1">
      <c r="A652" s="187" t="s">
        <v>1821</v>
      </c>
      <c r="B652" s="177" t="s">
        <v>132</v>
      </c>
      <c r="C652" s="721">
        <f>473*1.08</f>
        <v>510.84000000000003</v>
      </c>
    </row>
    <row r="653" spans="1:7" hidden="1">
      <c r="A653" s="187" t="s">
        <v>1821</v>
      </c>
      <c r="B653" s="177" t="s">
        <v>55</v>
      </c>
      <c r="C653" s="721">
        <f>616*1.08</f>
        <v>665.28000000000009</v>
      </c>
    </row>
    <row r="654" spans="1:7" hidden="1">
      <c r="A654" s="187" t="s">
        <v>1821</v>
      </c>
      <c r="B654" s="177">
        <f>B650</f>
        <v>0</v>
      </c>
      <c r="C654" s="721">
        <f>1199*1.08</f>
        <v>1294.92</v>
      </c>
    </row>
    <row r="655" spans="1:7" ht="15" hidden="1" thickBot="1">
      <c r="A655" s="191" t="s">
        <v>1817</v>
      </c>
      <c r="B655" s="177" t="s">
        <v>133</v>
      </c>
      <c r="C655" s="721">
        <v>0</v>
      </c>
    </row>
    <row r="656" spans="1:7" hidden="1">
      <c r="A656" s="187"/>
      <c r="B656" s="260"/>
    </row>
    <row r="657" spans="1:4" hidden="1">
      <c r="A657" s="187"/>
      <c r="B657" s="260"/>
    </row>
    <row r="658" spans="1:4" hidden="1">
      <c r="A658" s="187"/>
      <c r="B658" s="260"/>
    </row>
    <row r="659" spans="1:4" hidden="1">
      <c r="A659" s="187"/>
      <c r="B659" s="259"/>
    </row>
    <row r="660" spans="1:4" ht="15" hidden="1" thickBot="1">
      <c r="A660" s="191"/>
      <c r="B660" s="261"/>
    </row>
    <row r="661" spans="1:4" ht="15" hidden="1" thickBot="1"/>
    <row r="662" spans="1:4" ht="43.8" hidden="1" thickBot="1">
      <c r="A662" s="262" t="s">
        <v>1822</v>
      </c>
      <c r="B662" s="263" t="s">
        <v>1823</v>
      </c>
      <c r="C662" s="264" t="s">
        <v>1824</v>
      </c>
      <c r="D662" s="263" t="s">
        <v>1823</v>
      </c>
    </row>
    <row r="663" spans="1:4" hidden="1">
      <c r="A663" s="184" t="s">
        <v>1825</v>
      </c>
      <c r="B663" s="265">
        <f>235+32+6+20</f>
        <v>293</v>
      </c>
      <c r="C663" s="179" t="s">
        <v>1825</v>
      </c>
      <c r="D663" s="265">
        <f>235+25+6</f>
        <v>266</v>
      </c>
    </row>
    <row r="664" spans="1:4" hidden="1">
      <c r="A664" s="187" t="s">
        <v>1826</v>
      </c>
      <c r="B664" s="266">
        <f>345+6+32+20</f>
        <v>403</v>
      </c>
      <c r="C664" s="180" t="s">
        <v>1826</v>
      </c>
      <c r="D664" s="266">
        <f>345+6+32</f>
        <v>383</v>
      </c>
    </row>
    <row r="665" spans="1:4" hidden="1">
      <c r="A665" s="187" t="s">
        <v>1827</v>
      </c>
      <c r="B665" s="266">
        <f>465+6+35+25</f>
        <v>531</v>
      </c>
      <c r="C665" s="180" t="s">
        <v>1827</v>
      </c>
      <c r="D665" s="266">
        <f>465+6+32</f>
        <v>503</v>
      </c>
    </row>
    <row r="666" spans="1:4" hidden="1">
      <c r="A666" s="187" t="s">
        <v>1828</v>
      </c>
      <c r="B666" s="266">
        <f>550+6+52+50</f>
        <v>658</v>
      </c>
      <c r="C666" s="180" t="s">
        <v>1828</v>
      </c>
      <c r="D666" s="266">
        <f>550+6+32</f>
        <v>588</v>
      </c>
    </row>
    <row r="667" spans="1:4" ht="15" hidden="1" thickBot="1">
      <c r="A667" s="191" t="s">
        <v>1829</v>
      </c>
      <c r="B667" s="267">
        <f>664+6+52+50</f>
        <v>772</v>
      </c>
      <c r="C667" s="182" t="s">
        <v>1829</v>
      </c>
      <c r="D667" s="267">
        <f>664+6+32</f>
        <v>702</v>
      </c>
    </row>
    <row r="668" spans="1:4" hidden="1">
      <c r="B668" s="176"/>
    </row>
    <row r="669" spans="1:4" ht="15" hidden="1" thickBot="1">
      <c r="B669" s="176"/>
    </row>
    <row r="670" spans="1:4" ht="29.4" hidden="1" thickBot="1">
      <c r="A670" s="262" t="s">
        <v>1830</v>
      </c>
      <c r="B670" s="263" t="s">
        <v>1823</v>
      </c>
      <c r="C670" s="264" t="s">
        <v>1831</v>
      </c>
      <c r="D670" s="263" t="s">
        <v>1823</v>
      </c>
    </row>
    <row r="671" spans="1:4" hidden="1">
      <c r="A671" s="184" t="s">
        <v>1825</v>
      </c>
      <c r="B671" s="265">
        <f>296+6+25+20</f>
        <v>347</v>
      </c>
      <c r="C671" s="179" t="s">
        <v>1825</v>
      </c>
      <c r="D671" s="265">
        <f>296+6+25</f>
        <v>327</v>
      </c>
    </row>
    <row r="672" spans="1:4" hidden="1">
      <c r="A672" s="187" t="s">
        <v>1826</v>
      </c>
      <c r="B672" s="266">
        <f>409+32+6+50</f>
        <v>497</v>
      </c>
      <c r="C672" s="180" t="s">
        <v>1826</v>
      </c>
      <c r="D672" s="266">
        <f>409+32+6</f>
        <v>447</v>
      </c>
    </row>
    <row r="673" spans="1:7" hidden="1">
      <c r="A673" s="187" t="s">
        <v>1827</v>
      </c>
      <c r="B673" s="266">
        <f>529+32+6+50</f>
        <v>617</v>
      </c>
      <c r="C673" s="180" t="s">
        <v>1827</v>
      </c>
      <c r="D673" s="266">
        <f>529+32+6</f>
        <v>567</v>
      </c>
    </row>
    <row r="674" spans="1:7" hidden="1">
      <c r="A674" s="187" t="s">
        <v>1828</v>
      </c>
      <c r="B674" s="266">
        <f>643+6+52+50</f>
        <v>751</v>
      </c>
      <c r="C674" s="180" t="s">
        <v>1828</v>
      </c>
      <c r="D674" s="266">
        <f>643+6+52</f>
        <v>701</v>
      </c>
    </row>
    <row r="675" spans="1:7" ht="15" hidden="1" thickBot="1">
      <c r="A675" s="191" t="s">
        <v>1829</v>
      </c>
      <c r="B675" s="267">
        <f>876+52+2+50</f>
        <v>980</v>
      </c>
      <c r="C675" s="182" t="s">
        <v>1829</v>
      </c>
      <c r="D675" s="267">
        <f>876+52+2</f>
        <v>930</v>
      </c>
    </row>
    <row r="676" spans="1:7" ht="15" hidden="1" thickBot="1">
      <c r="B676" s="176"/>
    </row>
    <row r="677" spans="1:7" ht="57.6" hidden="1">
      <c r="A677" s="262" t="s">
        <v>1832</v>
      </c>
      <c r="B677" s="263" t="s">
        <v>1823</v>
      </c>
      <c r="C677" s="264" t="s">
        <v>1833</v>
      </c>
      <c r="D677" s="263" t="s">
        <v>1823</v>
      </c>
    </row>
    <row r="678" spans="1:7" hidden="1">
      <c r="A678" s="184" t="s">
        <v>1825</v>
      </c>
      <c r="B678" s="265">
        <f>362+6+32+20</f>
        <v>420</v>
      </c>
      <c r="C678" s="179" t="s">
        <v>1825</v>
      </c>
      <c r="D678" s="265">
        <f>362+6+32</f>
        <v>400</v>
      </c>
    </row>
    <row r="679" spans="1:7" hidden="1">
      <c r="A679" s="187" t="s">
        <v>1826</v>
      </c>
      <c r="B679" s="266">
        <f>492+6+32+50</f>
        <v>580</v>
      </c>
      <c r="C679" s="180" t="s">
        <v>1826</v>
      </c>
      <c r="D679" s="266">
        <f>496+6+32</f>
        <v>534</v>
      </c>
    </row>
    <row r="680" spans="1:7" hidden="1">
      <c r="A680" s="187" t="s">
        <v>1827</v>
      </c>
      <c r="B680" s="266">
        <f>622+32+6+50</f>
        <v>710</v>
      </c>
      <c r="C680" s="180" t="s">
        <v>1827</v>
      </c>
      <c r="D680" s="266">
        <f>633+6+32</f>
        <v>671</v>
      </c>
      <c r="F680" s="156">
        <f>215*2.2</f>
        <v>473.00000000000006</v>
      </c>
    </row>
    <row r="681" spans="1:7" hidden="1">
      <c r="A681" s="187" t="s">
        <v>1828</v>
      </c>
      <c r="B681" s="266">
        <f>771+6+52+50</f>
        <v>879</v>
      </c>
      <c r="C681" s="180" t="s">
        <v>1828</v>
      </c>
      <c r="D681" s="266">
        <f>771+6+32</f>
        <v>809</v>
      </c>
      <c r="F681" s="156">
        <f>305*2.2</f>
        <v>671</v>
      </c>
    </row>
    <row r="682" spans="1:7" ht="15" hidden="1" thickBot="1">
      <c r="A682" s="191" t="s">
        <v>1829</v>
      </c>
      <c r="B682" s="267">
        <f>1046+52+6+50</f>
        <v>1154</v>
      </c>
      <c r="C682" s="182" t="s">
        <v>1829</v>
      </c>
      <c r="D682" s="267">
        <f>1046+6+32</f>
        <v>1084</v>
      </c>
      <c r="F682" s="156">
        <f>420*2.2</f>
        <v>924.00000000000011</v>
      </c>
    </row>
    <row r="683" spans="1:7" hidden="1"/>
    <row r="684" spans="1:7" ht="15" hidden="1" thickBot="1"/>
    <row r="685" spans="1:7" ht="16.2" hidden="1" thickBot="1">
      <c r="A685" s="268" t="s">
        <v>1834</v>
      </c>
      <c r="B685" s="269" t="s">
        <v>57</v>
      </c>
      <c r="C685" s="270" t="s">
        <v>132</v>
      </c>
      <c r="D685" s="270" t="s">
        <v>55</v>
      </c>
      <c r="F685" s="156">
        <f>50*2*2.2</f>
        <v>220.00000000000003</v>
      </c>
    </row>
    <row r="686" spans="1:7" hidden="1">
      <c r="A686" s="253" t="s">
        <v>1835</v>
      </c>
      <c r="B686" s="271">
        <f>430/2</f>
        <v>215</v>
      </c>
      <c r="C686" s="271">
        <f>610/2</f>
        <v>305</v>
      </c>
      <c r="D686" s="271">
        <f>840/2</f>
        <v>420</v>
      </c>
    </row>
    <row r="687" spans="1:7" hidden="1">
      <c r="A687" s="254" t="s">
        <v>1836</v>
      </c>
      <c r="B687" s="272">
        <f>115*2</f>
        <v>230</v>
      </c>
      <c r="C687" s="272">
        <f>150*2</f>
        <v>300</v>
      </c>
      <c r="D687" s="272">
        <f>150*2</f>
        <v>300</v>
      </c>
      <c r="G687" s="156">
        <f>2800/55</f>
        <v>50.909090909090907</v>
      </c>
    </row>
    <row r="688" spans="1:7" hidden="1">
      <c r="A688" s="254" t="s">
        <v>1837</v>
      </c>
      <c r="B688" s="272">
        <f>15*4</f>
        <v>60</v>
      </c>
      <c r="C688" s="272">
        <f t="shared" ref="C688:D688" si="71">15*4</f>
        <v>60</v>
      </c>
      <c r="D688" s="272">
        <f t="shared" si="71"/>
        <v>60</v>
      </c>
      <c r="F688" s="156">
        <f>2800/F685</f>
        <v>12.727272727272725</v>
      </c>
    </row>
    <row r="689" spans="1:8" hidden="1">
      <c r="A689" s="254" t="s">
        <v>1838</v>
      </c>
      <c r="B689" s="272">
        <f>11*4</f>
        <v>44</v>
      </c>
      <c r="C689" s="272">
        <f t="shared" ref="C689:D689" si="72">11*4</f>
        <v>44</v>
      </c>
      <c r="D689" s="272">
        <f t="shared" si="72"/>
        <v>44</v>
      </c>
    </row>
    <row r="690" spans="1:8" hidden="1">
      <c r="A690" s="254" t="s">
        <v>1839</v>
      </c>
      <c r="B690" s="272">
        <f>50*2</f>
        <v>100</v>
      </c>
      <c r="C690" s="272">
        <f>50*2</f>
        <v>100</v>
      </c>
      <c r="D690" s="272">
        <f>50*2</f>
        <v>100</v>
      </c>
    </row>
    <row r="691" spans="1:8" s="231" customFormat="1" ht="16.2" hidden="1" thickBot="1">
      <c r="A691" s="273" t="s">
        <v>1840</v>
      </c>
      <c r="B691" s="274">
        <f>SUM(B686:B690)</f>
        <v>649</v>
      </c>
      <c r="C691" s="274">
        <f t="shared" ref="C691" si="73">SUM(C686:C690)</f>
        <v>809</v>
      </c>
      <c r="D691" s="274">
        <f>SUM(D686:D690)</f>
        <v>924</v>
      </c>
      <c r="H691" s="1541"/>
    </row>
    <row r="692" spans="1:8" ht="15" hidden="1" thickBot="1">
      <c r="A692" s="275" t="s">
        <v>1841</v>
      </c>
      <c r="B692" s="276">
        <f>B691*2.2</f>
        <v>1427.8000000000002</v>
      </c>
      <c r="C692" s="276">
        <f t="shared" ref="C692" si="74">C691*2.2</f>
        <v>1779.8000000000002</v>
      </c>
      <c r="D692" s="276">
        <f>D691*2.2</f>
        <v>2032.8000000000002</v>
      </c>
      <c r="G692" s="277" t="s">
        <v>1842</v>
      </c>
      <c r="H692" s="1542">
        <v>430</v>
      </c>
    </row>
    <row r="693" spans="1:8" hidden="1">
      <c r="G693" s="279" t="s">
        <v>1836</v>
      </c>
      <c r="H693" s="1543">
        <f>115*2</f>
        <v>230</v>
      </c>
    </row>
    <row r="694" spans="1:8" ht="15" hidden="1" thickBot="1">
      <c r="G694" s="156" t="s">
        <v>1843</v>
      </c>
      <c r="H694" s="1520">
        <f>60+44</f>
        <v>104</v>
      </c>
    </row>
    <row r="695" spans="1:8" ht="16.2" hidden="1" thickBot="1">
      <c r="A695" s="281" t="s">
        <v>1844</v>
      </c>
      <c r="B695" s="269" t="s">
        <v>57</v>
      </c>
      <c r="C695" s="270" t="s">
        <v>132</v>
      </c>
      <c r="D695" s="270" t="s">
        <v>55</v>
      </c>
      <c r="G695" s="156" t="s">
        <v>1845</v>
      </c>
    </row>
    <row r="696" spans="1:8" hidden="1">
      <c r="A696" s="277" t="s">
        <v>1842</v>
      </c>
      <c r="B696" s="278">
        <v>430</v>
      </c>
      <c r="C696" s="282">
        <v>610</v>
      </c>
      <c r="D696" s="282">
        <v>840</v>
      </c>
    </row>
    <row r="697" spans="1:8" hidden="1">
      <c r="A697" s="279" t="s">
        <v>1836</v>
      </c>
      <c r="B697" s="280">
        <f>115*2</f>
        <v>230</v>
      </c>
      <c r="C697" s="272">
        <f>150*2</f>
        <v>300</v>
      </c>
      <c r="D697" s="272">
        <f>150*2</f>
        <v>300</v>
      </c>
    </row>
    <row r="698" spans="1:8" hidden="1">
      <c r="A698" s="279" t="s">
        <v>1846</v>
      </c>
      <c r="B698" s="280">
        <f>15*4</f>
        <v>60</v>
      </c>
      <c r="C698" s="272">
        <f t="shared" ref="C698:D698" si="75">15*4</f>
        <v>60</v>
      </c>
      <c r="D698" s="272">
        <f t="shared" si="75"/>
        <v>60</v>
      </c>
    </row>
    <row r="699" spans="1:8" hidden="1">
      <c r="A699" s="279" t="s">
        <v>1838</v>
      </c>
      <c r="B699" s="280">
        <f>11*4</f>
        <v>44</v>
      </c>
      <c r="C699" s="272">
        <f t="shared" ref="C699:D699" si="76">11*4</f>
        <v>44</v>
      </c>
      <c r="D699" s="272">
        <f t="shared" si="76"/>
        <v>44</v>
      </c>
      <c r="G699" s="283"/>
    </row>
    <row r="700" spans="1:8" ht="15" hidden="1" thickBot="1">
      <c r="A700" s="284" t="s">
        <v>1839</v>
      </c>
      <c r="B700" s="285">
        <f>50*2</f>
        <v>100</v>
      </c>
      <c r="C700" s="274">
        <f>50*2</f>
        <v>100</v>
      </c>
      <c r="D700" s="274">
        <f>50*2</f>
        <v>100</v>
      </c>
    </row>
    <row r="701" spans="1:8" ht="15" hidden="1" thickBot="1">
      <c r="A701" s="286" t="s">
        <v>1847</v>
      </c>
      <c r="B701" s="287">
        <f>SUM(B696:B700)</f>
        <v>864</v>
      </c>
      <c r="C701" s="276">
        <f t="shared" ref="C701" si="77">SUM(C696:C700)</f>
        <v>1114</v>
      </c>
      <c r="D701" s="276">
        <f>SUM(D696:D700)</f>
        <v>1344</v>
      </c>
    </row>
    <row r="702" spans="1:8" hidden="1"/>
    <row r="703" spans="1:8" hidden="1"/>
    <row r="704" spans="1:8" hidden="1">
      <c r="A704" s="187" t="s">
        <v>1848</v>
      </c>
      <c r="B704" s="260">
        <f>557</f>
        <v>557</v>
      </c>
    </row>
    <row r="705" spans="1:2" hidden="1">
      <c r="A705" s="187" t="s">
        <v>1849</v>
      </c>
      <c r="B705" s="260">
        <f>632</f>
        <v>632</v>
      </c>
    </row>
    <row r="706" spans="1:2" hidden="1">
      <c r="A706" s="187" t="s">
        <v>1850</v>
      </c>
      <c r="B706" s="260">
        <f>1006</f>
        <v>1006</v>
      </c>
    </row>
    <row r="707" spans="1:2" hidden="1">
      <c r="A707" s="187" t="s">
        <v>1851</v>
      </c>
      <c r="B707" s="260">
        <f>706</f>
        <v>706</v>
      </c>
    </row>
    <row r="708" spans="1:2" hidden="1">
      <c r="A708" s="187" t="s">
        <v>1852</v>
      </c>
      <c r="B708" s="260">
        <f>854</f>
        <v>854</v>
      </c>
    </row>
    <row r="709" spans="1:2" hidden="1">
      <c r="A709" s="187" t="s">
        <v>1850</v>
      </c>
      <c r="B709" s="260">
        <f>1006</f>
        <v>1006</v>
      </c>
    </row>
    <row r="710" spans="1:2" hidden="1">
      <c r="A710" s="187" t="s">
        <v>1853</v>
      </c>
      <c r="B710" s="260">
        <f>1003</f>
        <v>1003</v>
      </c>
    </row>
    <row r="711" spans="1:2" hidden="1">
      <c r="A711" s="187" t="s">
        <v>1850</v>
      </c>
      <c r="B711" s="260">
        <f>1150</f>
        <v>1150</v>
      </c>
    </row>
    <row r="712" spans="1:2" hidden="1">
      <c r="A712" s="187" t="s">
        <v>1850</v>
      </c>
      <c r="B712" s="260">
        <f>1006</f>
        <v>1006</v>
      </c>
    </row>
    <row r="713" spans="1:2" hidden="1">
      <c r="A713" s="187" t="s">
        <v>1854</v>
      </c>
      <c r="B713" s="259">
        <f>1299</f>
        <v>1299</v>
      </c>
    </row>
    <row r="714" spans="1:2" ht="15" hidden="1" thickBot="1">
      <c r="A714" s="191" t="s">
        <v>1817</v>
      </c>
      <c r="B714" s="261">
        <v>1050</v>
      </c>
    </row>
    <row r="715" spans="1:2" hidden="1">
      <c r="A715" s="187" t="s">
        <v>1850</v>
      </c>
      <c r="B715" s="260">
        <f>1006</f>
        <v>1006</v>
      </c>
    </row>
    <row r="716" spans="1:2" hidden="1"/>
    <row r="717" spans="1:2" hidden="1">
      <c r="A717" s="187" t="s">
        <v>1848</v>
      </c>
      <c r="B717" s="260">
        <f>456</f>
        <v>456</v>
      </c>
    </row>
    <row r="718" spans="1:2" hidden="1">
      <c r="A718" s="187" t="s">
        <v>1850</v>
      </c>
      <c r="B718" s="260">
        <f>1006</f>
        <v>1006</v>
      </c>
    </row>
    <row r="719" spans="1:2" hidden="1">
      <c r="A719" s="187" t="s">
        <v>1849</v>
      </c>
      <c r="B719" s="260">
        <f>525</f>
        <v>525</v>
      </c>
    </row>
    <row r="720" spans="1:2" hidden="1">
      <c r="A720" s="187" t="s">
        <v>1851</v>
      </c>
      <c r="B720" s="260">
        <f>593</f>
        <v>593</v>
      </c>
    </row>
    <row r="721" spans="1:6" hidden="1">
      <c r="A721" s="187" t="s">
        <v>1850</v>
      </c>
      <c r="B721" s="260">
        <f>1006</f>
        <v>1006</v>
      </c>
    </row>
    <row r="722" spans="1:6" hidden="1">
      <c r="A722" s="187" t="s">
        <v>1852</v>
      </c>
      <c r="B722" s="260">
        <f>731</f>
        <v>731</v>
      </c>
    </row>
    <row r="723" spans="1:6" hidden="1">
      <c r="A723" s="187" t="s">
        <v>1853</v>
      </c>
      <c r="B723" s="260">
        <f>868</f>
        <v>868</v>
      </c>
    </row>
    <row r="724" spans="1:6" hidden="1">
      <c r="A724" s="187" t="s">
        <v>1850</v>
      </c>
      <c r="B724" s="260">
        <f>1006</f>
        <v>1006</v>
      </c>
    </row>
    <row r="725" spans="1:6" hidden="1">
      <c r="A725" s="187" t="s">
        <v>1854</v>
      </c>
      <c r="B725" s="259">
        <f>1143</f>
        <v>1143</v>
      </c>
    </row>
    <row r="726" spans="1:6" ht="15" hidden="1" thickBot="1">
      <c r="A726" s="191" t="s">
        <v>1817</v>
      </c>
      <c r="B726" s="261">
        <v>1050</v>
      </c>
    </row>
    <row r="727" spans="1:6" hidden="1"/>
    <row r="728" spans="1:6" hidden="1"/>
    <row r="730" spans="1:6" ht="15" thickBot="1"/>
    <row r="731" spans="1:6" ht="15">
      <c r="A731" s="2203" t="s">
        <v>1649</v>
      </c>
      <c r="B731" s="2204"/>
      <c r="C731" s="2093" t="s">
        <v>1653</v>
      </c>
      <c r="D731" s="2094"/>
      <c r="E731" s="2094"/>
      <c r="F731" s="2094"/>
    </row>
    <row r="732" spans="1:6" ht="15.6" thickBot="1">
      <c r="A732" s="2205"/>
      <c r="B732" s="2206"/>
      <c r="C732" s="2095"/>
      <c r="D732" s="2096"/>
      <c r="E732" s="2096"/>
      <c r="F732" s="2096"/>
    </row>
    <row r="733" spans="1:6">
      <c r="A733" s="2252" t="str">
        <f t="shared" ref="A733:A754" si="78">W477</f>
        <v>Andhra Pradesh</v>
      </c>
      <c r="B733" s="2253"/>
      <c r="C733" s="2101" t="s">
        <v>1661</v>
      </c>
      <c r="D733" s="2082"/>
      <c r="E733" s="2082"/>
      <c r="F733" s="2135" t="s">
        <v>1660</v>
      </c>
    </row>
    <row r="734" spans="1:6">
      <c r="A734" s="2209" t="str">
        <f t="shared" si="78"/>
        <v>Assam</v>
      </c>
      <c r="B734" s="2210"/>
      <c r="C734" s="2097" t="s">
        <v>1664</v>
      </c>
      <c r="D734" s="2084"/>
      <c r="E734" s="2084"/>
      <c r="F734" s="2136" t="s">
        <v>1660</v>
      </c>
    </row>
    <row r="735" spans="1:6">
      <c r="A735" s="2209" t="str">
        <f t="shared" si="78"/>
        <v>Bihar</v>
      </c>
      <c r="B735" s="2210"/>
      <c r="C735" s="2097" t="s">
        <v>1667</v>
      </c>
      <c r="D735" s="2084"/>
      <c r="E735" s="2084"/>
      <c r="F735" s="2137" t="s">
        <v>462</v>
      </c>
    </row>
    <row r="736" spans="1:6">
      <c r="A736" s="2209" t="str">
        <f t="shared" si="78"/>
        <v>Chhattisgarh</v>
      </c>
      <c r="B736" s="2210"/>
      <c r="C736" s="2097" t="s">
        <v>1669</v>
      </c>
      <c r="D736" s="2084"/>
      <c r="E736" s="2084"/>
      <c r="F736" s="2137" t="s">
        <v>462</v>
      </c>
    </row>
    <row r="737" spans="1:6">
      <c r="A737" s="2209" t="str">
        <f t="shared" si="78"/>
        <v>Delhi</v>
      </c>
      <c r="B737" s="2210"/>
      <c r="C737" s="2097" t="s">
        <v>1671</v>
      </c>
      <c r="D737" s="2084"/>
      <c r="E737" s="2084"/>
      <c r="F737" s="2137" t="s">
        <v>462</v>
      </c>
    </row>
    <row r="738" spans="1:6">
      <c r="A738" s="2209" t="str">
        <f t="shared" si="78"/>
        <v>Gujarat</v>
      </c>
      <c r="B738" s="2210"/>
      <c r="C738" s="2097" t="s">
        <v>1673</v>
      </c>
      <c r="D738" s="2084"/>
      <c r="E738" s="2084"/>
      <c r="F738" s="2136" t="s">
        <v>1660</v>
      </c>
    </row>
    <row r="739" spans="1:6">
      <c r="A739" s="2209" t="str">
        <f t="shared" si="78"/>
        <v>Goa</v>
      </c>
      <c r="B739" s="2210"/>
      <c r="C739" s="2097" t="s">
        <v>1676</v>
      </c>
      <c r="D739" s="2084"/>
      <c r="E739" s="2084"/>
      <c r="F739" s="2137" t="s">
        <v>462</v>
      </c>
    </row>
    <row r="740" spans="1:6">
      <c r="A740" s="2209" t="str">
        <f t="shared" si="78"/>
        <v>Haryana</v>
      </c>
      <c r="B740" s="2210"/>
      <c r="C740" s="2097" t="s">
        <v>1676</v>
      </c>
      <c r="D740" s="2084"/>
      <c r="E740" s="2084"/>
      <c r="F740" s="2137" t="s">
        <v>462</v>
      </c>
    </row>
    <row r="741" spans="1:6">
      <c r="A741" s="2209" t="str">
        <f t="shared" si="78"/>
        <v>Himachal Pradesh</v>
      </c>
      <c r="B741" s="2210"/>
      <c r="C741" s="2097" t="s">
        <v>1681</v>
      </c>
      <c r="D741" s="2084"/>
      <c r="E741" s="2084"/>
      <c r="F741" s="2137" t="s">
        <v>462</v>
      </c>
    </row>
    <row r="742" spans="1:6">
      <c r="A742" s="2209" t="str">
        <f t="shared" si="78"/>
        <v>Jharkhand</v>
      </c>
      <c r="B742" s="2210"/>
      <c r="C742" s="2097" t="s">
        <v>1684</v>
      </c>
      <c r="D742" s="2084"/>
      <c r="E742" s="2084"/>
      <c r="F742" s="2137" t="s">
        <v>462</v>
      </c>
    </row>
    <row r="743" spans="1:6">
      <c r="A743" s="2209" t="str">
        <f t="shared" si="78"/>
        <v>Karnataka</v>
      </c>
      <c r="B743" s="2210"/>
      <c r="C743" s="2097" t="s">
        <v>1687</v>
      </c>
      <c r="D743" s="2084"/>
      <c r="E743" s="2084"/>
      <c r="F743" s="2137" t="s">
        <v>1675</v>
      </c>
    </row>
    <row r="744" spans="1:6">
      <c r="A744" s="2209" t="str">
        <f t="shared" si="78"/>
        <v>Kerala</v>
      </c>
      <c r="B744" s="2210"/>
      <c r="C744" s="2097" t="s">
        <v>1690</v>
      </c>
      <c r="D744" s="2084"/>
      <c r="E744" s="2084"/>
      <c r="F744" s="2137" t="s">
        <v>1689</v>
      </c>
    </row>
    <row r="745" spans="1:6">
      <c r="A745" s="2209" t="str">
        <f t="shared" si="78"/>
        <v>Madhya Pradesh</v>
      </c>
      <c r="B745" s="2210"/>
      <c r="C745" s="2098" t="s">
        <v>1669</v>
      </c>
      <c r="D745" s="2099"/>
      <c r="E745" s="2099"/>
      <c r="F745" s="2137" t="s">
        <v>462</v>
      </c>
    </row>
    <row r="746" spans="1:6">
      <c r="A746" s="2209" t="str">
        <f t="shared" si="78"/>
        <v>Maharashtra</v>
      </c>
      <c r="B746" s="2210"/>
      <c r="C746" s="2097" t="s">
        <v>1673</v>
      </c>
      <c r="D746" s="2084"/>
      <c r="E746" s="2084"/>
      <c r="F746" s="2136" t="s">
        <v>1660</v>
      </c>
    </row>
    <row r="747" spans="1:6">
      <c r="A747" s="2209" t="str">
        <f t="shared" si="78"/>
        <v>Odisha</v>
      </c>
      <c r="B747" s="2210"/>
      <c r="C747" s="2097" t="s">
        <v>1693</v>
      </c>
      <c r="D747" s="2084"/>
      <c r="E747" s="2084"/>
      <c r="F747" s="2137" t="s">
        <v>462</v>
      </c>
    </row>
    <row r="748" spans="1:6">
      <c r="A748" s="2209" t="str">
        <f t="shared" si="78"/>
        <v>Punjab</v>
      </c>
      <c r="B748" s="2210"/>
      <c r="C748" s="2097" t="s">
        <v>1695</v>
      </c>
      <c r="D748" s="2084"/>
      <c r="E748" s="2084"/>
      <c r="F748" s="2137" t="s">
        <v>1694</v>
      </c>
    </row>
    <row r="749" spans="1:6">
      <c r="A749" s="2209" t="str">
        <f t="shared" si="78"/>
        <v>Rajasthan</v>
      </c>
      <c r="B749" s="2210"/>
      <c r="C749" s="2097" t="s">
        <v>1667</v>
      </c>
      <c r="D749" s="2084"/>
      <c r="E749" s="2084"/>
      <c r="F749" s="2137" t="s">
        <v>462</v>
      </c>
    </row>
    <row r="750" spans="1:6">
      <c r="A750" s="2209" t="str">
        <f t="shared" si="78"/>
        <v>Tamil Nadu</v>
      </c>
      <c r="B750" s="2210"/>
      <c r="C750" s="2097" t="s">
        <v>1697</v>
      </c>
      <c r="D750" s="2084"/>
      <c r="E750" s="2084"/>
      <c r="F750" s="2137" t="s">
        <v>1696</v>
      </c>
    </row>
    <row r="751" spans="1:6">
      <c r="A751" s="2209" t="str">
        <f t="shared" si="78"/>
        <v>Telangana</v>
      </c>
      <c r="B751" s="2210"/>
      <c r="C751" s="2097" t="s">
        <v>1664</v>
      </c>
      <c r="D751" s="2084"/>
      <c r="E751" s="2084"/>
      <c r="F751" s="2136" t="s">
        <v>1660</v>
      </c>
    </row>
    <row r="752" spans="1:6">
      <c r="A752" s="2209" t="str">
        <f t="shared" si="78"/>
        <v>Uttar Pradesh</v>
      </c>
      <c r="B752" s="2210"/>
      <c r="C752" s="2097" t="s">
        <v>1684</v>
      </c>
      <c r="D752" s="2084"/>
      <c r="E752" s="2084"/>
      <c r="F752" s="2137" t="s">
        <v>462</v>
      </c>
    </row>
    <row r="753" spans="1:6">
      <c r="A753" s="2209" t="str">
        <f t="shared" si="78"/>
        <v>Uttarakhand</v>
      </c>
      <c r="B753" s="2210"/>
      <c r="C753" s="2097" t="s">
        <v>1667</v>
      </c>
      <c r="D753" s="2084"/>
      <c r="E753" s="2084"/>
      <c r="F753" s="2137" t="s">
        <v>462</v>
      </c>
    </row>
    <row r="754" spans="1:6" ht="15" thickBot="1">
      <c r="A754" s="2243" t="str">
        <f t="shared" si="78"/>
        <v>West Bengal</v>
      </c>
      <c r="B754" s="2244"/>
      <c r="C754" s="2100" t="s">
        <v>1704</v>
      </c>
      <c r="D754" s="2100"/>
      <c r="E754" s="2100"/>
      <c r="F754" s="2138" t="s">
        <v>1703</v>
      </c>
    </row>
  </sheetData>
  <sheetProtection algorithmName="SHA-512" hashValue="qL9tTdjNrn8eT8CYJSS1EzLazUece/zfhRG2BgKAZIheCnbZtbt91CC/cLQ6TruYDNZTxW2Lw+D7YIjJV0x48g==" saltValue="aeSo76PueFOBjKQJNuwHDA==" spinCount="100000" sheet="1" insertColumns="0" insertRows="0"/>
  <mergeCells count="346">
    <mergeCell ref="AB563:AB571"/>
    <mergeCell ref="G353:G354"/>
    <mergeCell ref="G172:G174"/>
    <mergeCell ref="B201:I201"/>
    <mergeCell ref="B364:F364"/>
    <mergeCell ref="H364:I364"/>
    <mergeCell ref="A361:I361"/>
    <mergeCell ref="H373:H375"/>
    <mergeCell ref="H371:H372"/>
    <mergeCell ref="W488:X488"/>
    <mergeCell ref="W487:X487"/>
    <mergeCell ref="W486:X486"/>
    <mergeCell ref="W477:X477"/>
    <mergeCell ref="Y477:Z477"/>
    <mergeCell ref="Y475:Z476"/>
    <mergeCell ref="A360:D360"/>
    <mergeCell ref="Y487:Z487"/>
    <mergeCell ref="Y478:Z478"/>
    <mergeCell ref="W485:X485"/>
    <mergeCell ref="W484:X484"/>
    <mergeCell ref="W483:X483"/>
    <mergeCell ref="W482:X482"/>
    <mergeCell ref="W481:X481"/>
    <mergeCell ref="W480:X480"/>
    <mergeCell ref="A132:D132"/>
    <mergeCell ref="AB561:AC562"/>
    <mergeCell ref="A555:B555"/>
    <mergeCell ref="A561:B561"/>
    <mergeCell ref="B306:I306"/>
    <mergeCell ref="A309:D309"/>
    <mergeCell ref="A382:I382"/>
    <mergeCell ref="A389:I389"/>
    <mergeCell ref="H376:H377"/>
    <mergeCell ref="H247:H256"/>
    <mergeCell ref="H259:H264"/>
    <mergeCell ref="H232:H233"/>
    <mergeCell ref="Y481:Z481"/>
    <mergeCell ref="Y480:Z480"/>
    <mergeCell ref="Y479:Z479"/>
    <mergeCell ref="D454:E454"/>
    <mergeCell ref="D455:E455"/>
    <mergeCell ref="W495:X495"/>
    <mergeCell ref="W494:X494"/>
    <mergeCell ref="W493:X493"/>
    <mergeCell ref="W492:X492"/>
    <mergeCell ref="W491:X491"/>
    <mergeCell ref="W490:X490"/>
    <mergeCell ref="W489:X489"/>
    <mergeCell ref="AD561:AH561"/>
    <mergeCell ref="D452:E452"/>
    <mergeCell ref="D456:E456"/>
    <mergeCell ref="B160:I160"/>
    <mergeCell ref="A404:I404"/>
    <mergeCell ref="H206:H207"/>
    <mergeCell ref="H351:H359"/>
    <mergeCell ref="H235:H236"/>
    <mergeCell ref="B310:I310"/>
    <mergeCell ref="A363:F363"/>
    <mergeCell ref="B318:I318"/>
    <mergeCell ref="A322:D322"/>
    <mergeCell ref="H240:H241"/>
    <mergeCell ref="H265:H268"/>
    <mergeCell ref="D450:E450"/>
    <mergeCell ref="D453:E453"/>
    <mergeCell ref="D451:E451"/>
    <mergeCell ref="D448:E448"/>
    <mergeCell ref="D449:E449"/>
    <mergeCell ref="V475:V476"/>
    <mergeCell ref="W475:X476"/>
    <mergeCell ref="W498:X498"/>
    <mergeCell ref="W497:X497"/>
    <mergeCell ref="W496:X496"/>
    <mergeCell ref="A1:A4"/>
    <mergeCell ref="B4:I4"/>
    <mergeCell ref="G176:G177"/>
    <mergeCell ref="A5:I5"/>
    <mergeCell ref="A305:D305"/>
    <mergeCell ref="B74:I74"/>
    <mergeCell ref="H192:H193"/>
    <mergeCell ref="A141:D141"/>
    <mergeCell ref="H223:H229"/>
    <mergeCell ref="B151:I151"/>
    <mergeCell ref="H212:H213"/>
    <mergeCell ref="H269:H270"/>
    <mergeCell ref="H271:H273"/>
    <mergeCell ref="G52:G53"/>
    <mergeCell ref="H51:H56"/>
    <mergeCell ref="E16:F16"/>
    <mergeCell ref="H128:H131"/>
    <mergeCell ref="A121:D121"/>
    <mergeCell ref="G143:G149"/>
    <mergeCell ref="H3:I3"/>
    <mergeCell ref="A94:D94"/>
    <mergeCell ref="H96:H106"/>
    <mergeCell ref="A137:D137"/>
    <mergeCell ref="H167:H170"/>
    <mergeCell ref="A27:G27"/>
    <mergeCell ref="G25:G26"/>
    <mergeCell ref="F25:F26"/>
    <mergeCell ref="H75:H76"/>
    <mergeCell ref="A32:D32"/>
    <mergeCell ref="A17:C17"/>
    <mergeCell ref="E15:F15"/>
    <mergeCell ref="E17:F17"/>
    <mergeCell ref="E18:F18"/>
    <mergeCell ref="E19:G19"/>
    <mergeCell ref="E20:F20"/>
    <mergeCell ref="E21:F21"/>
    <mergeCell ref="D24:E24"/>
    <mergeCell ref="A45:D45"/>
    <mergeCell ref="H34:H44"/>
    <mergeCell ref="D26:E26"/>
    <mergeCell ref="A73:D73"/>
    <mergeCell ref="B67:I67"/>
    <mergeCell ref="D25:E25"/>
    <mergeCell ref="H61:H63"/>
    <mergeCell ref="B24:C24"/>
    <mergeCell ref="B25:C25"/>
    <mergeCell ref="B26:C26"/>
    <mergeCell ref="A59:D59"/>
    <mergeCell ref="B60:I60"/>
    <mergeCell ref="B1:G3"/>
    <mergeCell ref="D6:D22"/>
    <mergeCell ref="E22:F22"/>
    <mergeCell ref="E7:F7"/>
    <mergeCell ref="B78:I78"/>
    <mergeCell ref="H1:I1"/>
    <mergeCell ref="H2:I2"/>
    <mergeCell ref="E6:F6"/>
    <mergeCell ref="B46:I46"/>
    <mergeCell ref="G77:I77"/>
    <mergeCell ref="E8:F8"/>
    <mergeCell ref="E9:F9"/>
    <mergeCell ref="E10:F10"/>
    <mergeCell ref="E11:F11"/>
    <mergeCell ref="E12:F12"/>
    <mergeCell ref="E13:F13"/>
    <mergeCell ref="E14:F14"/>
    <mergeCell ref="H47:H50"/>
    <mergeCell ref="B30:I30"/>
    <mergeCell ref="A23:G23"/>
    <mergeCell ref="B33:I33"/>
    <mergeCell ref="A28:G28"/>
    <mergeCell ref="A6:C6"/>
    <mergeCell ref="A66:D66"/>
    <mergeCell ref="A81:D81"/>
    <mergeCell ref="H79:H80"/>
    <mergeCell ref="H68:H72"/>
    <mergeCell ref="A159:D159"/>
    <mergeCell ref="H152:H158"/>
    <mergeCell ref="H134:H136"/>
    <mergeCell ref="G134:G136"/>
    <mergeCell ref="B108:I108"/>
    <mergeCell ref="B133:I133"/>
    <mergeCell ref="B138:I138"/>
    <mergeCell ref="B142:I142"/>
    <mergeCell ref="H109:H120"/>
    <mergeCell ref="G152:G158"/>
    <mergeCell ref="B95:I95"/>
    <mergeCell ref="B82:I82"/>
    <mergeCell ref="A150:D150"/>
    <mergeCell ref="H143:H149"/>
    <mergeCell ref="A77:D77"/>
    <mergeCell ref="H83:H93"/>
    <mergeCell ref="H139:H140"/>
    <mergeCell ref="A139:A140"/>
    <mergeCell ref="A107:D107"/>
    <mergeCell ref="B122:I122"/>
    <mergeCell ref="W479:X479"/>
    <mergeCell ref="W478:X478"/>
    <mergeCell ref="Y483:Z483"/>
    <mergeCell ref="Y482:Z482"/>
    <mergeCell ref="Y485:Z485"/>
    <mergeCell ref="Y484:Z484"/>
    <mergeCell ref="Y491:Z491"/>
    <mergeCell ref="Y492:Z492"/>
    <mergeCell ref="Y498:Z498"/>
    <mergeCell ref="Y493:Z493"/>
    <mergeCell ref="Y494:Z494"/>
    <mergeCell ref="Y495:Z495"/>
    <mergeCell ref="Y496:Z496"/>
    <mergeCell ref="Y497:Z497"/>
    <mergeCell ref="Y486:Z486"/>
    <mergeCell ref="Y488:Z488"/>
    <mergeCell ref="Y489:Z489"/>
    <mergeCell ref="Y490:Z490"/>
    <mergeCell ref="AA476:AB476"/>
    <mergeCell ref="AC476:AD476"/>
    <mergeCell ref="AA475:AD475"/>
    <mergeCell ref="AA492:AB492"/>
    <mergeCell ref="AA493:AB493"/>
    <mergeCell ref="AA491:AB491"/>
    <mergeCell ref="AA490:AB490"/>
    <mergeCell ref="AA489:AB489"/>
    <mergeCell ref="AA488:AB488"/>
    <mergeCell ref="AA487:AB487"/>
    <mergeCell ref="AA486:AB486"/>
    <mergeCell ref="AA485:AB485"/>
    <mergeCell ref="AA484:AB484"/>
    <mergeCell ref="AA483:AB483"/>
    <mergeCell ref="AA482:AB482"/>
    <mergeCell ref="AA481:AB481"/>
    <mergeCell ref="AA480:AB480"/>
    <mergeCell ref="AA479:AB479"/>
    <mergeCell ref="AA478:AB478"/>
    <mergeCell ref="AA477:AB477"/>
    <mergeCell ref="AC487:AD487"/>
    <mergeCell ref="AC486:AD486"/>
    <mergeCell ref="AC485:AD485"/>
    <mergeCell ref="AC484:AD484"/>
    <mergeCell ref="AC482:AD482"/>
    <mergeCell ref="AC481:AD481"/>
    <mergeCell ref="AC479:AD479"/>
    <mergeCell ref="AC480:AD480"/>
    <mergeCell ref="AC478:AD478"/>
    <mergeCell ref="AC477:AD477"/>
    <mergeCell ref="AC498:AD498"/>
    <mergeCell ref="AC495:AD495"/>
    <mergeCell ref="AC494:AD494"/>
    <mergeCell ref="AC493:AD493"/>
    <mergeCell ref="AC492:AD492"/>
    <mergeCell ref="AC491:AD491"/>
    <mergeCell ref="AC490:AD490"/>
    <mergeCell ref="AC489:AD489"/>
    <mergeCell ref="AC488:AD488"/>
    <mergeCell ref="AC496:AD496"/>
    <mergeCell ref="AC497:AD497"/>
    <mergeCell ref="AA498:AB498"/>
    <mergeCell ref="AA497:AB497"/>
    <mergeCell ref="AA496:AB496"/>
    <mergeCell ref="AA495:AB495"/>
    <mergeCell ref="AA494:AB494"/>
    <mergeCell ref="AE475:AF476"/>
    <mergeCell ref="AE477:AF477"/>
    <mergeCell ref="AE478:AF478"/>
    <mergeCell ref="AE479:AF479"/>
    <mergeCell ref="AE480:AF480"/>
    <mergeCell ref="AE481:AF481"/>
    <mergeCell ref="AE482:AF482"/>
    <mergeCell ref="AE483:AF483"/>
    <mergeCell ref="AE484:AF484"/>
    <mergeCell ref="AE485:AF485"/>
    <mergeCell ref="AE486:AF486"/>
    <mergeCell ref="AE490:AF490"/>
    <mergeCell ref="AE489:AF489"/>
    <mergeCell ref="AE491:AF491"/>
    <mergeCell ref="AE493:AF493"/>
    <mergeCell ref="AE496:AF496"/>
    <mergeCell ref="AE497:AF497"/>
    <mergeCell ref="AE495:AF495"/>
    <mergeCell ref="AC483:AD483"/>
    <mergeCell ref="AG486:AK486"/>
    <mergeCell ref="AG485:AK485"/>
    <mergeCell ref="AG498:AK498"/>
    <mergeCell ref="AG497:AK497"/>
    <mergeCell ref="AG496:AK496"/>
    <mergeCell ref="AG495:AK495"/>
    <mergeCell ref="AG494:AK494"/>
    <mergeCell ref="AE498:AF498"/>
    <mergeCell ref="AE494:AF494"/>
    <mergeCell ref="AE492:AF492"/>
    <mergeCell ref="AE488:AF488"/>
    <mergeCell ref="AE487:AF487"/>
    <mergeCell ref="AG475:AK476"/>
    <mergeCell ref="AD500:AI500"/>
    <mergeCell ref="A733:B733"/>
    <mergeCell ref="A734:B734"/>
    <mergeCell ref="A735:B735"/>
    <mergeCell ref="A736:B736"/>
    <mergeCell ref="A737:B737"/>
    <mergeCell ref="A738:B738"/>
    <mergeCell ref="A739:B739"/>
    <mergeCell ref="AG484:AK484"/>
    <mergeCell ref="AG483:AK483"/>
    <mergeCell ref="AG482:AK482"/>
    <mergeCell ref="AG481:AK481"/>
    <mergeCell ref="AG480:AK480"/>
    <mergeCell ref="AG479:AK479"/>
    <mergeCell ref="AG478:AK478"/>
    <mergeCell ref="AG477:AK477"/>
    <mergeCell ref="AG493:AK493"/>
    <mergeCell ref="AG492:AK492"/>
    <mergeCell ref="AG491:AK491"/>
    <mergeCell ref="AG490:AK490"/>
    <mergeCell ref="AG489:AK489"/>
    <mergeCell ref="AG488:AK488"/>
    <mergeCell ref="AG487:AK487"/>
    <mergeCell ref="A753:B753"/>
    <mergeCell ref="A754:B754"/>
    <mergeCell ref="A740:B740"/>
    <mergeCell ref="A741:B741"/>
    <mergeCell ref="A742:B742"/>
    <mergeCell ref="A743:B743"/>
    <mergeCell ref="A744:B744"/>
    <mergeCell ref="A745:B745"/>
    <mergeCell ref="A746:B746"/>
    <mergeCell ref="A747:B747"/>
    <mergeCell ref="A748:B748"/>
    <mergeCell ref="A731:B732"/>
    <mergeCell ref="H366:I366"/>
    <mergeCell ref="A749:B749"/>
    <mergeCell ref="A750:B750"/>
    <mergeCell ref="A751:B751"/>
    <mergeCell ref="A752:B752"/>
    <mergeCell ref="A606:B606"/>
    <mergeCell ref="A605:B605"/>
    <mergeCell ref="A398:I398"/>
    <mergeCell ref="A394:I394"/>
    <mergeCell ref="H391:H392"/>
    <mergeCell ref="A604:B604"/>
    <mergeCell ref="C604:D604"/>
    <mergeCell ref="F573:G573"/>
    <mergeCell ref="D457:E457"/>
    <mergeCell ref="A400:I400"/>
    <mergeCell ref="A402:I402"/>
    <mergeCell ref="A384:I384"/>
    <mergeCell ref="A381:D381"/>
    <mergeCell ref="A388:D388"/>
    <mergeCell ref="A396:I396"/>
    <mergeCell ref="B390:I390"/>
    <mergeCell ref="A393:D393"/>
    <mergeCell ref="H386:H387"/>
    <mergeCell ref="A200:D200"/>
    <mergeCell ref="H161:H165"/>
    <mergeCell ref="H276:H303"/>
    <mergeCell ref="H378:H380"/>
    <mergeCell ref="G198:G199"/>
    <mergeCell ref="H183:H184"/>
    <mergeCell ref="A178:D178"/>
    <mergeCell ref="B179:I179"/>
    <mergeCell ref="A603:D603"/>
    <mergeCell ref="H172:H175"/>
    <mergeCell ref="G167:G170"/>
    <mergeCell ref="G161:G162"/>
    <mergeCell ref="A194:D194"/>
    <mergeCell ref="H185:H191"/>
    <mergeCell ref="A317:D317"/>
    <mergeCell ref="H333:H349"/>
    <mergeCell ref="B195:I195"/>
    <mergeCell ref="B323:I323"/>
    <mergeCell ref="B332:I332"/>
    <mergeCell ref="B385:I385"/>
    <mergeCell ref="B202:I202"/>
    <mergeCell ref="A331:D331"/>
    <mergeCell ref="H244:H245"/>
    <mergeCell ref="H203:H204"/>
  </mergeCells>
  <phoneticPr fontId="8" type="noConversion"/>
  <conditionalFormatting sqref="B25:B26 D25:G26">
    <cfRule type="expression" dxfId="347" priority="107">
      <formula>$G$22=0</formula>
    </cfRule>
  </conditionalFormatting>
  <conditionalFormatting sqref="B31:F31">
    <cfRule type="expression" dxfId="346" priority="395">
      <formula>$C$31=0</formula>
    </cfRule>
  </conditionalFormatting>
  <conditionalFormatting sqref="B34:F34">
    <cfRule type="expression" dxfId="345" priority="415">
      <formula>$C$34=0</formula>
    </cfRule>
  </conditionalFormatting>
  <conditionalFormatting sqref="B35:F35">
    <cfRule type="expression" dxfId="344" priority="720">
      <formula>$C$35=0</formula>
    </cfRule>
  </conditionalFormatting>
  <conditionalFormatting sqref="B36:F36">
    <cfRule type="expression" dxfId="343" priority="718">
      <formula>$C$36=0</formula>
    </cfRule>
  </conditionalFormatting>
  <conditionalFormatting sqref="B37:F37">
    <cfRule type="expression" dxfId="342" priority="717">
      <formula>$C$37=0</formula>
    </cfRule>
  </conditionalFormatting>
  <conditionalFormatting sqref="B38:F38">
    <cfRule type="expression" dxfId="341" priority="716">
      <formula>$C$38=0</formula>
    </cfRule>
  </conditionalFormatting>
  <conditionalFormatting sqref="B39:F39">
    <cfRule type="expression" dxfId="340" priority="715">
      <formula>$C$39=0</formula>
    </cfRule>
  </conditionalFormatting>
  <conditionalFormatting sqref="B40:F40">
    <cfRule type="expression" dxfId="339" priority="714">
      <formula>$C$40=0</formula>
    </cfRule>
  </conditionalFormatting>
  <conditionalFormatting sqref="B41:F41">
    <cfRule type="expression" dxfId="338" priority="713">
      <formula>$C$41=0</formula>
    </cfRule>
  </conditionalFormatting>
  <conditionalFormatting sqref="B42:F42">
    <cfRule type="expression" dxfId="337" priority="712">
      <formula>$C$42=0</formula>
    </cfRule>
  </conditionalFormatting>
  <conditionalFormatting sqref="B43:F43">
    <cfRule type="expression" dxfId="336" priority="711">
      <formula>$C$43=0</formula>
    </cfRule>
  </conditionalFormatting>
  <conditionalFormatting sqref="B44:F44">
    <cfRule type="expression" dxfId="335" priority="327" stopIfTrue="1">
      <formula>$G$44&lt;&gt;"Yes"</formula>
    </cfRule>
    <cfRule type="expression" dxfId="334" priority="136">
      <formula>$G$18=0</formula>
    </cfRule>
  </conditionalFormatting>
  <conditionalFormatting sqref="B47:F47">
    <cfRule type="expression" dxfId="333" priority="162">
      <formula>$C$47=0</formula>
    </cfRule>
  </conditionalFormatting>
  <conditionalFormatting sqref="B48:F48">
    <cfRule type="expression" dxfId="332" priority="445">
      <formula>$C$48=0</formula>
    </cfRule>
  </conditionalFormatting>
  <conditionalFormatting sqref="B49:F49">
    <cfRule type="expression" dxfId="331" priority="268">
      <formula>$C$49=0</formula>
    </cfRule>
  </conditionalFormatting>
  <conditionalFormatting sqref="B50:F50">
    <cfRule type="expression" dxfId="330" priority="568">
      <formula>$C$50=0</formula>
    </cfRule>
  </conditionalFormatting>
  <conditionalFormatting sqref="B51:F51">
    <cfRule type="expression" dxfId="329" priority="567">
      <formula>$E$51=0</formula>
    </cfRule>
  </conditionalFormatting>
  <conditionalFormatting sqref="B52:F52">
    <cfRule type="expression" dxfId="328" priority="566">
      <formula>$E$52=0</formula>
    </cfRule>
  </conditionalFormatting>
  <conditionalFormatting sqref="B53:F53">
    <cfRule type="expression" dxfId="327" priority="365">
      <formula>$E$53=0</formula>
    </cfRule>
  </conditionalFormatting>
  <conditionalFormatting sqref="B54:F54">
    <cfRule type="expression" dxfId="326" priority="565">
      <formula>$E$54=0</formula>
    </cfRule>
  </conditionalFormatting>
  <conditionalFormatting sqref="B55:F55">
    <cfRule type="expression" dxfId="325" priority="72">
      <formula>$C$55=0</formula>
    </cfRule>
  </conditionalFormatting>
  <conditionalFormatting sqref="B56:F56">
    <cfRule type="expression" dxfId="324" priority="564">
      <formula>$E$56=0</formula>
    </cfRule>
  </conditionalFormatting>
  <conditionalFormatting sqref="B57:F57">
    <cfRule type="expression" dxfId="323" priority="563">
      <formula>$C$57=0</formula>
    </cfRule>
  </conditionalFormatting>
  <conditionalFormatting sqref="B58:F58">
    <cfRule type="expression" dxfId="322" priority="163">
      <formula>$C$58=0</formula>
    </cfRule>
  </conditionalFormatting>
  <conditionalFormatting sqref="B61:F61">
    <cfRule type="expression" dxfId="321" priority="34">
      <formula>$C$61=0</formula>
    </cfRule>
  </conditionalFormatting>
  <conditionalFormatting sqref="B62:F62">
    <cfRule type="expression" dxfId="319" priority="33">
      <formula>$C$62=0</formula>
    </cfRule>
  </conditionalFormatting>
  <conditionalFormatting sqref="B64:F64">
    <cfRule type="expression" dxfId="318" priority="1217">
      <formula>$G$8&lt;&gt;"Kerala"</formula>
    </cfRule>
  </conditionalFormatting>
  <conditionalFormatting sqref="B65:F65">
    <cfRule type="expression" dxfId="316" priority="372">
      <formula>$C$65=0</formula>
    </cfRule>
  </conditionalFormatting>
  <conditionalFormatting sqref="B68:F72 B161:F177 B196:F199 B219:F285 C286:F286 B287:F304 B324:F330 B365:F380">
    <cfRule type="expression" dxfId="314" priority="137">
      <formula>$G$18=0</formula>
    </cfRule>
  </conditionalFormatting>
  <conditionalFormatting sqref="B69:F69">
    <cfRule type="expression" dxfId="313" priority="304">
      <formula>$B$69=0</formula>
    </cfRule>
  </conditionalFormatting>
  <conditionalFormatting sqref="B70:F70">
    <cfRule type="expression" dxfId="312" priority="94">
      <formula>$C$70=0</formula>
    </cfRule>
  </conditionalFormatting>
  <conditionalFormatting sqref="B71:F71">
    <cfRule type="expression" dxfId="311" priority="320">
      <formula>$C$71=0</formula>
    </cfRule>
  </conditionalFormatting>
  <conditionalFormatting sqref="B75:F75">
    <cfRule type="expression" dxfId="310" priority="749">
      <formula>$C$75=0</formula>
    </cfRule>
  </conditionalFormatting>
  <conditionalFormatting sqref="B76:F76">
    <cfRule type="expression" dxfId="309" priority="748">
      <formula>$C$76=0</formula>
    </cfRule>
  </conditionalFormatting>
  <conditionalFormatting sqref="B79:F79">
    <cfRule type="expression" dxfId="308" priority="383">
      <formula>$C$79=0</formula>
    </cfRule>
  </conditionalFormatting>
  <conditionalFormatting sqref="B80:F80">
    <cfRule type="expression" dxfId="307" priority="382">
      <formula>$C$80=0</formula>
    </cfRule>
  </conditionalFormatting>
  <conditionalFormatting sqref="B83:F83">
    <cfRule type="expression" dxfId="306" priority="414">
      <formula>$C$83=0</formula>
    </cfRule>
  </conditionalFormatting>
  <conditionalFormatting sqref="B83:F93">
    <cfRule type="expression" dxfId="305" priority="138">
      <formula>$G$18=0</formula>
    </cfRule>
  </conditionalFormatting>
  <conditionalFormatting sqref="B84:F84">
    <cfRule type="expression" dxfId="304" priority="413">
      <formula>$C$84=0</formula>
    </cfRule>
  </conditionalFormatting>
  <conditionalFormatting sqref="B85:F85">
    <cfRule type="expression" dxfId="303" priority="412">
      <formula>$C$85=0</formula>
    </cfRule>
  </conditionalFormatting>
  <conditionalFormatting sqref="B86:F86">
    <cfRule type="expression" dxfId="302" priority="411">
      <formula>$C$86=0</formula>
    </cfRule>
  </conditionalFormatting>
  <conditionalFormatting sqref="B87:F87">
    <cfRule type="expression" dxfId="301" priority="410">
      <formula>$C$87=0</formula>
    </cfRule>
  </conditionalFormatting>
  <conditionalFormatting sqref="B88:F88">
    <cfRule type="expression" dxfId="300" priority="409">
      <formula>$C$88=0</formula>
    </cfRule>
  </conditionalFormatting>
  <conditionalFormatting sqref="B89:F89">
    <cfRule type="expression" dxfId="299" priority="408">
      <formula>$C$89=0</formula>
    </cfRule>
  </conditionalFormatting>
  <conditionalFormatting sqref="B90:F90">
    <cfRule type="expression" dxfId="298" priority="407">
      <formula>$C$90=0</formula>
    </cfRule>
  </conditionalFormatting>
  <conditionalFormatting sqref="B91:F91">
    <cfRule type="expression" dxfId="297" priority="406">
      <formula>$C$91=0</formula>
    </cfRule>
  </conditionalFormatting>
  <conditionalFormatting sqref="B92:F92">
    <cfRule type="expression" dxfId="296" priority="405">
      <formula>$C$92=0</formula>
    </cfRule>
  </conditionalFormatting>
  <conditionalFormatting sqref="B93:F93">
    <cfRule type="expression" dxfId="295" priority="404">
      <formula>$C$93=0</formula>
    </cfRule>
  </conditionalFormatting>
  <conditionalFormatting sqref="B96:F96">
    <cfRule type="expression" dxfId="294" priority="25">
      <formula>$C$96=0</formula>
    </cfRule>
  </conditionalFormatting>
  <conditionalFormatting sqref="B96:F106">
    <cfRule type="expression" dxfId="293" priority="14">
      <formula>$G$18=0</formula>
    </cfRule>
  </conditionalFormatting>
  <conditionalFormatting sqref="B97:F97">
    <cfRule type="expression" dxfId="292" priority="24">
      <formula>$C$97=0</formula>
    </cfRule>
  </conditionalFormatting>
  <conditionalFormatting sqref="B98:F98">
    <cfRule type="expression" dxfId="291" priority="23">
      <formula>$C$98=0</formula>
    </cfRule>
  </conditionalFormatting>
  <conditionalFormatting sqref="B99:F99">
    <cfRule type="expression" dxfId="290" priority="22">
      <formula>$C$99=0</formula>
    </cfRule>
  </conditionalFormatting>
  <conditionalFormatting sqref="B100:F100">
    <cfRule type="expression" dxfId="289" priority="21">
      <formula>$C$100=0</formula>
    </cfRule>
  </conditionalFormatting>
  <conditionalFormatting sqref="B101:F101">
    <cfRule type="expression" dxfId="288" priority="20">
      <formula>$C$101=0</formula>
    </cfRule>
  </conditionalFormatting>
  <conditionalFormatting sqref="B102:F102">
    <cfRule type="expression" dxfId="287" priority="19">
      <formula>$C$102=0</formula>
    </cfRule>
  </conditionalFormatting>
  <conditionalFormatting sqref="B103:F103">
    <cfRule type="expression" dxfId="286" priority="18">
      <formula>$C$103=0</formula>
    </cfRule>
  </conditionalFormatting>
  <conditionalFormatting sqref="B104:F104">
    <cfRule type="expression" dxfId="285" priority="17">
      <formula>$C$104=0</formula>
    </cfRule>
  </conditionalFormatting>
  <conditionalFormatting sqref="B105:F105">
    <cfRule type="expression" dxfId="284" priority="16">
      <formula>$C$105=0</formula>
    </cfRule>
  </conditionalFormatting>
  <conditionalFormatting sqref="B106:F106">
    <cfRule type="expression" dxfId="283" priority="15">
      <formula>$C$106=0</formula>
    </cfRule>
  </conditionalFormatting>
  <conditionalFormatting sqref="B109:F109">
    <cfRule type="expression" dxfId="282" priority="13">
      <formula>$C$109=0</formula>
    </cfRule>
  </conditionalFormatting>
  <conditionalFormatting sqref="B109:F120">
    <cfRule type="expression" dxfId="281" priority="1">
      <formula>$G$18=0</formula>
    </cfRule>
  </conditionalFormatting>
  <conditionalFormatting sqref="B110:F110">
    <cfRule type="expression" dxfId="280" priority="3">
      <formula>$C$110=0</formula>
    </cfRule>
  </conditionalFormatting>
  <conditionalFormatting sqref="B111:F111">
    <cfRule type="expression" dxfId="279" priority="12">
      <formula>$C$111=0</formula>
    </cfRule>
  </conditionalFormatting>
  <conditionalFormatting sqref="B112:F112">
    <cfRule type="expression" dxfId="278" priority="9">
      <formula>$C$112=0</formula>
    </cfRule>
  </conditionalFormatting>
  <conditionalFormatting sqref="B113:F113">
    <cfRule type="expression" dxfId="277" priority="11">
      <formula>$C$113=0</formula>
    </cfRule>
  </conditionalFormatting>
  <conditionalFormatting sqref="B114:F114">
    <cfRule type="expression" dxfId="276" priority="8">
      <formula>$C$114=0</formula>
    </cfRule>
  </conditionalFormatting>
  <conditionalFormatting sqref="B115:F115">
    <cfRule type="expression" dxfId="275" priority="10">
      <formula>$C$115=0</formula>
    </cfRule>
  </conditionalFormatting>
  <conditionalFormatting sqref="B116:F116">
    <cfRule type="expression" dxfId="274" priority="7">
      <formula>$C$116=0</formula>
    </cfRule>
  </conditionalFormatting>
  <conditionalFormatting sqref="B117:F117">
    <cfRule type="expression" dxfId="273" priority="6">
      <formula>$C$117=0</formula>
    </cfRule>
  </conditionalFormatting>
  <conditionalFormatting sqref="B118:F118">
    <cfRule type="expression" dxfId="272" priority="2">
      <formula>$C$118=0</formula>
    </cfRule>
  </conditionalFormatting>
  <conditionalFormatting sqref="B119:F119">
    <cfRule type="expression" dxfId="271" priority="5">
      <formula>$C$119=0</formula>
    </cfRule>
  </conditionalFormatting>
  <conditionalFormatting sqref="B120:F120">
    <cfRule type="expression" dxfId="270" priority="4">
      <formula>$E$120=0</formula>
    </cfRule>
  </conditionalFormatting>
  <conditionalFormatting sqref="B123:F123">
    <cfRule type="expression" dxfId="269" priority="760">
      <formula>$C$123=0</formula>
    </cfRule>
  </conditionalFormatting>
  <conditionalFormatting sqref="B123:F131">
    <cfRule type="expression" dxfId="268" priority="141">
      <formula>$G$18=0</formula>
    </cfRule>
  </conditionalFormatting>
  <conditionalFormatting sqref="B124:F124">
    <cfRule type="expression" dxfId="267" priority="757">
      <formula>$C$124=0</formula>
    </cfRule>
  </conditionalFormatting>
  <conditionalFormatting sqref="B125:F125">
    <cfRule type="expression" dxfId="266" priority="321">
      <formula>$C$125=0</formula>
    </cfRule>
  </conditionalFormatting>
  <conditionalFormatting sqref="B126:F126">
    <cfRule type="expression" dxfId="265" priority="352">
      <formula>$C$126=0</formula>
    </cfRule>
  </conditionalFormatting>
  <conditionalFormatting sqref="B127:F127">
    <cfRule type="expression" dxfId="264" priority="351">
      <formula>$C$127=0</formula>
    </cfRule>
  </conditionalFormatting>
  <conditionalFormatting sqref="B128:F128">
    <cfRule type="expression" dxfId="263" priority="350">
      <formula>$C$128=0</formula>
    </cfRule>
  </conditionalFormatting>
  <conditionalFormatting sqref="B129:F129">
    <cfRule type="expression" dxfId="262" priority="349">
      <formula>$C$129=0</formula>
    </cfRule>
  </conditionalFormatting>
  <conditionalFormatting sqref="B130:F130">
    <cfRule type="expression" dxfId="261" priority="348">
      <formula>$C$130=0</formula>
    </cfRule>
  </conditionalFormatting>
  <conditionalFormatting sqref="B131:F131">
    <cfRule type="expression" dxfId="260" priority="347">
      <formula>$C$131=0</formula>
    </cfRule>
  </conditionalFormatting>
  <conditionalFormatting sqref="B134:F134">
    <cfRule type="expression" dxfId="259" priority="427">
      <formula>$C$134=0</formula>
    </cfRule>
  </conditionalFormatting>
  <conditionalFormatting sqref="B135:F135">
    <cfRule type="expression" dxfId="258" priority="426">
      <formula>$C$135=0</formula>
    </cfRule>
  </conditionalFormatting>
  <conditionalFormatting sqref="B136:F136">
    <cfRule type="expression" dxfId="257" priority="704">
      <formula>$C$136=0</formula>
    </cfRule>
  </conditionalFormatting>
  <conditionalFormatting sqref="B139:F140">
    <cfRule type="expression" dxfId="256" priority="346">
      <formula>$C$139=0</formula>
    </cfRule>
  </conditionalFormatting>
  <conditionalFormatting sqref="B143:F143">
    <cfRule type="expression" dxfId="255" priority="345">
      <formula>$C$143=0</formula>
    </cfRule>
  </conditionalFormatting>
  <conditionalFormatting sqref="B143:F149">
    <cfRule type="expression" dxfId="254" priority="135">
      <formula>$G$18=0</formula>
    </cfRule>
  </conditionalFormatting>
  <conditionalFormatting sqref="B144:F144">
    <cfRule type="expression" dxfId="253" priority="344">
      <formula>$C$144=0</formula>
    </cfRule>
  </conditionalFormatting>
  <conditionalFormatting sqref="B145:F145">
    <cfRule type="expression" dxfId="252" priority="343">
      <formula>$C$145=0</formula>
    </cfRule>
  </conditionalFormatting>
  <conditionalFormatting sqref="B146:F146">
    <cfRule type="expression" dxfId="251" priority="342">
      <formula>$C$146=0</formula>
    </cfRule>
  </conditionalFormatting>
  <conditionalFormatting sqref="B147:F147">
    <cfRule type="expression" dxfId="250" priority="341">
      <formula>$C$147=0</formula>
    </cfRule>
  </conditionalFormatting>
  <conditionalFormatting sqref="B148:F148">
    <cfRule type="expression" dxfId="249" priority="340">
      <formula>$C$148=0</formula>
    </cfRule>
  </conditionalFormatting>
  <conditionalFormatting sqref="B149:F149">
    <cfRule type="expression" dxfId="248" priority="339">
      <formula>$C$149=0</formula>
    </cfRule>
  </conditionalFormatting>
  <conditionalFormatting sqref="B152:F152">
    <cfRule type="expression" dxfId="247" priority="482">
      <formula>$C$152=0</formula>
    </cfRule>
  </conditionalFormatting>
  <conditionalFormatting sqref="B153:F153">
    <cfRule type="expression" dxfId="246" priority="364">
      <formula>$C$153=0</formula>
    </cfRule>
  </conditionalFormatting>
  <conditionalFormatting sqref="B154:F154">
    <cfRule type="expression" dxfId="245" priority="338">
      <formula>$C$154=0</formula>
    </cfRule>
  </conditionalFormatting>
  <conditionalFormatting sqref="B155:F155">
    <cfRule type="expression" dxfId="244" priority="337">
      <formula>$C$155=0</formula>
    </cfRule>
  </conditionalFormatting>
  <conditionalFormatting sqref="B156:F156">
    <cfRule type="expression" dxfId="243" priority="336">
      <formula>$C$156=0</formula>
    </cfRule>
  </conditionalFormatting>
  <conditionalFormatting sqref="B157:F157">
    <cfRule type="expression" dxfId="242" priority="335">
      <formula>$C$157=0</formula>
    </cfRule>
  </conditionalFormatting>
  <conditionalFormatting sqref="B158:F158">
    <cfRule type="expression" dxfId="241" priority="334">
      <formula>$C$158=0</formula>
    </cfRule>
  </conditionalFormatting>
  <conditionalFormatting sqref="B161:F161">
    <cfRule type="expression" dxfId="240" priority="392">
      <formula>$G$161&lt;&gt;"4PEL Scope"</formula>
    </cfRule>
  </conditionalFormatting>
  <conditionalFormatting sqref="B161:F162">
    <cfRule type="expression" dxfId="239" priority="385">
      <formula>$C$161=0</formula>
    </cfRule>
  </conditionalFormatting>
  <conditionalFormatting sqref="B163:F163">
    <cfRule type="expression" dxfId="237" priority="57">
      <formula>$C$163=0</formula>
    </cfRule>
  </conditionalFormatting>
  <conditionalFormatting sqref="B164:F164">
    <cfRule type="expression" dxfId="236" priority="584">
      <formula>$C$164=0</formula>
    </cfRule>
  </conditionalFormatting>
  <conditionalFormatting sqref="B165:F165">
    <cfRule type="expression" dxfId="235" priority="283">
      <formula>$C$165=0</formula>
    </cfRule>
  </conditionalFormatting>
  <conditionalFormatting sqref="B166:F166">
    <cfRule type="expression" dxfId="234" priority="763">
      <formula>$C$166=0</formula>
    </cfRule>
  </conditionalFormatting>
  <conditionalFormatting sqref="B167:F167">
    <cfRule type="expression" dxfId="233" priority="764">
      <formula>$C$167=0</formula>
    </cfRule>
  </conditionalFormatting>
  <conditionalFormatting sqref="B168:F168">
    <cfRule type="expression" dxfId="232" priority="370">
      <formula>$C$168=0</formula>
    </cfRule>
  </conditionalFormatting>
  <conditionalFormatting sqref="B169:F169">
    <cfRule type="expression" dxfId="231" priority="369">
      <formula>$C$169=0</formula>
    </cfRule>
  </conditionalFormatting>
  <conditionalFormatting sqref="B170:F170">
    <cfRule type="expression" dxfId="230" priority="96">
      <formula>$C$170=0</formula>
    </cfRule>
  </conditionalFormatting>
  <conditionalFormatting sqref="B171:F171">
    <cfRule type="expression" dxfId="229" priority="95">
      <formula>$C$171=0</formula>
    </cfRule>
  </conditionalFormatting>
  <conditionalFormatting sqref="B172:F172">
    <cfRule type="expression" dxfId="228" priority="318">
      <formula>$C$172=0</formula>
    </cfRule>
  </conditionalFormatting>
  <conditionalFormatting sqref="B173:F174">
    <cfRule type="expression" dxfId="227" priority="317">
      <formula>$C$173=0</formula>
    </cfRule>
  </conditionalFormatting>
  <conditionalFormatting sqref="B175:F175">
    <cfRule type="expression" dxfId="226" priority="762">
      <formula>$E$161=0</formula>
    </cfRule>
  </conditionalFormatting>
  <conditionalFormatting sqref="B176:F176">
    <cfRule type="expression" dxfId="225" priority="605">
      <formula>$C$176=0</formula>
    </cfRule>
  </conditionalFormatting>
  <conditionalFormatting sqref="B177:F177">
    <cfRule type="expression" dxfId="223" priority="604">
      <formula>$C$177=0</formula>
    </cfRule>
  </conditionalFormatting>
  <conditionalFormatting sqref="B180:F180">
    <cfRule type="expression" dxfId="222" priority="701">
      <formula>$C$180=0</formula>
    </cfRule>
  </conditionalFormatting>
  <conditionalFormatting sqref="B180:F193">
    <cfRule type="expression" dxfId="221" priority="148">
      <formula>$G$18=0</formula>
    </cfRule>
  </conditionalFormatting>
  <conditionalFormatting sqref="B182:F182">
    <cfRule type="expression" dxfId="220" priority="160">
      <formula>$C$182=0</formula>
    </cfRule>
  </conditionalFormatting>
  <conditionalFormatting sqref="B183:F183 B184">
    <cfRule type="expression" dxfId="219" priority="159">
      <formula>$C$183=0</formula>
    </cfRule>
  </conditionalFormatting>
  <conditionalFormatting sqref="B184:F184">
    <cfRule type="expression" dxfId="218" priority="158">
      <formula>$C$184=0</formula>
    </cfRule>
  </conditionalFormatting>
  <conditionalFormatting sqref="B185:F185">
    <cfRule type="expression" dxfId="217" priority="700">
      <formula>$C$185=0</formula>
    </cfRule>
  </conditionalFormatting>
  <conditionalFormatting sqref="B186:F186">
    <cfRule type="expression" dxfId="216" priority="157">
      <formula>$C$186=0</formula>
    </cfRule>
  </conditionalFormatting>
  <conditionalFormatting sqref="B187:F187">
    <cfRule type="expression" dxfId="215" priority="156">
      <formula>$C$187=0</formula>
    </cfRule>
  </conditionalFormatting>
  <conditionalFormatting sqref="B188:F188">
    <cfRule type="expression" dxfId="214" priority="155">
      <formula>$C$188=0</formula>
    </cfRule>
  </conditionalFormatting>
  <conditionalFormatting sqref="B189:F189">
    <cfRule type="expression" dxfId="213" priority="154">
      <formula>$C$189=0</formula>
    </cfRule>
  </conditionalFormatting>
  <conditionalFormatting sqref="B190:F190">
    <cfRule type="expression" dxfId="212" priority="153">
      <formula>$C$190=0</formula>
    </cfRule>
  </conditionalFormatting>
  <conditionalFormatting sqref="B191:F191">
    <cfRule type="expression" dxfId="211" priority="152">
      <formula>$C$191=0</formula>
    </cfRule>
  </conditionalFormatting>
  <conditionalFormatting sqref="B192:F192">
    <cfRule type="expression" dxfId="210" priority="151">
      <formula>$E$192=0</formula>
    </cfRule>
  </conditionalFormatting>
  <conditionalFormatting sqref="B193:F193">
    <cfRule type="expression" dxfId="209" priority="431">
      <formula>$C$193=0</formula>
    </cfRule>
  </conditionalFormatting>
  <conditionalFormatting sqref="B196:F196">
    <cfRule type="expression" dxfId="208" priority="173">
      <formula>$C$196=0</formula>
    </cfRule>
    <cfRule type="expression" dxfId="207" priority="27">
      <formula>$E$196=0</formula>
    </cfRule>
  </conditionalFormatting>
  <conditionalFormatting sqref="B196:F199">
    <cfRule type="expression" dxfId="206" priority="31">
      <formula>SUM($G$14:$G$17)=0</formula>
    </cfRule>
  </conditionalFormatting>
  <conditionalFormatting sqref="B197:F197">
    <cfRule type="expression" dxfId="205" priority="61">
      <formula>$C$197=0</formula>
    </cfRule>
  </conditionalFormatting>
  <conditionalFormatting sqref="B203:F203">
    <cfRule type="expression" dxfId="202" priority="132">
      <formula>$C$203=0</formula>
    </cfRule>
  </conditionalFormatting>
  <conditionalFormatting sqref="B203:F217">
    <cfRule type="expression" dxfId="201" priority="147">
      <formula>$G$18=0</formula>
    </cfRule>
  </conditionalFormatting>
  <conditionalFormatting sqref="B204:F204">
    <cfRule type="expression" dxfId="200" priority="443">
      <formula>$C$204=0</formula>
    </cfRule>
  </conditionalFormatting>
  <conditionalFormatting sqref="B205:F205">
    <cfRule type="expression" dxfId="199" priority="416">
      <formula>$C$205=0</formula>
    </cfRule>
  </conditionalFormatting>
  <conditionalFormatting sqref="B206:F206">
    <cfRule type="expression" dxfId="198" priority="506">
      <formula>$C$206=0</formula>
    </cfRule>
  </conditionalFormatting>
  <conditionalFormatting sqref="B207:F207 E208">
    <cfRule type="expression" dxfId="197" priority="133">
      <formula>$C$207=0</formula>
    </cfRule>
  </conditionalFormatting>
  <conditionalFormatting sqref="B208:F210">
    <cfRule type="expression" dxfId="196" priority="441">
      <formula>$C$208=0</formula>
    </cfRule>
  </conditionalFormatting>
  <conditionalFormatting sqref="B209:F209">
    <cfRule type="expression" dxfId="195" priority="29">
      <formula>$E$209=0</formula>
    </cfRule>
  </conditionalFormatting>
  <conditionalFormatting sqref="B210:F210">
    <cfRule type="expression" dxfId="194" priority="28">
      <formula>$E$210=0</formula>
    </cfRule>
  </conditionalFormatting>
  <conditionalFormatting sqref="B211:F211">
    <cfRule type="expression" dxfId="193" priority="440">
      <formula>$C$211=0</formula>
    </cfRule>
  </conditionalFormatting>
  <conditionalFormatting sqref="B212:F213">
    <cfRule type="expression" dxfId="192" priority="439">
      <formula>$C$212=0</formula>
    </cfRule>
  </conditionalFormatting>
  <conditionalFormatting sqref="B214:F214">
    <cfRule type="expression" dxfId="191" priority="438">
      <formula>$C$214=0</formula>
    </cfRule>
  </conditionalFormatting>
  <conditionalFormatting sqref="B215:F215">
    <cfRule type="expression" dxfId="190" priority="437">
      <formula>$C$215=0</formula>
    </cfRule>
  </conditionalFormatting>
  <conditionalFormatting sqref="B216:F216">
    <cfRule type="expression" dxfId="189" priority="447">
      <formula>$C$216=0</formula>
    </cfRule>
  </conditionalFormatting>
  <conditionalFormatting sqref="B219:F219">
    <cfRule type="expression" dxfId="188" priority="332">
      <formula>$C$219=0</formula>
    </cfRule>
  </conditionalFormatting>
  <conditionalFormatting sqref="B220:F220">
    <cfRule type="expression" dxfId="187" priority="118">
      <formula>$C$220=0</formula>
    </cfRule>
  </conditionalFormatting>
  <conditionalFormatting sqref="B221:F221">
    <cfRule type="expression" dxfId="186" priority="117">
      <formula>$C$221=0</formula>
    </cfRule>
  </conditionalFormatting>
  <conditionalFormatting sqref="B222:F222">
    <cfRule type="expression" dxfId="185" priority="116">
      <formula>$C$222=0</formula>
    </cfRule>
  </conditionalFormatting>
  <conditionalFormatting sqref="B223:F223">
    <cfRule type="expression" dxfId="184" priority="281">
      <formula>$C$223=0</formula>
    </cfRule>
  </conditionalFormatting>
  <conditionalFormatting sqref="B224:F224">
    <cfRule type="expression" dxfId="183" priority="272">
      <formula>$C$224=0</formula>
    </cfRule>
  </conditionalFormatting>
  <conditionalFormatting sqref="B225:F225">
    <cfRule type="expression" dxfId="182" priority="271">
      <formula>$C$225=0</formula>
    </cfRule>
  </conditionalFormatting>
  <conditionalFormatting sqref="B226:F226">
    <cfRule type="expression" dxfId="181" priority="1758">
      <formula>$C$226=0</formula>
    </cfRule>
  </conditionalFormatting>
  <conditionalFormatting sqref="B227:F227">
    <cfRule type="expression" dxfId="180" priority="1760">
      <formula>$C$227=0</formula>
    </cfRule>
  </conditionalFormatting>
  <conditionalFormatting sqref="B228:F228">
    <cfRule type="expression" dxfId="179" priority="284">
      <formula>$C$228=0</formula>
    </cfRule>
  </conditionalFormatting>
  <conditionalFormatting sqref="B229:F229">
    <cfRule type="expression" dxfId="178" priority="270">
      <formula>$C$229=0</formula>
    </cfRule>
  </conditionalFormatting>
  <conditionalFormatting sqref="B230:F230">
    <cfRule type="expression" dxfId="177" priority="512">
      <formula>$C$230=0</formula>
    </cfRule>
  </conditionalFormatting>
  <conditionalFormatting sqref="B231:F231">
    <cfRule type="expression" dxfId="176" priority="119">
      <formula>$C$231=0</formula>
    </cfRule>
  </conditionalFormatting>
  <conditionalFormatting sqref="B232:F232">
    <cfRule type="expression" dxfId="175" priority="510">
      <formula>$C$232=0</formula>
    </cfRule>
  </conditionalFormatting>
  <conditionalFormatting sqref="B233:F233">
    <cfRule type="expression" dxfId="174" priority="161">
      <formula>$C$233=0</formula>
    </cfRule>
  </conditionalFormatting>
  <conditionalFormatting sqref="B234:F234">
    <cfRule type="expression" dxfId="173" priority="509">
      <formula>$C$234=0</formula>
    </cfRule>
  </conditionalFormatting>
  <conditionalFormatting sqref="B235:F235">
    <cfRule type="expression" dxfId="172" priority="115">
      <formula>$C$235=0</formula>
    </cfRule>
  </conditionalFormatting>
  <conditionalFormatting sqref="B236:F237">
    <cfRule type="expression" dxfId="171" priority="113">
      <formula>$C$236=0</formula>
    </cfRule>
  </conditionalFormatting>
  <conditionalFormatting sqref="B237:F237">
    <cfRule type="expression" dxfId="170" priority="114">
      <formula>$C$237=0</formula>
    </cfRule>
  </conditionalFormatting>
  <conditionalFormatting sqref="B238:F238">
    <cfRule type="expression" dxfId="169" priority="112">
      <formula>$C$238=0</formula>
    </cfRule>
  </conditionalFormatting>
  <conditionalFormatting sqref="B239:F239">
    <cfRule type="expression" dxfId="168" priority="454">
      <formula>$C$239=0</formula>
    </cfRule>
  </conditionalFormatting>
  <conditionalFormatting sqref="B240:F240">
    <cfRule type="expression" dxfId="167" priority="470">
      <formula>$C$240=0</formula>
    </cfRule>
  </conditionalFormatting>
  <conditionalFormatting sqref="B241:F241">
    <cfRule type="expression" dxfId="166" priority="111">
      <formula>$C$241=0</formula>
    </cfRule>
  </conditionalFormatting>
  <conditionalFormatting sqref="B242:F242">
    <cfRule type="expression" dxfId="165" priority="469">
      <formula>$C$242=0</formula>
    </cfRule>
  </conditionalFormatting>
  <conditionalFormatting sqref="B243:F243">
    <cfRule type="expression" dxfId="164" priority="110">
      <formula>$C$243=0</formula>
    </cfRule>
  </conditionalFormatting>
  <conditionalFormatting sqref="B244:F244">
    <cfRule type="expression" dxfId="163" priority="120">
      <formula>$C$244=0</formula>
    </cfRule>
  </conditionalFormatting>
  <conditionalFormatting sqref="B245:F245">
    <cfRule type="expression" dxfId="162" priority="109">
      <formula>$C$245=0</formula>
    </cfRule>
  </conditionalFormatting>
  <conditionalFormatting sqref="B246:F246">
    <cfRule type="expression" dxfId="161" priority="442">
      <formula>$C$246=0</formula>
    </cfRule>
  </conditionalFormatting>
  <conditionalFormatting sqref="B247:F247">
    <cfRule type="expression" dxfId="160" priority="277">
      <formula>$C$247=0</formula>
    </cfRule>
  </conditionalFormatting>
  <conditionalFormatting sqref="B248:F248">
    <cfRule type="expression" dxfId="159" priority="450">
      <formula>$C$248=0</formula>
    </cfRule>
  </conditionalFormatting>
  <conditionalFormatting sqref="B249:F249">
    <cfRule type="expression" dxfId="158" priority="276">
      <formula>$C$249=0</formula>
    </cfRule>
  </conditionalFormatting>
  <conditionalFormatting sqref="B250:F250">
    <cfRule type="expression" dxfId="157" priority="275">
      <formula>$C$250=0</formula>
    </cfRule>
  </conditionalFormatting>
  <conditionalFormatting sqref="B251:F251">
    <cfRule type="expression" dxfId="156" priority="1753">
      <formula>$C$251=0</formula>
    </cfRule>
  </conditionalFormatting>
  <conditionalFormatting sqref="B252:F252">
    <cfRule type="expression" dxfId="155" priority="1756">
      <formula>$C$252=0</formula>
    </cfRule>
  </conditionalFormatting>
  <conditionalFormatting sqref="B253:F253">
    <cfRule type="expression" dxfId="154" priority="502">
      <formula>$C$253=0</formula>
    </cfRule>
  </conditionalFormatting>
  <conditionalFormatting sqref="B254:F254">
    <cfRule type="expression" dxfId="153" priority="278">
      <formula>$C$254=0</formula>
    </cfRule>
  </conditionalFormatting>
  <conditionalFormatting sqref="B255:F255">
    <cfRule type="expression" dxfId="152" priority="291">
      <formula>$C$255=0</formula>
    </cfRule>
  </conditionalFormatting>
  <conditionalFormatting sqref="B256:F256">
    <cfRule type="expression" dxfId="151" priority="125">
      <formula>$C$256=0</formula>
    </cfRule>
  </conditionalFormatting>
  <conditionalFormatting sqref="B257:F257">
    <cfRule type="expression" dxfId="150" priority="39">
      <formula>$C$257=0</formula>
    </cfRule>
  </conditionalFormatting>
  <conditionalFormatting sqref="B258:F258">
    <cfRule type="expression" dxfId="149" priority="124">
      <formula>$C$258=0</formula>
    </cfRule>
  </conditionalFormatting>
  <conditionalFormatting sqref="B259:F259">
    <cfRule type="expression" dxfId="148" priority="123">
      <formula>$C$259=0</formula>
    </cfRule>
  </conditionalFormatting>
  <conditionalFormatting sqref="B260:F260">
    <cfRule type="expression" dxfId="147" priority="122">
      <formula>$C$260=0</formula>
    </cfRule>
  </conditionalFormatting>
  <conditionalFormatting sqref="B261:F261">
    <cfRule type="expression" dxfId="146" priority="121">
      <formula>$C$261=0</formula>
    </cfRule>
  </conditionalFormatting>
  <conditionalFormatting sqref="B262:F262">
    <cfRule type="expression" dxfId="145" priority="464">
      <formula>$C$262=0</formula>
    </cfRule>
  </conditionalFormatting>
  <conditionalFormatting sqref="B263:F263">
    <cfRule type="expression" dxfId="144" priority="367">
      <formula>$C$263=0</formula>
    </cfRule>
  </conditionalFormatting>
  <conditionalFormatting sqref="B264:F264">
    <cfRule type="expression" dxfId="143" priority="279">
      <formula>$C$264=0</formula>
    </cfRule>
  </conditionalFormatting>
  <conditionalFormatting sqref="B265:F265">
    <cfRule type="expression" dxfId="142" priority="2137">
      <formula>$C$265=0</formula>
    </cfRule>
    <cfRule type="expression" dxfId="141" priority="2138">
      <formula>SUM($G$14:$G$15)=0</formula>
    </cfRule>
  </conditionalFormatting>
  <conditionalFormatting sqref="B266:F266">
    <cfRule type="expression" dxfId="140" priority="288">
      <formula>$C$266=0</formula>
    </cfRule>
  </conditionalFormatting>
  <conditionalFormatting sqref="B267:F267 E268">
    <cfRule type="expression" dxfId="139" priority="287">
      <formula>$C$267=0</formula>
    </cfRule>
  </conditionalFormatting>
  <conditionalFormatting sqref="B268:F268">
    <cfRule type="expression" dxfId="138" priority="285">
      <formula>$C$268=0</formula>
    </cfRule>
  </conditionalFormatting>
  <conditionalFormatting sqref="B269:F269">
    <cfRule type="expression" dxfId="137" priority="286">
      <formula>$C$269=0</formula>
    </cfRule>
  </conditionalFormatting>
  <conditionalFormatting sqref="B270:F270">
    <cfRule type="expression" dxfId="136" priority="131">
      <formula>$C$270=0</formula>
    </cfRule>
  </conditionalFormatting>
  <conditionalFormatting sqref="B271:F271">
    <cfRule type="expression" dxfId="135" priority="130">
      <formula>$C$271=0</formula>
    </cfRule>
  </conditionalFormatting>
  <conditionalFormatting sqref="B272:F272">
    <cfRule type="expression" dxfId="134" priority="129">
      <formula>$C$272=0</formula>
    </cfRule>
  </conditionalFormatting>
  <conditionalFormatting sqref="B273:F273">
    <cfRule type="expression" dxfId="133" priority="128">
      <formula>$C$273=0</formula>
    </cfRule>
  </conditionalFormatting>
  <conditionalFormatting sqref="B274:F274">
    <cfRule type="expression" dxfId="132" priority="127">
      <formula>$C$274=0</formula>
    </cfRule>
  </conditionalFormatting>
  <conditionalFormatting sqref="B275:F275">
    <cfRule type="expression" dxfId="131" priority="126">
      <formula>$C$275=0</formula>
    </cfRule>
  </conditionalFormatting>
  <conditionalFormatting sqref="B276:F276">
    <cfRule type="expression" dxfId="130" priority="220">
      <formula>$C$276=0</formula>
    </cfRule>
    <cfRule type="expression" dxfId="129" priority="2073">
      <formula>#REF!=0</formula>
    </cfRule>
  </conditionalFormatting>
  <conditionalFormatting sqref="B277:F277">
    <cfRule type="expression" dxfId="128" priority="228">
      <formula>$C$277=0</formula>
    </cfRule>
  </conditionalFormatting>
  <conditionalFormatting sqref="B278:F278 B279">
    <cfRule type="expression" dxfId="127" priority="225">
      <formula>$C$278=0</formula>
    </cfRule>
  </conditionalFormatting>
  <conditionalFormatting sqref="B279:F279">
    <cfRule type="expression" dxfId="126" priority="224">
      <formula>$C$279=0</formula>
    </cfRule>
  </conditionalFormatting>
  <conditionalFormatting sqref="B280:F280">
    <cfRule type="expression" dxfId="125" priority="223">
      <formula>$C$280=0</formula>
    </cfRule>
  </conditionalFormatting>
  <conditionalFormatting sqref="B281:F281">
    <cfRule type="expression" dxfId="124" priority="222">
      <formula>$C$281=0</formula>
    </cfRule>
  </conditionalFormatting>
  <conditionalFormatting sqref="B282:F282">
    <cfRule type="expression" dxfId="123" priority="221">
      <formula>$C$282=0</formula>
    </cfRule>
  </conditionalFormatting>
  <conditionalFormatting sqref="B283:F283 B284:B285 B287">
    <cfRule type="expression" dxfId="122" priority="219">
      <formula>$C$283=0</formula>
    </cfRule>
  </conditionalFormatting>
  <conditionalFormatting sqref="B284:F284 B285 B287">
    <cfRule type="expression" dxfId="121" priority="218">
      <formula>$C$284=0</formula>
    </cfRule>
  </conditionalFormatting>
  <conditionalFormatting sqref="B285:F285 B287">
    <cfRule type="expression" dxfId="120" priority="217">
      <formula>$C$285=0</formula>
    </cfRule>
  </conditionalFormatting>
  <conditionalFormatting sqref="B287:F287">
    <cfRule type="expression" dxfId="119" priority="215">
      <formula>$C$287=0</formula>
    </cfRule>
  </conditionalFormatting>
  <conditionalFormatting sqref="B288:F289 C290:C292">
    <cfRule type="expression" dxfId="118" priority="214">
      <formula>$C$288=0</formula>
    </cfRule>
  </conditionalFormatting>
  <conditionalFormatting sqref="B290:F290 C291:C292">
    <cfRule type="expression" dxfId="117" priority="211">
      <formula>$C$290=0</formula>
    </cfRule>
  </conditionalFormatting>
  <conditionalFormatting sqref="B291:F292">
    <cfRule type="expression" dxfId="116" priority="210">
      <formula>$C$291=0</formula>
    </cfRule>
  </conditionalFormatting>
  <conditionalFormatting sqref="B292:F292">
    <cfRule type="expression" dxfId="115" priority="26">
      <formula>$C$292=0</formula>
    </cfRule>
  </conditionalFormatting>
  <conditionalFormatting sqref="B293:F293">
    <cfRule type="expression" dxfId="114" priority="208">
      <formula>$C$293=0</formula>
    </cfRule>
  </conditionalFormatting>
  <conditionalFormatting sqref="B294:F294">
    <cfRule type="expression" dxfId="113" priority="207">
      <formula>$C$294=0</formula>
    </cfRule>
  </conditionalFormatting>
  <conditionalFormatting sqref="B295:F295">
    <cfRule type="expression" dxfId="112" priority="206">
      <formula>$C$295=0</formula>
    </cfRule>
  </conditionalFormatting>
  <conditionalFormatting sqref="B296:F296">
    <cfRule type="expression" dxfId="111" priority="205">
      <formula>$C$296=0</formula>
    </cfRule>
  </conditionalFormatting>
  <conditionalFormatting sqref="B297:F297">
    <cfRule type="expression" dxfId="110" priority="204">
      <formula>$C$297=0</formula>
    </cfRule>
  </conditionalFormatting>
  <conditionalFormatting sqref="B298:F298">
    <cfRule type="expression" dxfId="109" priority="203">
      <formula>$C$298=0</formula>
    </cfRule>
  </conditionalFormatting>
  <conditionalFormatting sqref="B299:F299">
    <cfRule type="expression" dxfId="108" priority="202">
      <formula>$C$299=0</formula>
    </cfRule>
  </conditionalFormatting>
  <conditionalFormatting sqref="B300:F300">
    <cfRule type="expression" dxfId="107" priority="201">
      <formula>$C$300=0</formula>
    </cfRule>
  </conditionalFormatting>
  <conditionalFormatting sqref="B301:F301">
    <cfRule type="expression" dxfId="106" priority="200">
      <formula>$C$301=0</formula>
    </cfRule>
  </conditionalFormatting>
  <conditionalFormatting sqref="B302:F302">
    <cfRule type="expression" dxfId="105" priority="199">
      <formula>$C$302=0</formula>
    </cfRule>
  </conditionalFormatting>
  <conditionalFormatting sqref="B303:F303">
    <cfRule type="expression" dxfId="104" priority="198">
      <formula>$C$303=0</formula>
    </cfRule>
  </conditionalFormatting>
  <conditionalFormatting sqref="B304:F304">
    <cfRule type="expression" dxfId="103" priority="196">
      <formula>$C$304=0</formula>
    </cfRule>
    <cfRule type="expression" dxfId="102" priority="197">
      <formula>$B$304=0</formula>
    </cfRule>
  </conditionalFormatting>
  <conditionalFormatting sqref="B307:F308">
    <cfRule type="expression" dxfId="100" priority="146">
      <formula>$G$18=0</formula>
    </cfRule>
  </conditionalFormatting>
  <conditionalFormatting sqref="B311:F311">
    <cfRule type="expression" dxfId="98" priority="88">
      <formula>$E$311=0</formula>
    </cfRule>
  </conditionalFormatting>
  <conditionalFormatting sqref="B312:F312">
    <cfRule type="expression" dxfId="97" priority="87">
      <formula>$E$312=0</formula>
    </cfRule>
  </conditionalFormatting>
  <conditionalFormatting sqref="B313:F313">
    <cfRule type="expression" dxfId="96" priority="86">
      <formula>$E$313=0</formula>
    </cfRule>
  </conditionalFormatting>
  <conditionalFormatting sqref="B314:F315">
    <cfRule type="expression" dxfId="95" priority="85">
      <formula>$E$314=0</formula>
    </cfRule>
  </conditionalFormatting>
  <conditionalFormatting sqref="B316:F316">
    <cfRule type="expression" dxfId="94" priority="84">
      <formula>$E$316=0</formula>
    </cfRule>
  </conditionalFormatting>
  <conditionalFormatting sqref="B319:F321">
    <cfRule type="expression" dxfId="93" priority="75">
      <formula>$G$18=0</formula>
    </cfRule>
    <cfRule type="expression" dxfId="92" priority="76">
      <formula>$C$319=0</formula>
    </cfRule>
  </conditionalFormatting>
  <conditionalFormatting sqref="B333:F333">
    <cfRule type="expression" dxfId="91" priority="694">
      <formula>$C$333=0</formula>
    </cfRule>
  </conditionalFormatting>
  <conditionalFormatting sqref="B333:F349">
    <cfRule type="expression" dxfId="90" priority="134">
      <formula>$G$18=0</formula>
    </cfRule>
  </conditionalFormatting>
  <conditionalFormatting sqref="B334:F334">
    <cfRule type="expression" dxfId="89" priority="2140">
      <formula>SUM($G$9:$G$10)=0</formula>
    </cfRule>
  </conditionalFormatting>
  <conditionalFormatting sqref="B335:F335">
    <cfRule type="expression" dxfId="88" priority="727">
      <formula>$C$335=0</formula>
    </cfRule>
  </conditionalFormatting>
  <conditionalFormatting sqref="B336:F336">
    <cfRule type="expression" dxfId="87" priority="726">
      <formula>$C$336=0</formula>
    </cfRule>
  </conditionalFormatting>
  <conditionalFormatting sqref="B337:F337">
    <cfRule type="expression" dxfId="86" priority="725">
      <formula>$C$337=0</formula>
    </cfRule>
  </conditionalFormatting>
  <conditionalFormatting sqref="B338:F338">
    <cfRule type="expression" dxfId="85" priority="724">
      <formula>$C$338=0</formula>
    </cfRule>
  </conditionalFormatting>
  <conditionalFormatting sqref="B339:F339">
    <cfRule type="expression" dxfId="84" priority="366">
      <formula>$C$339=0</formula>
    </cfRule>
  </conditionalFormatting>
  <conditionalFormatting sqref="B340:F340">
    <cfRule type="expression" dxfId="83" priority="723">
      <formula>$C$340=0</formula>
    </cfRule>
  </conditionalFormatting>
  <conditionalFormatting sqref="B341:F341">
    <cfRule type="expression" dxfId="82" priority="722">
      <formula>$C$341=0</formula>
    </cfRule>
  </conditionalFormatting>
  <conditionalFormatting sqref="B342:F342">
    <cfRule type="expression" dxfId="81" priority="52">
      <formula>$C$342=0</formula>
    </cfRule>
  </conditionalFormatting>
  <conditionalFormatting sqref="B343:F343">
    <cfRule type="expression" dxfId="80" priority="721">
      <formula>$C$343=0</formula>
    </cfRule>
  </conditionalFormatting>
  <conditionalFormatting sqref="B344:F345">
    <cfRule type="expression" dxfId="79" priority="474" stopIfTrue="1">
      <formula>$B$344=0</formula>
    </cfRule>
  </conditionalFormatting>
  <conditionalFormatting sqref="B345:F345">
    <cfRule type="expression" dxfId="78" priority="38">
      <formula>$B$345=0</formula>
    </cfRule>
  </conditionalFormatting>
  <conditionalFormatting sqref="B346:F346">
    <cfRule type="expression" dxfId="77" priority="32">
      <formula>$C$346=0</formula>
    </cfRule>
  </conditionalFormatting>
  <conditionalFormatting sqref="B347:F347">
    <cfRule type="expression" dxfId="76" priority="389" stopIfTrue="1">
      <formula>$C$347=0</formula>
    </cfRule>
  </conditionalFormatting>
  <conditionalFormatting sqref="B348:F348">
    <cfRule type="expression" dxfId="75" priority="175">
      <formula>$C$348=0</formula>
    </cfRule>
  </conditionalFormatting>
  <conditionalFormatting sqref="B349:F349">
    <cfRule type="expression" dxfId="74" priority="387">
      <formula>$C$349=0</formula>
    </cfRule>
  </conditionalFormatting>
  <conditionalFormatting sqref="B351:F351">
    <cfRule type="expression" dxfId="73" priority="169">
      <formula>$C$351=0</formula>
    </cfRule>
  </conditionalFormatting>
  <conditionalFormatting sqref="B351:F352">
    <cfRule type="expression" dxfId="71" priority="30">
      <formula>SUM($G$14:$G$17)=0</formula>
    </cfRule>
  </conditionalFormatting>
  <conditionalFormatting sqref="B352:F352">
    <cfRule type="expression" dxfId="70" priority="53">
      <formula>$C$352=0</formula>
    </cfRule>
  </conditionalFormatting>
  <conditionalFormatting sqref="B353:F354">
    <cfRule type="expression" dxfId="67" priority="63">
      <formula>$G$17=0</formula>
    </cfRule>
  </conditionalFormatting>
  <conditionalFormatting sqref="B355:F355">
    <cfRule type="expression" dxfId="66" priority="51">
      <formula>$E$355=0</formula>
    </cfRule>
    <cfRule type="expression" dxfId="65" priority="179">
      <formula>$G$355&lt;&gt;"4PEL Scope"</formula>
    </cfRule>
    <cfRule type="expression" dxfId="64" priority="178">
      <formula>$C$355=0</formula>
    </cfRule>
  </conditionalFormatting>
  <conditionalFormatting sqref="B356:F356">
    <cfRule type="expression" dxfId="63" priority="528">
      <formula>$G$356&lt;&gt;"4PEL Scope"</formula>
    </cfRule>
    <cfRule type="expression" dxfId="62" priority="186">
      <formula>$C$356=0</formula>
    </cfRule>
    <cfRule type="expression" dxfId="61" priority="50">
      <formula>$E$356=0</formula>
    </cfRule>
  </conditionalFormatting>
  <conditionalFormatting sqref="B357:F357">
    <cfRule type="expression" dxfId="60" priority="185">
      <formula>$C$357=0</formula>
    </cfRule>
    <cfRule type="expression" dxfId="59" priority="690">
      <formula>$G$357&lt;&gt;"4PEL Scope"</formula>
    </cfRule>
    <cfRule type="expression" dxfId="58" priority="49">
      <formula>$E$357=0</formula>
    </cfRule>
  </conditionalFormatting>
  <conditionalFormatting sqref="B358:F358">
    <cfRule type="expression" dxfId="57" priority="184">
      <formula>$C$358=0</formula>
    </cfRule>
    <cfRule type="expression" dxfId="56" priority="619">
      <formula>$G$358&lt;&gt;"4PEL Scope"</formula>
    </cfRule>
    <cfRule type="expression" dxfId="55" priority="48">
      <formula>$E$358=0</formula>
    </cfRule>
  </conditionalFormatting>
  <conditionalFormatting sqref="B359:F359">
    <cfRule type="expression" dxfId="54" priority="144">
      <formula>$G$18=0</formula>
    </cfRule>
  </conditionalFormatting>
  <conditionalFormatting sqref="B365:F365">
    <cfRule type="expression" dxfId="52" priority="41">
      <formula>$C$365=0</formula>
    </cfRule>
    <cfRule type="expression" dxfId="51" priority="40">
      <formula>$E$365=0</formula>
    </cfRule>
  </conditionalFormatting>
  <conditionalFormatting sqref="B370:F370">
    <cfRule type="expression" dxfId="44" priority="2460">
      <formula>$C$370=0</formula>
    </cfRule>
  </conditionalFormatting>
  <conditionalFormatting sqref="B371:F372">
    <cfRule type="expression" dxfId="42" priority="2461">
      <formula>$E$371=0</formula>
    </cfRule>
  </conditionalFormatting>
  <conditionalFormatting sqref="B373:F373">
    <cfRule type="expression" dxfId="41" priority="54">
      <formula>$C$373=0</formula>
    </cfRule>
  </conditionalFormatting>
  <conditionalFormatting sqref="B374:F374">
    <cfRule type="expression" dxfId="38" priority="82">
      <formula>$C$374=0</formula>
    </cfRule>
  </conditionalFormatting>
  <conditionalFormatting sqref="B375:F375">
    <cfRule type="expression" dxfId="37" priority="45">
      <formula>$E$375=0</formula>
    </cfRule>
  </conditionalFormatting>
  <conditionalFormatting sqref="B375:F377">
    <cfRule type="expression" dxfId="36" priority="2141">
      <formula>OR($G$375&lt;&gt;"4PEL Scope",$G$18&lt;100)</formula>
    </cfRule>
  </conditionalFormatting>
  <conditionalFormatting sqref="B376:F376">
    <cfRule type="expression" dxfId="35" priority="37">
      <formula>$C$376=0</formula>
    </cfRule>
  </conditionalFormatting>
  <conditionalFormatting sqref="B377:F377">
    <cfRule type="expression" dxfId="34" priority="47">
      <formula>$C$377=0</formula>
    </cfRule>
  </conditionalFormatting>
  <conditionalFormatting sqref="B380:F380">
    <cfRule type="expression" dxfId="31" priority="35">
      <formula>$C$380=0</formula>
    </cfRule>
  </conditionalFormatting>
  <conditionalFormatting sqref="B386:F386">
    <cfRule type="expression" dxfId="30" priority="165">
      <formula>$B$386=0</formula>
    </cfRule>
  </conditionalFormatting>
  <conditionalFormatting sqref="B387:F387">
    <cfRule type="expression" dxfId="29" priority="164">
      <formula>$B$387=0</formula>
    </cfRule>
  </conditionalFormatting>
  <conditionalFormatting sqref="B391:F392">
    <cfRule type="expression" dxfId="26" priority="231">
      <formula>$G$18=0</formula>
    </cfRule>
  </conditionalFormatting>
  <conditionalFormatting sqref="B392:F392">
    <cfRule type="expression" dxfId="25" priority="59">
      <formula>$C$392=0</formula>
    </cfRule>
  </conditionalFormatting>
  <conditionalFormatting sqref="B397:F397">
    <cfRule type="expression" dxfId="23" priority="2463">
      <formula>$E$397=0</formula>
    </cfRule>
  </conditionalFormatting>
  <conditionalFormatting sqref="C286:F286 B287">
    <cfRule type="expression" dxfId="22" priority="216">
      <formula>$C$286=0</formula>
    </cfRule>
  </conditionalFormatting>
  <conditionalFormatting sqref="G9">
    <cfRule type="expression" dxfId="21" priority="106">
      <formula>$G$9=0</formula>
    </cfRule>
  </conditionalFormatting>
  <conditionalFormatting sqref="G10">
    <cfRule type="expression" dxfId="20" priority="105">
      <formula>$G$10=0</formula>
    </cfRule>
  </conditionalFormatting>
  <conditionalFormatting sqref="G11">
    <cfRule type="expression" dxfId="19" priority="103">
      <formula>$G$11=0</formula>
    </cfRule>
  </conditionalFormatting>
  <conditionalFormatting sqref="G12">
    <cfRule type="expression" dxfId="18" priority="102">
      <formula>$G$12=0</formula>
    </cfRule>
  </conditionalFormatting>
  <conditionalFormatting sqref="G13">
    <cfRule type="expression" dxfId="17" priority="101">
      <formula>$G$13=0</formula>
    </cfRule>
  </conditionalFormatting>
  <conditionalFormatting sqref="G14">
    <cfRule type="expression" dxfId="16" priority="100">
      <formula>$G$14=0</formula>
    </cfRule>
  </conditionalFormatting>
  <conditionalFormatting sqref="G15">
    <cfRule type="expression" dxfId="15" priority="98">
      <formula>$G$15=0</formula>
    </cfRule>
  </conditionalFormatting>
  <conditionalFormatting sqref="G16">
    <cfRule type="expression" dxfId="14" priority="65">
      <formula>$G$16=0</formula>
    </cfRule>
  </conditionalFormatting>
  <conditionalFormatting sqref="G17">
    <cfRule type="expression" dxfId="13" priority="97">
      <formula>$G$17=0</formula>
    </cfRule>
  </conditionalFormatting>
  <conditionalFormatting sqref="G64">
    <cfRule type="expression" dxfId="12" priority="2148">
      <formula>$G$8="Kerala"</formula>
    </cfRule>
  </conditionalFormatting>
  <conditionalFormatting sqref="G366">
    <cfRule type="expression" dxfId="11" priority="577">
      <formula>$G$366="Net metering not applicable"</formula>
    </cfRule>
  </conditionalFormatting>
  <conditionalFormatting sqref="G367">
    <cfRule type="expression" dxfId="10" priority="562">
      <formula>$G$367="Net metering not applicable"</formula>
    </cfRule>
  </conditionalFormatting>
  <conditionalFormatting sqref="G368">
    <cfRule type="expression" dxfId="9" priority="561">
      <formula>$G$368="Net metering not applicable"</formula>
    </cfRule>
  </conditionalFormatting>
  <conditionalFormatting sqref="G369:G372">
    <cfRule type="expression" dxfId="8" priority="331">
      <formula>$G$369="Net metering not applicable"</formula>
    </cfRule>
  </conditionalFormatting>
  <conditionalFormatting sqref="G378">
    <cfRule type="expression" dxfId="7" priority="548">
      <formula>$G$378="DISCOM NOC, Nodal Agency &amp; Grid con. Approval NA"</formula>
    </cfRule>
  </conditionalFormatting>
  <conditionalFormatting sqref="G379:G380">
    <cfRule type="expression" dxfId="6" priority="557">
      <formula>$G$379="Below 1MW RTU &amp; SLDC Not required"</formula>
    </cfRule>
  </conditionalFormatting>
  <dataValidations count="11">
    <dataValidation type="custom" allowBlank="1" showInputMessage="1" showErrorMessage="1" errorTitle="Spare feeder Scope" error="Spare feeder in client's scope!" sqref="C68" xr:uid="{3B7B7B5B-97D1-4C0D-B19F-2376F133C9D2}">
      <formula1>G68&lt;&gt;"Client scope"</formula1>
    </dataValidation>
    <dataValidation type="list" allowBlank="1" showInputMessage="1" showErrorMessage="1" sqref="H75:H76" xr:uid="{D5FF2667-5063-4170-9E94-95B76522A404}">
      <formula1>$A$556:$A$559</formula1>
    </dataValidation>
    <dataValidation type="list" allowBlank="1" showInputMessage="1" showErrorMessage="1" sqref="G48" xr:uid="{99C131B1-9E8B-428B-8A6F-D553B5053C3F}">
      <formula1>$G$552:$G$555</formula1>
    </dataValidation>
    <dataValidation type="list" allowBlank="1" showInputMessage="1" showErrorMessage="1" sqref="G359" xr:uid="{6F387F15-4ABA-4EFE-A678-5173CE6A78C1}">
      <formula1>$E$522:$E$524</formula1>
    </dataValidation>
    <dataValidation type="list" allowBlank="1" showInputMessage="1" showErrorMessage="1" sqref="G22" xr:uid="{16EE2E9D-545C-42D9-B666-E12ECA14AB94}">
      <formula1>"Yes,No-As per 4PEL Std"</formula1>
    </dataValidation>
    <dataValidation type="list" allowBlank="1" showInputMessage="1" showErrorMessage="1" sqref="G125" xr:uid="{83D2AE00-CA6C-4B06-9DA9-11A50986FC46}">
      <formula1>"3 mtrs GI Earthing Electrode,3 mtrs CU Earthing Electrode 17.2mm"</formula1>
    </dataValidation>
    <dataValidation type="list" allowBlank="1" showInputMessage="1" showErrorMessage="1" sqref="G134:G136" xr:uid="{B1FDC786-00E3-49D4-ADC7-AAE87EAC081F}">
      <formula1>"L:1000xW:300xT:25 mm,L:1000xW:600xT:25 mm"</formula1>
    </dataValidation>
    <dataValidation type="list" allowBlank="1" showInputMessage="1" showErrorMessage="1" sqref="XFD68" xr:uid="{3AEB1ABB-38FD-47C0-A053-202DCEEEA75E}"/>
    <dataValidation type="list" allowBlank="1" showInputMessage="1" showErrorMessage="1" sqref="G181" xr:uid="{5E7BCE45-FD48-4B49-9685-8F94DE078D03}">
      <formula1>$A$551:$A$552</formula1>
    </dataValidation>
    <dataValidation type="list" allowBlank="1" showInputMessage="1" showErrorMessage="1" sqref="G47" xr:uid="{B47F17E0-0A5B-49F1-96AA-2DEC2935A3E7}">
      <formula1>$G$559:$G$563</formula1>
    </dataValidation>
    <dataValidation type="list" allowBlank="1" showInputMessage="1" showErrorMessage="1" sqref="G172" xr:uid="{79DD6695-9B67-4CB7-9E2F-AB901FA608EB}">
      <formula1>$A$572:$A$574</formula1>
    </dataValidation>
  </dataValidations>
  <hyperlinks>
    <hyperlink ref="H363" location="'Bidcell BOM (LTS)'!AL493" display="States Vs Net Metering Limit table" xr:uid="{B07646E2-13EE-477F-945C-41DAFB01DDD4}"/>
    <hyperlink ref="AD500" location="'Bidcell BOM (LTS)'!H43" display="'Bidcell BOM (LTS)'!H43" xr:uid="{5238F829-32E1-45CF-8C54-8834021DBEB2}"/>
    <hyperlink ref="AD500:AI500" location="'Bidcell BOM (LTS)'!A358" display="Back to top the of sheet" xr:uid="{9EEF0AB5-1532-4245-8CEE-39300A440342}"/>
  </hyperlinks>
  <pageMargins left="0.7" right="0.7" top="0.75" bottom="0.75" header="0.3" footer="0.3"/>
  <pageSetup paperSize="9" scale="10" orientation="landscape"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225" id="{8459387E-19A2-4266-98AD-AE0B7E830081}">
            <xm:f>$H$34&lt;&gt;'Input''s from Initial Design'!$E$499</xm:f>
            <x14:dxf>
              <fill>
                <patternFill patternType="lightTrellis">
                  <fgColor theme="7" tint="-0.24994659260841701"/>
                  <bgColor theme="0"/>
                </patternFill>
              </fill>
            </x14:dxf>
          </x14:cfRule>
          <xm:sqref>B61:F63</xm:sqref>
        </x14:conditionalFormatting>
        <x14:conditionalFormatting xmlns:xm="http://schemas.microsoft.com/office/excel/2006/main">
          <x14:cfRule type="expression" priority="56" id="{33AC7F56-2A53-4E5E-9D13-95A224C739CC}">
            <xm:f>$H$34&lt;&gt;'Input''s from Initial Design'!$E$496</xm:f>
            <x14:dxf>
              <fill>
                <patternFill patternType="lightTrellis">
                  <fgColor theme="7" tint="-0.24994659260841701"/>
                </patternFill>
              </fill>
            </x14:dxf>
          </x14:cfRule>
          <xm:sqref>B65:F65</xm:sqref>
        </x14:conditionalFormatting>
        <x14:conditionalFormatting xmlns:xm="http://schemas.microsoft.com/office/excel/2006/main">
          <x14:cfRule type="expression" priority="857" id="{00000000-000E-0000-0800-0000BB010000}">
            <xm:f>'Input''s from BD(Sales)'!$B$61&lt;&gt;"4PEL Scope"</xm:f>
            <x14:dxf>
              <fill>
                <patternFill patternType="lightTrellis">
                  <fgColor theme="7" tint="-0.24994659260841701"/>
                  <bgColor theme="0"/>
                </patternFill>
              </fill>
            </x14:dxf>
          </x14:cfRule>
          <xm:sqref>B68:F68</xm:sqref>
        </x14:conditionalFormatting>
        <x14:conditionalFormatting xmlns:xm="http://schemas.microsoft.com/office/excel/2006/main">
          <x14:cfRule type="expression" priority="391" id="{00000000-000E-0000-0700-000046010000}">
            <xm:f>$G$161&lt;&gt;'Input''s from BD(Sales)'!$A$147</xm:f>
            <x14:dxf>
              <fill>
                <patternFill patternType="lightTrellis">
                  <fgColor theme="7" tint="-0.24994659260841701"/>
                  <bgColor theme="0"/>
                </patternFill>
              </fill>
            </x14:dxf>
          </x14:cfRule>
          <xm:sqref>B162:F162</xm:sqref>
        </x14:conditionalFormatting>
        <x14:conditionalFormatting xmlns:xm="http://schemas.microsoft.com/office/excel/2006/main">
          <x14:cfRule type="expression" priority="1184" id="{00000000-000E-0000-0700-000095030000}">
            <xm:f>$G$176&lt;&gt;'Input''s from BD(Sales)'!$A$147</xm:f>
            <x14:dxf>
              <fill>
                <patternFill patternType="lightTrellis">
                  <fgColor theme="7" tint="-0.24994659260841701"/>
                  <bgColor theme="0"/>
                </patternFill>
              </fill>
            </x14:dxf>
          </x14:cfRule>
          <xm:sqref>B176:F177</xm:sqref>
        </x14:conditionalFormatting>
        <x14:conditionalFormatting xmlns:xm="http://schemas.microsoft.com/office/excel/2006/main">
          <x14:cfRule type="expression" priority="689" id="{00000000-000E-0000-0700-0000FD010000}">
            <xm:f>'Input''s from BD(Sales)'!$B$51&lt;&gt;'Input''s from BD(Sales)'!$A$147</xm:f>
            <x14:dxf>
              <fill>
                <patternFill patternType="lightTrellis">
                  <fgColor theme="7" tint="-0.24994659260841701"/>
                  <bgColor theme="0"/>
                </patternFill>
              </fill>
            </x14:dxf>
          </x14:cfRule>
          <xm:sqref>B197:F197</xm:sqref>
        </x14:conditionalFormatting>
        <x14:conditionalFormatting xmlns:xm="http://schemas.microsoft.com/office/excel/2006/main">
          <x14:cfRule type="expression" priority="172" id="{00000000-000E-0000-0700-00000C000000}">
            <xm:f>$G$198&lt;&gt;'Input''s from BD(Sales)'!$A$147</xm:f>
            <x14:dxf>
              <fill>
                <patternFill patternType="lightTrellis">
                  <fgColor theme="7" tint="-0.24994659260841701"/>
                </patternFill>
              </fill>
            </x14:dxf>
          </x14:cfRule>
          <xm:sqref>B198:F199</xm:sqref>
        </x14:conditionalFormatting>
        <x14:conditionalFormatting xmlns:xm="http://schemas.microsoft.com/office/excel/2006/main">
          <x14:cfRule type="expression" priority="182" id="{AF2799F7-C6B2-499C-AA4C-66DCADF44A2B}">
            <xm:f>$G$307&lt;&gt;'Input''s from BD(Sales)'!$B$210</xm:f>
            <x14:dxf>
              <fill>
                <patternFill patternType="lightTrellis">
                  <fgColor theme="7" tint="-0.24994659260841701"/>
                  <bgColor theme="0"/>
                </patternFill>
              </fill>
            </x14:dxf>
          </x14:cfRule>
          <xm:sqref>B307:F307</xm:sqref>
        </x14:conditionalFormatting>
        <x14:conditionalFormatting xmlns:xm="http://schemas.microsoft.com/office/excel/2006/main">
          <x14:cfRule type="expression" priority="181" id="{1BEB5E8B-341F-4543-9630-10AB5F556A32}">
            <xm:f>$G$308&lt;&gt;'Input''s from BD(Sales)'!$B$210</xm:f>
            <x14:dxf>
              <fill>
                <patternFill patternType="lightTrellis">
                  <fgColor theme="7" tint="-0.24994659260841701"/>
                  <bgColor theme="0"/>
                </patternFill>
              </fill>
            </x14:dxf>
          </x14:cfRule>
          <xm:sqref>B308:F308</xm:sqref>
        </x14:conditionalFormatting>
        <x14:conditionalFormatting xmlns:xm="http://schemas.microsoft.com/office/excel/2006/main">
          <x14:cfRule type="expression" priority="2150" id="{57729558-64BC-42C4-8FFE-05F6218FCB8C}">
            <xm:f>$G$351&lt;&gt;'Input''s from BD(Sales)'!$A$147</xm:f>
            <x14:dxf>
              <fill>
                <patternFill patternType="lightTrellis">
                  <fgColor theme="7" tint="-0.24994659260841701"/>
                </patternFill>
              </fill>
            </x14:dxf>
          </x14:cfRule>
          <xm:sqref>B351:F351</xm:sqref>
        </x14:conditionalFormatting>
        <x14:conditionalFormatting xmlns:xm="http://schemas.microsoft.com/office/excel/2006/main">
          <x14:cfRule type="expression" priority="73" id="{E65A3658-DAF1-44E9-8DEA-976F34ACC07A}">
            <xm:f>$G$352&lt;&gt;'Input''s from BD(Sales)'!$A$147</xm:f>
            <x14:dxf>
              <fill>
                <patternFill patternType="lightTrellis">
                  <fgColor theme="7" tint="-0.24994659260841701"/>
                </patternFill>
              </fill>
            </x14:dxf>
          </x14:cfRule>
          <xm:sqref>B352:F352</xm:sqref>
        </x14:conditionalFormatting>
        <x14:conditionalFormatting xmlns:xm="http://schemas.microsoft.com/office/excel/2006/main">
          <x14:cfRule type="expression" priority="64" id="{EC3F96DD-A475-4D97-892B-E284AA62ECDA}">
            <xm:f>$G$353&lt;&gt;'Input''s from BD(Sales)'!$A$147</xm:f>
            <x14:dxf>
              <fill>
                <patternFill patternType="lightTrellis">
                  <fgColor theme="7" tint="-0.24994659260841701"/>
                </patternFill>
              </fill>
            </x14:dxf>
          </x14:cfRule>
          <xm:sqref>B353:F354</xm:sqref>
        </x14:conditionalFormatting>
        <x14:conditionalFormatting xmlns:xm="http://schemas.microsoft.com/office/excel/2006/main">
          <x14:cfRule type="expression" priority="618" id="{00000000-000E-0000-0700-0000B6010000}">
            <xm:f>'Input''s from BD(Sales)'!$B$69&lt;&gt;'Input''s from BD(Sales)'!$A$147</xm:f>
            <x14:dxf>
              <fill>
                <patternFill patternType="lightTrellis">
                  <fgColor theme="7" tint="-0.24994659260841701"/>
                  <bgColor theme="0"/>
                </patternFill>
              </fill>
            </x14:dxf>
          </x14:cfRule>
          <xm:sqref>B359:F359</xm:sqref>
        </x14:conditionalFormatting>
        <x14:conditionalFormatting xmlns:xm="http://schemas.microsoft.com/office/excel/2006/main">
          <x14:cfRule type="expression" priority="597" id="{00000000-000E-0000-0700-0000AC010000}">
            <xm:f>$G$366&lt;&gt;'Input''s from BD(Sales)'!$A$147</xm:f>
            <x14:dxf>
              <fill>
                <patternFill patternType="lightTrellis">
                  <fgColor theme="7" tint="-0.24994659260841701"/>
                  <bgColor theme="0"/>
                </patternFill>
              </fill>
            </x14:dxf>
          </x14:cfRule>
          <xm:sqref>B366:F366</xm:sqref>
        </x14:conditionalFormatting>
        <x14:conditionalFormatting xmlns:xm="http://schemas.microsoft.com/office/excel/2006/main">
          <x14:cfRule type="expression" priority="533" id="{C6F9D567-33AD-40E0-B3BA-BC1001187F9D}">
            <xm:f>'Site Vist fomat  (Design)'!$B$26=0</xm:f>
            <x14:dxf>
              <fill>
                <patternFill patternType="lightTrellis">
                  <fgColor theme="7" tint="-0.24994659260841701"/>
                  <bgColor theme="0"/>
                </patternFill>
              </fill>
            </x14:dxf>
          </x14:cfRule>
          <xm:sqref>B366:F367</xm:sqref>
        </x14:conditionalFormatting>
        <x14:conditionalFormatting xmlns:xm="http://schemas.microsoft.com/office/excel/2006/main">
          <x14:cfRule type="expression" priority="596" id="{00000000-000E-0000-0700-0000AB010000}">
            <xm:f>$G$367&lt;&gt;'Input''s from BD(Sales)'!$A$147</xm:f>
            <x14:dxf>
              <fill>
                <patternFill patternType="lightTrellis">
                  <fgColor theme="7" tint="-0.24994659260841701"/>
                  <bgColor theme="0"/>
                </patternFill>
              </fill>
            </x14:dxf>
          </x14:cfRule>
          <xm:sqref>B367:F367</xm:sqref>
        </x14:conditionalFormatting>
        <x14:conditionalFormatting xmlns:xm="http://schemas.microsoft.com/office/excel/2006/main">
          <x14:cfRule type="expression" priority="594" id="{00000000-000E-0000-0700-0000A9010000}">
            <xm:f>$G$368&lt;&gt;'Input''s from BD(Sales)'!$A$147</xm:f>
            <x14:dxf>
              <fill>
                <patternFill patternType="lightTrellis">
                  <fgColor theme="7" tint="-0.24994659260841701"/>
                  <bgColor theme="0"/>
                </patternFill>
              </fill>
            </x14:dxf>
          </x14:cfRule>
          <xm:sqref>B368:F368</xm:sqref>
        </x14:conditionalFormatting>
        <x14:conditionalFormatting xmlns:xm="http://schemas.microsoft.com/office/excel/2006/main">
          <x14:cfRule type="expression" priority="55" id="{92AEED24-BE3D-4601-B635-C8A2C1DF258D}">
            <xm:f>$G$369&lt;&gt;'Input''s from BD(Sales)'!$A$147</xm:f>
            <x14:dxf>
              <fill>
                <patternFill patternType="lightTrellis">
                  <fgColor theme="7" tint="-0.24994659260841701"/>
                </patternFill>
              </fill>
            </x14:dxf>
          </x14:cfRule>
          <xm:sqref>B369:F369</xm:sqref>
        </x14:conditionalFormatting>
        <x14:conditionalFormatting xmlns:xm="http://schemas.microsoft.com/office/excel/2006/main">
          <x14:cfRule type="expression" priority="2459" id="{D3F289A7-5AC6-4807-99CA-8F55B33BB206}">
            <xm:f>'Input''s from BD(Sales)'!$B$10&lt;&gt;'Input''s from BD(Sales)'!$A$286</xm:f>
            <x14:dxf>
              <fill>
                <patternFill patternType="lightTrellis">
                  <fgColor theme="7" tint="-0.24994659260841701"/>
                </patternFill>
              </fill>
            </x14:dxf>
          </x14:cfRule>
          <xm:sqref>B370:F370</xm:sqref>
        </x14:conditionalFormatting>
        <x14:conditionalFormatting xmlns:xm="http://schemas.microsoft.com/office/excel/2006/main">
          <x14:cfRule type="expression" priority="2462" id="{00000000-000E-0000-0700-0000A1000000}">
            <xm:f>'Input''s from BD(Sales)'!$B$10&lt;&gt;'Input''s from BD(Sales)'!$A$298</xm:f>
            <x14:dxf>
              <fill>
                <patternFill patternType="lightTrellis">
                  <fgColor theme="7" tint="-0.24994659260841701"/>
                  <bgColor theme="0"/>
                </patternFill>
              </fill>
            </x14:dxf>
          </x14:cfRule>
          <xm:sqref>B371:F372</xm:sqref>
        </x14:conditionalFormatting>
        <x14:conditionalFormatting xmlns:xm="http://schemas.microsoft.com/office/excel/2006/main">
          <x14:cfRule type="expression" priority="595" id="{00000000-000E-0000-0700-00000D010000}">
            <xm:f>'Input''s from BD(Sales)'!$B$68&lt;&gt;'Input''s from BD(Sales)'!$A$147</xm:f>
            <x14:dxf>
              <fill>
                <patternFill patternType="lightTrellis">
                  <fgColor theme="7" tint="-0.24994659260841701"/>
                  <bgColor theme="0"/>
                </patternFill>
              </fill>
            </x14:dxf>
          </x14:cfRule>
          <xm:sqref>B373:F373</xm:sqref>
        </x14:conditionalFormatting>
        <x14:conditionalFormatting xmlns:xm="http://schemas.microsoft.com/office/excel/2006/main">
          <x14:cfRule type="expression" priority="70" id="{9DF4A0C6-19D7-4D35-86D8-9C0A5CA84CB7}">
            <xm:f>$G$8&lt;&gt;'Input''s from BD(Sales)'!$A$289</xm:f>
            <x14:dxf>
              <fill>
                <patternFill patternType="lightTrellis">
                  <fgColor theme="7" tint="-0.24994659260841701"/>
                </patternFill>
              </fill>
            </x14:dxf>
          </x14:cfRule>
          <xm:sqref>B374:F374</xm:sqref>
        </x14:conditionalFormatting>
        <x14:conditionalFormatting xmlns:xm="http://schemas.microsoft.com/office/excel/2006/main">
          <x14:cfRule type="expression" priority="2143" id="{00000000-000E-0000-0700-000001000000}">
            <xm:f>$G$8&lt;&gt;'Input''s from BD(Sales)'!$A$275</xm:f>
            <x14:dxf>
              <fill>
                <patternFill patternType="lightTrellis">
                  <fgColor theme="7" tint="-0.24994659260841701"/>
                  <bgColor theme="0"/>
                </patternFill>
              </fill>
            </x14:dxf>
          </x14:cfRule>
          <x14:cfRule type="expression" priority="2144" id="{00000000-000E-0000-0700-00003B080000}">
            <xm:f>'Input''s from Initial Design'!$F$211&lt;999.99</xm:f>
            <x14:dxf>
              <fill>
                <patternFill patternType="lightTrellis">
                  <fgColor theme="7" tint="-0.24994659260841701"/>
                  <bgColor theme="0"/>
                </patternFill>
              </fill>
            </x14:dxf>
          </x14:cfRule>
          <xm:sqref>B378:F380</xm:sqref>
        </x14:conditionalFormatting>
        <x14:conditionalFormatting xmlns:xm="http://schemas.microsoft.com/office/excel/2006/main">
          <x14:cfRule type="expression" priority="36" id="{26F70D11-E71B-4532-8A35-6BCFEB0C19A4}">
            <xm:f>$H$391='Input''s from BD(Sales)'!$C$231</xm:f>
            <x14:dxf>
              <fill>
                <patternFill patternType="lightTrellis">
                  <fgColor theme="7" tint="-0.24994659260841701"/>
                </patternFill>
              </fill>
            </x14:dxf>
          </x14:cfRule>
          <x14:cfRule type="expression" priority="526" id="{00000000-000E-0000-0700-0000E9010000}">
            <xm:f>$G$391&lt;&gt;'Input''s from BD(Sales)'!$A$147</xm:f>
            <x14:dxf>
              <fill>
                <patternFill patternType="lightTrellis">
                  <fgColor theme="7" tint="-0.24994659260841701"/>
                  <bgColor theme="0"/>
                </patternFill>
              </fill>
            </x14:dxf>
          </x14:cfRule>
          <xm:sqref>B391:F391</xm:sqref>
        </x14:conditionalFormatting>
        <x14:conditionalFormatting xmlns:xm="http://schemas.microsoft.com/office/excel/2006/main">
          <x14:cfRule type="expression" priority="2464" id="{418B4866-7C19-4FFD-9D52-622F6F812476}">
            <xm:f>'Input''s from BD(Sales)'!$B$16='Input''s from BD(Sales)'!$C$231</xm:f>
            <x14:dxf>
              <fill>
                <patternFill patternType="lightTrellis">
                  <fgColor theme="9" tint="-0.24994659260841701"/>
                  <bgColor theme="9" tint="0.39994506668294322"/>
                </patternFill>
              </fill>
            </x14:dxf>
          </x14:cfRule>
          <xm:sqref>B397:F397</xm:sqref>
        </x14:conditionalFormatting>
        <x14:conditionalFormatting xmlns:xm="http://schemas.microsoft.com/office/excel/2006/main">
          <x14:cfRule type="expression" priority="46" id="{3B74A90B-8F40-42B7-A7AE-8267ADA9AAA3}">
            <xm:f>'Site Vist fomat  (Design)'!$B$26=0</xm:f>
            <x14:dxf>
              <font>
                <color theme="0"/>
              </font>
              <fill>
                <patternFill>
                  <bgColor theme="0"/>
                </patternFill>
              </fill>
              <border>
                <left/>
                <right/>
                <top/>
                <bottom/>
                <vertical/>
                <horizontal/>
              </border>
            </x14:dxf>
          </x14:cfRule>
          <xm:sqref>H363:I363 K363:N363</xm:sqref>
        </x14:conditionalFormatting>
      </x14:conditionalFormattings>
    </ext>
    <ext xmlns:x14="http://schemas.microsoft.com/office/spreadsheetml/2009/9/main" uri="{CCE6A557-97BC-4b89-ADB6-D9C93CAAB3DF}">
      <x14:dataValidations xmlns:xm="http://schemas.microsoft.com/office/excel/2006/main" count="5">
        <x14:dataValidation type="custom" allowBlank="1" showInputMessage="1" showErrorMessage="1" xr:uid="{7FA01EB3-58FC-4003-9AB6-851AA864BCF9}">
          <x14:formula1>
            <xm:f>$G$64='Input''s from Initial Design'!#REF!</xm:f>
          </x14:formula1>
          <xm:sqref>C64</xm:sqref>
        </x14:dataValidation>
        <x14:dataValidation type="custom" allowBlank="1" showInputMessage="1" showErrorMessage="1" xr:uid="{7E53DE2C-C3EC-424B-83B7-2C58C1E97C92}">
          <x14:formula1>
            <xm:f>'Input''s from Initial Design'!AK55&lt;&gt;0</xm:f>
          </x14:formula1>
          <xm:sqref>C166</xm:sqref>
        </x14:dataValidation>
        <x14:dataValidation type="custom" allowBlank="1" showInputMessage="1" showErrorMessage="1" xr:uid="{A9AC8D51-C6E4-4835-8B04-D97E90AB43F7}">
          <x14:formula1>
            <xm:f>#REF!='Input''s from Initial Design'!D527</xm:f>
          </x14:formula1>
          <xm:sqref>C65</xm:sqref>
        </x14:dataValidation>
        <x14:dataValidation type="custom" allowBlank="1" showInputMessage="1" showErrorMessage="1" xr:uid="{0851D608-CB8B-40B1-A3F0-471D478260B6}">
          <x14:formula1>
            <xm:f>$G$63='Input''s from Initial Design'!D522</xm:f>
          </x14:formula1>
          <xm:sqref>C63</xm:sqref>
        </x14:dataValidation>
        <x14:dataValidation type="custom" allowBlank="1" showInputMessage="1" showErrorMessage="1" xr:uid="{C5B2C95C-6A3B-4A5A-96A6-A5333C2130BE}">
          <x14:formula1>
            <xm:f>$G$61='Input''s from Initial Design'!D523</xm:f>
          </x14:formula1>
          <xm:sqref>C61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943FD-1E21-46C8-BECC-F0CAD993CE6B}">
  <dimension ref="B2:E25"/>
  <sheetViews>
    <sheetView topLeftCell="A4" workbookViewId="0">
      <selection activeCell="E23" sqref="E23"/>
    </sheetView>
  </sheetViews>
  <sheetFormatPr defaultRowHeight="14.4"/>
  <sheetData>
    <row r="2" spans="2:5">
      <c r="D2">
        <f>(4*18)+(2*19)+(5*18)+(2*19)</f>
        <v>238</v>
      </c>
    </row>
    <row r="3" spans="2:5">
      <c r="D3">
        <f>((4*16)+(2*20))+(1*18)+(7*18)+(2*19)+(6*19)</f>
        <v>400</v>
      </c>
      <c r="E3">
        <f>SUM(D2:D3)</f>
        <v>638</v>
      </c>
    </row>
    <row r="5" spans="2:5">
      <c r="B5" s="2231" t="s">
        <v>2023</v>
      </c>
      <c r="C5" t="s">
        <v>2024</v>
      </c>
      <c r="D5">
        <v>18</v>
      </c>
    </row>
    <row r="6" spans="2:5">
      <c r="B6" s="2231"/>
      <c r="C6" t="s">
        <v>2025</v>
      </c>
      <c r="D6">
        <v>18</v>
      </c>
    </row>
    <row r="7" spans="2:5">
      <c r="B7" s="2231" t="s">
        <v>2034</v>
      </c>
      <c r="C7" t="s">
        <v>2026</v>
      </c>
      <c r="D7">
        <v>18</v>
      </c>
    </row>
    <row r="8" spans="2:5">
      <c r="B8" s="2231"/>
      <c r="C8" t="s">
        <v>2027</v>
      </c>
      <c r="D8">
        <v>18</v>
      </c>
    </row>
    <row r="9" spans="2:5">
      <c r="B9" s="2231" t="s">
        <v>2035</v>
      </c>
      <c r="C9" t="s">
        <v>2028</v>
      </c>
      <c r="D9">
        <v>18</v>
      </c>
    </row>
    <row r="10" spans="2:5">
      <c r="B10" s="2231"/>
      <c r="C10" t="s">
        <v>2029</v>
      </c>
      <c r="D10">
        <v>18</v>
      </c>
    </row>
    <row r="11" spans="2:5">
      <c r="B11" s="2231" t="s">
        <v>2036</v>
      </c>
      <c r="C11" t="s">
        <v>2030</v>
      </c>
      <c r="D11">
        <v>18</v>
      </c>
    </row>
    <row r="12" spans="2:5">
      <c r="B12" s="2231"/>
      <c r="C12" t="s">
        <v>2031</v>
      </c>
    </row>
    <row r="13" spans="2:5">
      <c r="B13" s="2231" t="s">
        <v>2037</v>
      </c>
      <c r="C13" t="s">
        <v>2032</v>
      </c>
    </row>
    <row r="14" spans="2:5">
      <c r="B14" s="2231"/>
      <c r="C14" t="s">
        <v>2033</v>
      </c>
      <c r="D14">
        <v>19</v>
      </c>
    </row>
    <row r="15" spans="2:5">
      <c r="B15" s="2231" t="s">
        <v>2038</v>
      </c>
      <c r="C15" t="s">
        <v>2040</v>
      </c>
      <c r="D15">
        <v>19</v>
      </c>
    </row>
    <row r="16" spans="2:5">
      <c r="B16" s="2231"/>
      <c r="C16" t="s">
        <v>2041</v>
      </c>
    </row>
    <row r="17" spans="2:4">
      <c r="B17" s="2231" t="s">
        <v>2039</v>
      </c>
      <c r="C17" t="s">
        <v>2042</v>
      </c>
      <c r="D17">
        <v>19</v>
      </c>
    </row>
    <row r="18" spans="2:4">
      <c r="B18" s="2231"/>
      <c r="C18" t="s">
        <v>2043</v>
      </c>
      <c r="D18">
        <v>19</v>
      </c>
    </row>
    <row r="19" spans="2:4">
      <c r="B19" s="2231" t="s">
        <v>2060</v>
      </c>
      <c r="C19" t="s">
        <v>2044</v>
      </c>
    </row>
    <row r="20" spans="2:4">
      <c r="B20" s="2231"/>
      <c r="C20" t="s">
        <v>2045</v>
      </c>
      <c r="D20">
        <v>19</v>
      </c>
    </row>
    <row r="21" spans="2:4">
      <c r="B21" s="2231" t="s">
        <v>2061</v>
      </c>
      <c r="C21" t="s">
        <v>2046</v>
      </c>
      <c r="D21">
        <v>19</v>
      </c>
    </row>
    <row r="22" spans="2:4">
      <c r="B22" s="2231"/>
      <c r="C22" t="s">
        <v>2047</v>
      </c>
    </row>
    <row r="23" spans="2:4">
      <c r="B23" s="2231" t="s">
        <v>2062</v>
      </c>
      <c r="C23" t="s">
        <v>2048</v>
      </c>
      <c r="D23">
        <v>19</v>
      </c>
    </row>
    <row r="24" spans="2:4">
      <c r="B24" s="2231"/>
      <c r="C24" t="s">
        <v>2049</v>
      </c>
      <c r="D24">
        <v>19</v>
      </c>
    </row>
    <row r="25" spans="2:4">
      <c r="B25" s="156"/>
      <c r="D25">
        <v>125</v>
      </c>
    </row>
  </sheetData>
  <mergeCells count="10">
    <mergeCell ref="B23:B24"/>
    <mergeCell ref="B5:B6"/>
    <mergeCell ref="B7:B8"/>
    <mergeCell ref="B9:B10"/>
    <mergeCell ref="B11:B12"/>
    <mergeCell ref="B13:B14"/>
    <mergeCell ref="B15:B16"/>
    <mergeCell ref="B17:B18"/>
    <mergeCell ref="B19:B20"/>
    <mergeCell ref="B21:B22"/>
  </mergeCells>
  <phoneticPr fontId="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86BA4-6289-456D-92A5-34483D986624}">
  <dimension ref="A1:F55"/>
  <sheetViews>
    <sheetView workbookViewId="0">
      <selection activeCell="A2" sqref="A2"/>
    </sheetView>
  </sheetViews>
  <sheetFormatPr defaultRowHeight="14.4"/>
  <cols>
    <col min="1" max="1" width="55.33203125" bestFit="1" customWidth="1"/>
    <col min="2" max="2" width="9" bestFit="1" customWidth="1"/>
    <col min="3" max="3" width="35.44140625" customWidth="1"/>
    <col min="4" max="4" width="54.33203125" bestFit="1" customWidth="1"/>
    <col min="5" max="5" width="6.5546875" bestFit="1" customWidth="1"/>
    <col min="6" max="6" width="31.6640625" customWidth="1"/>
  </cols>
  <sheetData>
    <row r="1" spans="1:6" ht="15" thickBot="1">
      <c r="A1" s="1690" t="s">
        <v>1856</v>
      </c>
      <c r="B1" s="1691" t="s">
        <v>253</v>
      </c>
      <c r="C1" s="1692" t="s">
        <v>1857</v>
      </c>
      <c r="D1" s="1693" t="s">
        <v>1856</v>
      </c>
      <c r="E1" s="1691" t="s">
        <v>253</v>
      </c>
      <c r="F1" s="1692" t="s">
        <v>1857</v>
      </c>
    </row>
    <row r="2" spans="1:6">
      <c r="A2" s="1687" t="s">
        <v>1220</v>
      </c>
      <c r="B2" s="1688" t="s">
        <v>1192</v>
      </c>
      <c r="C2" s="1694" t="s">
        <v>1221</v>
      </c>
      <c r="D2" s="1687" t="s">
        <v>1451</v>
      </c>
      <c r="E2" s="1688" t="s">
        <v>1196</v>
      </c>
      <c r="F2" s="1689"/>
    </row>
    <row r="3" spans="1:6">
      <c r="A3" s="1672" t="s">
        <v>1222</v>
      </c>
      <c r="B3" s="1673" t="s">
        <v>1209</v>
      </c>
      <c r="C3" s="1674" t="s">
        <v>1221</v>
      </c>
      <c r="D3" s="1672" t="s">
        <v>1452</v>
      </c>
      <c r="E3" s="1673" t="s">
        <v>1196</v>
      </c>
      <c r="F3" s="1682"/>
    </row>
    <row r="4" spans="1:6">
      <c r="A4" s="1675" t="s">
        <v>1858</v>
      </c>
      <c r="B4" s="1676" t="s">
        <v>1246</v>
      </c>
      <c r="C4" s="1677"/>
      <c r="D4" s="1672" t="s">
        <v>1453</v>
      </c>
      <c r="E4" s="1673" t="s">
        <v>1246</v>
      </c>
      <c r="F4" s="1682"/>
    </row>
    <row r="5" spans="1:6">
      <c r="A5" s="1675" t="s">
        <v>1340</v>
      </c>
      <c r="B5" s="1676" t="s">
        <v>1341</v>
      </c>
      <c r="C5" s="3220" t="s">
        <v>132</v>
      </c>
      <c r="D5" s="1678" t="s">
        <v>1455</v>
      </c>
      <c r="E5" s="1673" t="s">
        <v>1246</v>
      </c>
      <c r="F5" s="3220" t="s">
        <v>1442</v>
      </c>
    </row>
    <row r="6" spans="1:6">
      <c r="A6" s="1675" t="s">
        <v>1343</v>
      </c>
      <c r="B6" s="1676" t="s">
        <v>1341</v>
      </c>
      <c r="C6" s="3220"/>
      <c r="D6" s="1678" t="s">
        <v>1456</v>
      </c>
      <c r="E6" s="1673" t="s">
        <v>1196</v>
      </c>
      <c r="F6" s="3220"/>
    </row>
    <row r="7" spans="1:6">
      <c r="A7" s="1675" t="s">
        <v>1344</v>
      </c>
      <c r="B7" s="1676" t="s">
        <v>1341</v>
      </c>
      <c r="C7" s="3220"/>
      <c r="D7" s="1678" t="s">
        <v>1457</v>
      </c>
      <c r="E7" s="1673" t="s">
        <v>1196</v>
      </c>
      <c r="F7" s="3220"/>
    </row>
    <row r="8" spans="1:6">
      <c r="A8" s="1675" t="s">
        <v>1345</v>
      </c>
      <c r="B8" s="1676" t="s">
        <v>1341</v>
      </c>
      <c r="C8" s="3220"/>
      <c r="D8" s="1678" t="s">
        <v>1458</v>
      </c>
      <c r="E8" s="1673" t="s">
        <v>1196</v>
      </c>
      <c r="F8" s="3220"/>
    </row>
    <row r="9" spans="1:6">
      <c r="A9" s="1678" t="s">
        <v>1353</v>
      </c>
      <c r="B9" s="1676" t="s">
        <v>1246</v>
      </c>
      <c r="C9" s="1674" t="s">
        <v>1221</v>
      </c>
      <c r="D9" s="1678" t="s">
        <v>1459</v>
      </c>
      <c r="E9" s="1673" t="s">
        <v>1196</v>
      </c>
      <c r="F9" s="3220"/>
    </row>
    <row r="10" spans="1:6">
      <c r="A10" s="1678" t="s">
        <v>1354</v>
      </c>
      <c r="B10" s="1676" t="s">
        <v>1196</v>
      </c>
      <c r="C10" s="1674" t="s">
        <v>1221</v>
      </c>
      <c r="D10" s="1678" t="s">
        <v>1460</v>
      </c>
      <c r="E10" s="1673" t="s">
        <v>1196</v>
      </c>
      <c r="F10" s="3220"/>
    </row>
    <row r="11" spans="1:6">
      <c r="A11" s="1672" t="s">
        <v>1366</v>
      </c>
      <c r="B11" s="1676" t="s">
        <v>1196</v>
      </c>
      <c r="C11" s="3225" t="s">
        <v>1859</v>
      </c>
      <c r="D11" s="1678" t="s">
        <v>1461</v>
      </c>
      <c r="E11" s="1673" t="s">
        <v>1196</v>
      </c>
      <c r="F11" s="3220"/>
    </row>
    <row r="12" spans="1:6">
      <c r="A12" s="1672" t="s">
        <v>1368</v>
      </c>
      <c r="B12" s="1676" t="s">
        <v>1196</v>
      </c>
      <c r="C12" s="3225"/>
      <c r="D12" s="1678" t="s">
        <v>1462</v>
      </c>
      <c r="E12" s="1673" t="s">
        <v>1196</v>
      </c>
      <c r="F12" s="3220"/>
    </row>
    <row r="13" spans="1:6">
      <c r="A13" s="1672" t="s">
        <v>1370</v>
      </c>
      <c r="B13" s="1676" t="s">
        <v>1196</v>
      </c>
      <c r="C13" s="3225"/>
      <c r="D13" s="1678" t="s">
        <v>1463</v>
      </c>
      <c r="E13" s="1673" t="s">
        <v>1196</v>
      </c>
      <c r="F13" s="3220"/>
    </row>
    <row r="14" spans="1:6">
      <c r="A14" s="1679" t="s">
        <v>1372</v>
      </c>
      <c r="B14" s="1676" t="s">
        <v>1196</v>
      </c>
      <c r="C14" s="3225"/>
      <c r="D14" s="1678" t="s">
        <v>1464</v>
      </c>
      <c r="E14" s="1673" t="s">
        <v>1196</v>
      </c>
      <c r="F14" s="3220"/>
    </row>
    <row r="15" spans="1:6">
      <c r="A15" s="1679" t="s">
        <v>1374</v>
      </c>
      <c r="B15" s="1676" t="s">
        <v>1196</v>
      </c>
      <c r="C15" s="3225"/>
      <c r="D15" s="1678" t="s">
        <v>1465</v>
      </c>
      <c r="E15" s="1673" t="s">
        <v>1196</v>
      </c>
      <c r="F15" s="1674"/>
    </row>
    <row r="16" spans="1:6">
      <c r="A16" s="1679" t="s">
        <v>1376</v>
      </c>
      <c r="B16" s="1676" t="s">
        <v>1196</v>
      </c>
      <c r="C16" s="3225"/>
      <c r="D16" s="1672" t="s">
        <v>1469</v>
      </c>
      <c r="E16" s="1673" t="s">
        <v>1196</v>
      </c>
      <c r="F16" s="1682"/>
    </row>
    <row r="17" spans="1:6">
      <c r="A17" s="1679" t="s">
        <v>1377</v>
      </c>
      <c r="B17" s="1676" t="s">
        <v>1196</v>
      </c>
      <c r="C17" s="3225"/>
      <c r="D17" s="1672" t="s">
        <v>1470</v>
      </c>
      <c r="E17" s="1673" t="s">
        <v>1196</v>
      </c>
      <c r="F17" s="1682"/>
    </row>
    <row r="18" spans="1:6">
      <c r="A18" s="1672" t="s">
        <v>1396</v>
      </c>
      <c r="B18" s="1673" t="s">
        <v>1196</v>
      </c>
      <c r="C18" s="1680" t="s">
        <v>1221</v>
      </c>
      <c r="D18" s="1672" t="s">
        <v>1471</v>
      </c>
      <c r="E18" s="1673" t="s">
        <v>1196</v>
      </c>
      <c r="F18" s="1682"/>
    </row>
    <row r="19" spans="1:6">
      <c r="A19" s="1672" t="s">
        <v>1397</v>
      </c>
      <c r="B19" s="1673" t="s">
        <v>1196</v>
      </c>
      <c r="C19" s="1680" t="s">
        <v>1221</v>
      </c>
      <c r="D19" s="1672" t="s">
        <v>1472</v>
      </c>
      <c r="E19" s="1673" t="s">
        <v>1196</v>
      </c>
      <c r="F19" s="1682"/>
    </row>
    <row r="20" spans="1:6">
      <c r="A20" s="1672" t="s">
        <v>1399</v>
      </c>
      <c r="B20" s="1673" t="s">
        <v>1196</v>
      </c>
      <c r="C20" s="1680" t="s">
        <v>1221</v>
      </c>
      <c r="D20" s="1672" t="s">
        <v>1473</v>
      </c>
      <c r="E20" s="1673" t="s">
        <v>1196</v>
      </c>
      <c r="F20" s="1682"/>
    </row>
    <row r="21" spans="1:6">
      <c r="A21" s="1672" t="s">
        <v>1400</v>
      </c>
      <c r="B21" s="1673" t="s">
        <v>1196</v>
      </c>
      <c r="C21" s="1680" t="s">
        <v>1221</v>
      </c>
      <c r="D21" s="1672" t="s">
        <v>1474</v>
      </c>
      <c r="E21" s="1673" t="s">
        <v>1246</v>
      </c>
      <c r="F21" s="1682"/>
    </row>
    <row r="22" spans="1:6">
      <c r="A22" s="1672" t="s">
        <v>1401</v>
      </c>
      <c r="B22" s="1673" t="s">
        <v>1196</v>
      </c>
      <c r="C22" s="1680" t="s">
        <v>1221</v>
      </c>
      <c r="D22" s="1678" t="s">
        <v>1475</v>
      </c>
      <c r="E22" s="1676" t="s">
        <v>1246</v>
      </c>
      <c r="F22" s="3226" t="s">
        <v>1476</v>
      </c>
    </row>
    <row r="23" spans="1:6">
      <c r="A23" s="1672" t="s">
        <v>1407</v>
      </c>
      <c r="B23" s="1673" t="s">
        <v>1196</v>
      </c>
      <c r="C23" s="1680" t="s">
        <v>1221</v>
      </c>
      <c r="D23" s="1678" t="s">
        <v>1477</v>
      </c>
      <c r="E23" s="1676" t="s">
        <v>1196</v>
      </c>
      <c r="F23" s="3226"/>
    </row>
    <row r="24" spans="1:6">
      <c r="A24" s="1672" t="s">
        <v>1409</v>
      </c>
      <c r="B24" s="1673" t="s">
        <v>1196</v>
      </c>
      <c r="C24" s="1680" t="s">
        <v>1221</v>
      </c>
      <c r="D24" s="1678" t="s">
        <v>1478</v>
      </c>
      <c r="E24" s="1676" t="s">
        <v>1196</v>
      </c>
      <c r="F24" s="3226"/>
    </row>
    <row r="25" spans="1:6">
      <c r="A25" s="1672" t="s">
        <v>1410</v>
      </c>
      <c r="B25" s="1673" t="s">
        <v>1196</v>
      </c>
      <c r="C25" s="1680" t="s">
        <v>1221</v>
      </c>
      <c r="D25" s="1678" t="s">
        <v>1479</v>
      </c>
      <c r="E25" s="1676" t="s">
        <v>1196</v>
      </c>
      <c r="F25" s="3226"/>
    </row>
    <row r="26" spans="1:6">
      <c r="A26" s="1672" t="s">
        <v>1411</v>
      </c>
      <c r="B26" s="1673" t="s">
        <v>1246</v>
      </c>
      <c r="C26" s="1680" t="s">
        <v>1221</v>
      </c>
      <c r="D26" s="1678" t="s">
        <v>1480</v>
      </c>
      <c r="E26" s="1676" t="s">
        <v>1196</v>
      </c>
      <c r="F26" s="3220" t="s">
        <v>1481</v>
      </c>
    </row>
    <row r="27" spans="1:6">
      <c r="A27" s="1681" t="s">
        <v>1414</v>
      </c>
      <c r="B27" s="1673" t="s">
        <v>1196</v>
      </c>
      <c r="C27" s="1682"/>
      <c r="D27" s="1678" t="s">
        <v>1482</v>
      </c>
      <c r="E27" s="1676" t="s">
        <v>1196</v>
      </c>
      <c r="F27" s="3220"/>
    </row>
    <row r="28" spans="1:6">
      <c r="A28" s="1681" t="s">
        <v>1417</v>
      </c>
      <c r="B28" s="1673" t="s">
        <v>1196</v>
      </c>
      <c r="C28" s="1682"/>
      <c r="D28" s="1678" t="s">
        <v>1483</v>
      </c>
      <c r="E28" s="1676" t="s">
        <v>1196</v>
      </c>
      <c r="F28" s="3220" t="s">
        <v>1484</v>
      </c>
    </row>
    <row r="29" spans="1:6">
      <c r="A29" s="1683" t="s">
        <v>1418</v>
      </c>
      <c r="B29" s="1673" t="s">
        <v>1196</v>
      </c>
      <c r="C29" s="1682"/>
      <c r="D29" s="1678" t="s">
        <v>1485</v>
      </c>
      <c r="E29" s="1676" t="s">
        <v>1196</v>
      </c>
      <c r="F29" s="3220"/>
    </row>
    <row r="30" spans="1:6">
      <c r="A30" s="1672" t="s">
        <v>1421</v>
      </c>
      <c r="B30" s="1673" t="s">
        <v>1422</v>
      </c>
      <c r="C30" s="1682"/>
      <c r="D30" s="1678" t="s">
        <v>1492</v>
      </c>
      <c r="E30" s="1676" t="s">
        <v>1196</v>
      </c>
      <c r="F30" s="3220"/>
    </row>
    <row r="31" spans="1:6">
      <c r="A31" s="1672" t="s">
        <v>1424</v>
      </c>
      <c r="B31" s="1673" t="s">
        <v>1422</v>
      </c>
      <c r="C31" s="1682"/>
      <c r="D31" s="1678" t="s">
        <v>1494</v>
      </c>
      <c r="E31" s="1676" t="s">
        <v>1196</v>
      </c>
      <c r="F31" s="1674"/>
    </row>
    <row r="32" spans="1:6">
      <c r="A32" s="1672" t="s">
        <v>1425</v>
      </c>
      <c r="B32" s="1673" t="s">
        <v>1422</v>
      </c>
      <c r="C32" s="1682"/>
      <c r="D32" s="1672" t="s">
        <v>1497</v>
      </c>
      <c r="E32" s="1673" t="s">
        <v>1196</v>
      </c>
      <c r="F32" s="1682"/>
    </row>
    <row r="33" spans="1:6">
      <c r="A33" s="1672" t="s">
        <v>1426</v>
      </c>
      <c r="B33" s="1673" t="s">
        <v>1422</v>
      </c>
      <c r="C33" s="1682"/>
      <c r="D33" s="1672" t="s">
        <v>1499</v>
      </c>
      <c r="E33" s="1702" t="s">
        <v>1196</v>
      </c>
      <c r="F33" s="3221" t="s">
        <v>1500</v>
      </c>
    </row>
    <row r="34" spans="1:6">
      <c r="A34" s="1672" t="s">
        <v>1427</v>
      </c>
      <c r="B34" s="1673" t="s">
        <v>1422</v>
      </c>
      <c r="C34" s="1682"/>
      <c r="D34" s="1672" t="s">
        <v>1501</v>
      </c>
      <c r="E34" s="1702" t="s">
        <v>1196</v>
      </c>
      <c r="F34" s="3221"/>
    </row>
    <row r="35" spans="1:6">
      <c r="A35" s="1672" t="s">
        <v>1428</v>
      </c>
      <c r="B35" s="1673" t="s">
        <v>1422</v>
      </c>
      <c r="C35" s="1682"/>
      <c r="D35" s="1672" t="s">
        <v>1502</v>
      </c>
      <c r="E35" s="1702" t="s">
        <v>1196</v>
      </c>
      <c r="F35" s="3221"/>
    </row>
    <row r="36" spans="1:6">
      <c r="A36" s="1672" t="s">
        <v>1429</v>
      </c>
      <c r="B36" s="1673" t="s">
        <v>1422</v>
      </c>
      <c r="C36" s="1682"/>
      <c r="D36" s="1672" t="s">
        <v>1504</v>
      </c>
      <c r="E36" s="1702" t="s">
        <v>1196</v>
      </c>
      <c r="F36" s="3221"/>
    </row>
    <row r="37" spans="1:6">
      <c r="A37" s="1672" t="s">
        <v>1860</v>
      </c>
      <c r="B37" s="1673" t="s">
        <v>1196</v>
      </c>
      <c r="C37" s="1682"/>
      <c r="D37" s="1672" t="s">
        <v>1507</v>
      </c>
      <c r="E37" s="1702" t="s">
        <v>1196</v>
      </c>
      <c r="F37" s="3221"/>
    </row>
    <row r="38" spans="1:6">
      <c r="A38" s="1672" t="s">
        <v>1431</v>
      </c>
      <c r="B38" s="1673" t="s">
        <v>1246</v>
      </c>
      <c r="C38" s="1682"/>
      <c r="D38" s="1672" t="s">
        <v>1510</v>
      </c>
      <c r="E38" s="1702" t="s">
        <v>1196</v>
      </c>
      <c r="F38" s="3221"/>
    </row>
    <row r="39" spans="1:6">
      <c r="A39" s="1672" t="s">
        <v>1432</v>
      </c>
      <c r="B39" s="1673" t="s">
        <v>1196</v>
      </c>
      <c r="C39" s="1682"/>
      <c r="D39" s="1672" t="s">
        <v>1512</v>
      </c>
      <c r="E39" s="1702" t="s">
        <v>1196</v>
      </c>
      <c r="F39" s="3221"/>
    </row>
    <row r="40" spans="1:6">
      <c r="A40" s="1672" t="s">
        <v>1861</v>
      </c>
      <c r="B40" s="1673" t="s">
        <v>1196</v>
      </c>
      <c r="C40" s="1684" t="s">
        <v>1862</v>
      </c>
      <c r="D40" s="1672" t="s">
        <v>1514</v>
      </c>
      <c r="E40" s="1702" t="s">
        <v>1196</v>
      </c>
      <c r="F40" s="3221"/>
    </row>
    <row r="41" spans="1:6">
      <c r="A41" s="1672" t="s">
        <v>1435</v>
      </c>
      <c r="B41" s="1673" t="s">
        <v>1196</v>
      </c>
      <c r="C41" s="1682"/>
      <c r="D41" s="1672" t="s">
        <v>1515</v>
      </c>
      <c r="E41" s="1702" t="s">
        <v>1196</v>
      </c>
      <c r="F41" s="3221"/>
    </row>
    <row r="42" spans="1:6">
      <c r="A42" s="1672" t="s">
        <v>1437</v>
      </c>
      <c r="B42" s="1673" t="s">
        <v>1196</v>
      </c>
      <c r="C42" s="1682"/>
      <c r="D42" s="1672" t="s">
        <v>1516</v>
      </c>
      <c r="E42" s="1702" t="s">
        <v>1196</v>
      </c>
      <c r="F42" s="3221"/>
    </row>
    <row r="43" spans="1:6">
      <c r="A43" s="1672" t="s">
        <v>1440</v>
      </c>
      <c r="B43" s="1673" t="s">
        <v>1196</v>
      </c>
      <c r="C43" s="1682"/>
      <c r="D43" s="1672" t="s">
        <v>1517</v>
      </c>
      <c r="E43" s="1702" t="s">
        <v>1196</v>
      </c>
      <c r="F43" s="3221"/>
    </row>
    <row r="44" spans="1:6">
      <c r="A44" s="1672" t="s">
        <v>1439</v>
      </c>
      <c r="B44" s="1673" t="s">
        <v>1196</v>
      </c>
      <c r="C44" s="1682"/>
      <c r="D44" s="1672" t="s">
        <v>1518</v>
      </c>
      <c r="E44" s="1702" t="s">
        <v>1196</v>
      </c>
      <c r="F44" s="3221"/>
    </row>
    <row r="45" spans="1:6">
      <c r="A45" s="1672" t="s">
        <v>1441</v>
      </c>
      <c r="B45" s="1673" t="s">
        <v>1196</v>
      </c>
      <c r="C45" s="1682"/>
      <c r="D45" s="1672" t="s">
        <v>1519</v>
      </c>
      <c r="E45" s="1702" t="s">
        <v>1196</v>
      </c>
      <c r="F45" s="3221"/>
    </row>
    <row r="46" spans="1:6">
      <c r="A46" s="1672" t="s">
        <v>1443</v>
      </c>
      <c r="B46" s="1673" t="s">
        <v>1196</v>
      </c>
      <c r="C46" s="1682"/>
      <c r="D46" s="1672" t="s">
        <v>1521</v>
      </c>
      <c r="E46" s="1702" t="s">
        <v>1196</v>
      </c>
      <c r="F46" s="3221"/>
    </row>
    <row r="47" spans="1:6">
      <c r="A47" s="1672" t="s">
        <v>1445</v>
      </c>
      <c r="B47" s="1673" t="s">
        <v>1246</v>
      </c>
      <c r="C47" s="1682"/>
      <c r="D47" s="1672" t="s">
        <v>1522</v>
      </c>
      <c r="E47" s="1702" t="s">
        <v>1196</v>
      </c>
      <c r="F47" s="3221"/>
    </row>
    <row r="48" spans="1:6">
      <c r="A48" s="1672" t="s">
        <v>1447</v>
      </c>
      <c r="B48" s="1673" t="s">
        <v>1246</v>
      </c>
      <c r="C48" s="1682"/>
      <c r="D48" s="1672" t="s">
        <v>1524</v>
      </c>
      <c r="E48" s="1702" t="s">
        <v>1196</v>
      </c>
      <c r="F48" s="3221"/>
    </row>
    <row r="49" spans="1:6" ht="15" thickBot="1">
      <c r="A49" s="1696" t="s">
        <v>1863</v>
      </c>
      <c r="B49" s="1697" t="s">
        <v>1196</v>
      </c>
      <c r="C49" s="1698"/>
      <c r="D49" s="1672" t="s">
        <v>1525</v>
      </c>
      <c r="E49" s="1702" t="s">
        <v>1196</v>
      </c>
      <c r="F49" s="3221"/>
    </row>
    <row r="50" spans="1:6" ht="15" thickBot="1">
      <c r="A50" s="1699" t="s">
        <v>1450</v>
      </c>
      <c r="B50" s="1700" t="s">
        <v>1196</v>
      </c>
      <c r="C50" s="1701"/>
      <c r="D50" s="1695" t="s">
        <v>1526</v>
      </c>
      <c r="E50" s="1702" t="s">
        <v>1196</v>
      </c>
      <c r="F50" s="3221"/>
    </row>
    <row r="51" spans="1:6">
      <c r="A51" s="1672" t="s">
        <v>1531</v>
      </c>
      <c r="B51" s="1673" t="s">
        <v>1196</v>
      </c>
      <c r="C51" s="3222" t="s">
        <v>1500</v>
      </c>
      <c r="D51" s="1672" t="s">
        <v>1527</v>
      </c>
      <c r="E51" s="1702" t="s">
        <v>1196</v>
      </c>
      <c r="F51" s="3221"/>
    </row>
    <row r="52" spans="1:6">
      <c r="A52" s="1672" t="s">
        <v>1532</v>
      </c>
      <c r="B52" s="1673" t="s">
        <v>1196</v>
      </c>
      <c r="C52" s="3223"/>
      <c r="D52" s="1672" t="s">
        <v>1528</v>
      </c>
      <c r="E52" s="1702" t="s">
        <v>1196</v>
      </c>
      <c r="F52" s="3221"/>
    </row>
    <row r="53" spans="1:6">
      <c r="A53" s="1672" t="s">
        <v>1533</v>
      </c>
      <c r="B53" s="1673" t="s">
        <v>1196</v>
      </c>
      <c r="C53" s="3223"/>
      <c r="D53" s="1672" t="s">
        <v>1529</v>
      </c>
      <c r="E53" s="1702" t="s">
        <v>1196</v>
      </c>
      <c r="F53" s="3221"/>
    </row>
    <row r="54" spans="1:6">
      <c r="A54" s="1672" t="s">
        <v>1534</v>
      </c>
      <c r="B54" s="1673" t="s">
        <v>1196</v>
      </c>
      <c r="C54" s="3224"/>
      <c r="D54" s="1672" t="s">
        <v>1530</v>
      </c>
      <c r="E54" s="1702" t="s">
        <v>1196</v>
      </c>
      <c r="F54" s="3221"/>
    </row>
    <row r="55" spans="1:6" ht="15">
      <c r="A55" s="1685" t="s">
        <v>1535</v>
      </c>
      <c r="B55" s="1673" t="s">
        <v>1536</v>
      </c>
      <c r="C55" s="1686" t="s">
        <v>1537</v>
      </c>
    </row>
  </sheetData>
  <mergeCells count="8">
    <mergeCell ref="F28:F30"/>
    <mergeCell ref="F33:F54"/>
    <mergeCell ref="C51:C54"/>
    <mergeCell ref="C5:C8"/>
    <mergeCell ref="C11:C17"/>
    <mergeCell ref="F5:F14"/>
    <mergeCell ref="F22:F25"/>
    <mergeCell ref="F26:F27"/>
  </mergeCells>
  <conditionalFormatting sqref="B2 E2:E13 B4:B11 B18:B19 E19:E26 B21:B39 B41:B50">
    <cfRule type="expression" dxfId="4" priority="2050">
      <formula>#REF!=0</formula>
    </cfRule>
  </conditionalFormatting>
  <conditionalFormatting sqref="B3 E33:E54 B40 B51:B55">
    <cfRule type="expression" dxfId="3" priority="2051">
      <formula>#REF!=0</formula>
    </cfRule>
  </conditionalFormatting>
  <conditionalFormatting sqref="E22">
    <cfRule type="expression" dxfId="1" priority="2143">
      <formula>SUM(#REF!)=0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141" id="{CC7A478A-4480-4EC1-BC4E-3887BDBA6F3E}">
            <xm:f>#REF!&lt;&gt;'Input''s from BD(Sales)'!$A$147</xm:f>
            <x14:dxf>
              <fill>
                <patternFill patternType="lightTrellis">
                  <fgColor theme="7" tint="-0.24994659260841701"/>
                  <bgColor theme="0"/>
                </patternFill>
              </fill>
            </x14:dxf>
          </x14:cfRule>
          <xm:sqref>B9:B10</xm:sqref>
        </x14:conditionalFormatting>
        <x14:conditionalFormatting xmlns:xm="http://schemas.microsoft.com/office/excel/2006/main">
          <x14:cfRule type="expression" priority="2112" id="{44D1BC55-EF3D-4156-B057-9EF92C95297E}">
            <xm:f>'Bidcell BOM (LTS)'!#REF!=0</xm:f>
            <x14:dxf>
              <fill>
                <patternFill patternType="lightTrellis">
                  <fgColor theme="7" tint="-0.24994659260841701"/>
                  <bgColor theme="0"/>
                </patternFill>
              </fill>
            </x14:dxf>
          </x14:cfRule>
          <xm:sqref>E33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491A-FCBB-4C78-BD74-752CF6DD22B0}">
  <sheetPr codeName="Sheet10"/>
  <dimension ref="A1:N28"/>
  <sheetViews>
    <sheetView workbookViewId="0">
      <selection activeCell="F8" sqref="F8"/>
    </sheetView>
  </sheetViews>
  <sheetFormatPr defaultRowHeight="14.4"/>
  <cols>
    <col min="2" max="2" width="7.6640625" bestFit="1" customWidth="1"/>
    <col min="14" max="14" width="15.33203125" bestFit="1" customWidth="1"/>
  </cols>
  <sheetData>
    <row r="1" spans="1:14">
      <c r="A1">
        <f>IF(F16&lt;101,G480,IF(F16&lt;501,G481,IF(F16&lt;1001,G482,IF(F16&lt;2501,G483,IF(F16&gt;5001,G484,0)))))</f>
        <v>0</v>
      </c>
    </row>
    <row r="3" spans="1:14" ht="15" thickBot="1">
      <c r="B3" t="s">
        <v>1864</v>
      </c>
      <c r="C3">
        <v>2850</v>
      </c>
    </row>
    <row r="4" spans="1:14" ht="15.6">
      <c r="B4" t="s">
        <v>1865</v>
      </c>
      <c r="C4">
        <v>3850</v>
      </c>
      <c r="H4" t="s">
        <v>1866</v>
      </c>
      <c r="I4" s="922" t="s">
        <v>1761</v>
      </c>
    </row>
    <row r="5" spans="1:14" ht="15.6">
      <c r="B5" t="s">
        <v>1867</v>
      </c>
      <c r="C5">
        <v>10200</v>
      </c>
      <c r="H5" t="s">
        <v>1868</v>
      </c>
      <c r="I5" s="923" t="s">
        <v>1869</v>
      </c>
    </row>
    <row r="6" spans="1:14">
      <c r="B6" t="s">
        <v>1870</v>
      </c>
      <c r="C6">
        <v>14500</v>
      </c>
      <c r="H6" t="s">
        <v>1871</v>
      </c>
      <c r="I6" s="187" t="s">
        <v>1766</v>
      </c>
    </row>
    <row r="7" spans="1:14" ht="15.6">
      <c r="B7" t="s">
        <v>1872</v>
      </c>
      <c r="C7">
        <v>24000</v>
      </c>
      <c r="F7">
        <v>400</v>
      </c>
      <c r="H7" t="s">
        <v>1873</v>
      </c>
      <c r="I7" s="923" t="s">
        <v>1772</v>
      </c>
    </row>
    <row r="8" spans="1:14" ht="16.2" thickBot="1">
      <c r="F8">
        <f>F7/10</f>
        <v>40</v>
      </c>
      <c r="H8" t="s">
        <v>1874</v>
      </c>
      <c r="I8" s="924" t="s">
        <v>1763</v>
      </c>
    </row>
    <row r="9" spans="1:14">
      <c r="B9" t="e">
        <f>VLOOKUP(G137,G523:H528,2,0)</f>
        <v>#N/A</v>
      </c>
    </row>
    <row r="11" spans="1:14">
      <c r="N11" s="5"/>
    </row>
    <row r="12" spans="1:14">
      <c r="N12" s="879"/>
    </row>
    <row r="27" spans="5:6">
      <c r="E27" s="893"/>
      <c r="F27" s="928"/>
    </row>
    <row r="28" spans="5:6">
      <c r="E28" s="928"/>
      <c r="F28" s="92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6CAB6-63E6-4B46-8BE4-EE87E933ED93}">
  <sheetPr codeName="Sheet9"/>
  <dimension ref="A1:G64"/>
  <sheetViews>
    <sheetView topLeftCell="A32" workbookViewId="0">
      <selection activeCell="G39" sqref="G39"/>
    </sheetView>
  </sheetViews>
  <sheetFormatPr defaultRowHeight="15.6"/>
  <cols>
    <col min="1" max="1" width="8.44140625" style="10" bestFit="1" customWidth="1"/>
    <col min="2" max="2" width="32.5546875" bestFit="1" customWidth="1"/>
    <col min="3" max="3" width="56.44140625" bestFit="1" customWidth="1"/>
    <col min="4" max="4" width="16.33203125" customWidth="1"/>
    <col min="5" max="5" width="11.5546875" bestFit="1" customWidth="1"/>
    <col min="6" max="6" width="13.33203125" style="46" bestFit="1" customWidth="1"/>
    <col min="7" max="7" width="25" bestFit="1" customWidth="1"/>
    <col min="10" max="10" width="11.5546875" bestFit="1" customWidth="1"/>
    <col min="11" max="15" width="10.5546875" bestFit="1" customWidth="1"/>
    <col min="16" max="16" width="12.5546875" bestFit="1" customWidth="1"/>
    <col min="17" max="17" width="9.5546875" bestFit="1" customWidth="1"/>
  </cols>
  <sheetData>
    <row r="1" spans="1:5" ht="16.2" thickBot="1"/>
    <row r="2" spans="1:5" ht="18.600000000000001" thickBot="1">
      <c r="A2" s="17" t="s">
        <v>1875</v>
      </c>
      <c r="B2" s="11" t="s">
        <v>1654</v>
      </c>
      <c r="C2" s="9" t="s">
        <v>1876</v>
      </c>
    </row>
    <row r="3" spans="1:5">
      <c r="A3" s="44">
        <v>1</v>
      </c>
      <c r="B3" s="12" t="s">
        <v>1091</v>
      </c>
      <c r="C3" s="2" t="s">
        <v>1112</v>
      </c>
    </row>
    <row r="4" spans="1:5">
      <c r="A4" s="19">
        <v>2</v>
      </c>
      <c r="B4" s="13" t="s">
        <v>1877</v>
      </c>
      <c r="C4" s="3" t="s">
        <v>1878</v>
      </c>
    </row>
    <row r="5" spans="1:5" ht="43.2">
      <c r="A5" s="19"/>
      <c r="B5" s="13" t="s">
        <v>1879</v>
      </c>
      <c r="C5" s="7" t="s">
        <v>1880</v>
      </c>
    </row>
    <row r="6" spans="1:5">
      <c r="A6" s="18">
        <v>4</v>
      </c>
      <c r="B6" s="14" t="s">
        <v>1881</v>
      </c>
      <c r="C6" s="7" t="s">
        <v>1882</v>
      </c>
    </row>
    <row r="7" spans="1:5">
      <c r="A7" s="19">
        <v>5</v>
      </c>
      <c r="B7" s="14" t="s">
        <v>1883</v>
      </c>
      <c r="C7" s="7" t="s">
        <v>1884</v>
      </c>
    </row>
    <row r="8" spans="1:5">
      <c r="A8" s="19">
        <v>6</v>
      </c>
      <c r="B8" s="14" t="s">
        <v>1885</v>
      </c>
      <c r="C8" s="3" t="s">
        <v>1886</v>
      </c>
    </row>
    <row r="9" spans="1:5">
      <c r="A9" s="18">
        <v>7</v>
      </c>
      <c r="B9" s="14" t="s">
        <v>1887</v>
      </c>
      <c r="C9" s="3" t="s">
        <v>1757</v>
      </c>
    </row>
    <row r="10" spans="1:5">
      <c r="A10" s="19">
        <v>8</v>
      </c>
      <c r="B10" s="14" t="s">
        <v>1888</v>
      </c>
      <c r="C10" s="3" t="s">
        <v>1889</v>
      </c>
    </row>
    <row r="11" spans="1:5">
      <c r="A11" s="19">
        <v>9</v>
      </c>
      <c r="B11" s="14" t="s">
        <v>1890</v>
      </c>
      <c r="C11" s="3" t="s">
        <v>1757</v>
      </c>
    </row>
    <row r="12" spans="1:5">
      <c r="A12" s="18">
        <v>10</v>
      </c>
      <c r="B12" s="14" t="s">
        <v>1891</v>
      </c>
      <c r="C12" s="3" t="s">
        <v>1892</v>
      </c>
    </row>
    <row r="13" spans="1:5">
      <c r="A13" s="19">
        <v>11</v>
      </c>
      <c r="B13" s="14" t="s">
        <v>1893</v>
      </c>
      <c r="C13" s="3" t="s">
        <v>1894</v>
      </c>
    </row>
    <row r="14" spans="1:5">
      <c r="A14" s="19">
        <v>12</v>
      </c>
      <c r="B14" s="14" t="s">
        <v>1895</v>
      </c>
      <c r="C14" s="3" t="s">
        <v>1896</v>
      </c>
    </row>
    <row r="15" spans="1:5">
      <c r="A15" s="18">
        <v>13</v>
      </c>
      <c r="B15" s="14" t="s">
        <v>2</v>
      </c>
      <c r="C15" s="3" t="s">
        <v>1897</v>
      </c>
      <c r="D15" s="5"/>
    </row>
    <row r="16" spans="1:5">
      <c r="A16" s="19">
        <v>14</v>
      </c>
      <c r="B16" s="14" t="s">
        <v>1898</v>
      </c>
      <c r="C16" s="3" t="s">
        <v>1899</v>
      </c>
      <c r="D16" s="5"/>
      <c r="E16" s="1"/>
    </row>
    <row r="17" spans="1:4">
      <c r="A17" s="19">
        <v>15</v>
      </c>
      <c r="B17" s="14" t="s">
        <v>1900</v>
      </c>
      <c r="C17" s="3" t="s">
        <v>1901</v>
      </c>
      <c r="D17" s="5"/>
    </row>
    <row r="18" spans="1:4" ht="15" customHeight="1">
      <c r="A18" s="18">
        <v>16</v>
      </c>
      <c r="B18" s="15" t="s">
        <v>1902</v>
      </c>
      <c r="C18" s="3" t="s">
        <v>1903</v>
      </c>
      <c r="D18" s="5"/>
    </row>
    <row r="19" spans="1:4">
      <c r="A19" s="19">
        <v>17</v>
      </c>
      <c r="B19" s="15" t="s">
        <v>1361</v>
      </c>
      <c r="C19" s="3" t="s">
        <v>1904</v>
      </c>
      <c r="D19" s="5"/>
    </row>
    <row r="20" spans="1:4">
      <c r="A20" s="19">
        <v>18</v>
      </c>
      <c r="B20" s="15" t="s">
        <v>1905</v>
      </c>
      <c r="C20" s="3" t="s">
        <v>1906</v>
      </c>
      <c r="D20" s="5"/>
    </row>
    <row r="21" spans="1:4">
      <c r="A21" s="18">
        <v>19</v>
      </c>
      <c r="B21" s="15" t="s">
        <v>1907</v>
      </c>
      <c r="C21" s="3" t="str">
        <f>C18</f>
        <v xml:space="preserve">Wattmon </v>
      </c>
      <c r="D21" s="5"/>
    </row>
    <row r="22" spans="1:4">
      <c r="A22" s="19">
        <v>20</v>
      </c>
      <c r="B22" s="15" t="s">
        <v>1908</v>
      </c>
      <c r="C22" s="3" t="str">
        <f>C21</f>
        <v xml:space="preserve">Wattmon </v>
      </c>
      <c r="D22" s="5"/>
    </row>
    <row r="23" spans="1:4">
      <c r="A23" s="19">
        <v>21</v>
      </c>
      <c r="B23" s="15" t="s">
        <v>1909</v>
      </c>
      <c r="C23" s="3" t="str">
        <f>C6</f>
        <v>Indus, Bhagyashree, Accupanels, Sanjay tec, LS power</v>
      </c>
      <c r="D23" s="5"/>
    </row>
    <row r="24" spans="1:4">
      <c r="A24" s="18">
        <v>22</v>
      </c>
      <c r="B24" s="15" t="s">
        <v>1910</v>
      </c>
      <c r="C24" s="3" t="s">
        <v>1911</v>
      </c>
      <c r="D24" s="5"/>
    </row>
    <row r="25" spans="1:4" ht="16.2" thickBot="1">
      <c r="A25" s="20">
        <v>23</v>
      </c>
      <c r="B25" s="16" t="s">
        <v>1912</v>
      </c>
      <c r="C25" s="8" t="s">
        <v>1913</v>
      </c>
    </row>
    <row r="26" spans="1:4">
      <c r="B26" s="6"/>
    </row>
    <row r="27" spans="1:4">
      <c r="B27" s="6"/>
    </row>
    <row r="35" spans="2:7">
      <c r="G35">
        <f>36877-56410</f>
        <v>-19533</v>
      </c>
    </row>
    <row r="36" spans="2:7">
      <c r="D36" s="168">
        <f>260000*9.16</f>
        <v>2381600</v>
      </c>
      <c r="E36">
        <f>31600</f>
        <v>31600</v>
      </c>
      <c r="F36" s="46">
        <f>9.16/2</f>
        <v>4.58</v>
      </c>
    </row>
    <row r="37" spans="2:7">
      <c r="D37" s="168">
        <v>110000</v>
      </c>
      <c r="E37" s="881">
        <f>D36-E36</f>
        <v>2350000</v>
      </c>
    </row>
    <row r="38" spans="2:7">
      <c r="B38">
        <v>374446</v>
      </c>
      <c r="D38" s="168">
        <f>D36+D37</f>
        <v>2491600</v>
      </c>
    </row>
    <row r="39" spans="2:7">
      <c r="B39">
        <f>1200000-C42</f>
        <v>223154</v>
      </c>
      <c r="C39">
        <f>1200000-C42</f>
        <v>223154</v>
      </c>
      <c r="D39" s="168">
        <f>D36*2%</f>
        <v>47632</v>
      </c>
    </row>
    <row r="40" spans="2:7">
      <c r="B40">
        <f>B38-B39</f>
        <v>151292</v>
      </c>
      <c r="C40">
        <f>C39/C45</f>
        <v>0.60743003043220256</v>
      </c>
      <c r="D40" s="168">
        <f>D38+D39</f>
        <v>2539232</v>
      </c>
    </row>
    <row r="41" spans="2:7">
      <c r="C41">
        <f>26241*46</f>
        <v>1207086</v>
      </c>
      <c r="D41" s="168">
        <f>D40/9.16</f>
        <v>277208.73362445412</v>
      </c>
      <c r="F41" s="46">
        <f>1700000</f>
        <v>1700000</v>
      </c>
    </row>
    <row r="42" spans="2:7">
      <c r="C42">
        <f>976846</f>
        <v>976846</v>
      </c>
      <c r="D42" s="168"/>
      <c r="F42" s="878">
        <f>D40-F41</f>
        <v>839232</v>
      </c>
      <c r="G42">
        <f>20*40000</f>
        <v>800000</v>
      </c>
    </row>
    <row r="43" spans="2:7">
      <c r="B43" s="893">
        <f>B40/B38</f>
        <v>0.40404223840019654</v>
      </c>
      <c r="C43">
        <f>C41-C42</f>
        <v>230240</v>
      </c>
      <c r="D43" s="168">
        <f>2600000</f>
        <v>2600000</v>
      </c>
    </row>
    <row r="44" spans="2:7">
      <c r="C44">
        <f>26241*60</f>
        <v>1574460</v>
      </c>
      <c r="D44" s="168">
        <f>D43-D40</f>
        <v>60768</v>
      </c>
      <c r="F44" s="878">
        <f>D40-D55</f>
        <v>1581232</v>
      </c>
    </row>
    <row r="45" spans="2:7">
      <c r="C45">
        <f>C44-C41</f>
        <v>367374</v>
      </c>
      <c r="D45" s="168"/>
      <c r="F45" s="880">
        <f>F44*10%</f>
        <v>158123.20000000001</v>
      </c>
    </row>
    <row r="46" spans="2:7">
      <c r="C46" s="876"/>
      <c r="D46" s="168">
        <f>89800</f>
        <v>89800</v>
      </c>
    </row>
    <row r="47" spans="2:7">
      <c r="C47">
        <f>C45/26241</f>
        <v>14</v>
      </c>
      <c r="D47" s="168">
        <f>113000</f>
        <v>113000</v>
      </c>
    </row>
    <row r="48" spans="2:7">
      <c r="C48">
        <f>14*26241</f>
        <v>367374</v>
      </c>
      <c r="D48" s="168">
        <f>D47-D46</f>
        <v>23200</v>
      </c>
    </row>
    <row r="49" spans="3:7">
      <c r="D49" s="168"/>
    </row>
    <row r="50" spans="3:7">
      <c r="D50" s="168"/>
    </row>
    <row r="51" spans="3:7">
      <c r="D51" s="168">
        <f>56410+26410</f>
        <v>82820</v>
      </c>
    </row>
    <row r="52" spans="3:7">
      <c r="D52" s="168">
        <f>2600000</f>
        <v>2600000</v>
      </c>
    </row>
    <row r="53" spans="3:7">
      <c r="D53" s="168">
        <f>D51-D52</f>
        <v>-2517180</v>
      </c>
    </row>
    <row r="54" spans="3:7">
      <c r="D54" s="168"/>
    </row>
    <row r="55" spans="3:7">
      <c r="D55" s="168">
        <v>958000</v>
      </c>
      <c r="E55" s="169">
        <v>479000</v>
      </c>
      <c r="G55" s="879">
        <f>D55/9.16</f>
        <v>104585.15283842795</v>
      </c>
    </row>
    <row r="56" spans="3:7">
      <c r="D56" s="168"/>
    </row>
    <row r="57" spans="3:7">
      <c r="D57" s="168"/>
    </row>
    <row r="58" spans="3:7">
      <c r="C58" s="165" t="s">
        <v>1914</v>
      </c>
      <c r="D58" s="168">
        <f>D55*7%</f>
        <v>67060</v>
      </c>
      <c r="E58" s="168">
        <f>E55*7%</f>
        <v>33530</v>
      </c>
      <c r="F58" s="878">
        <f>D58/2</f>
        <v>33530</v>
      </c>
    </row>
    <row r="59" spans="3:7">
      <c r="C59" s="165" t="s">
        <v>1915</v>
      </c>
      <c r="D59" s="168">
        <f>D55*2%</f>
        <v>19160</v>
      </c>
      <c r="E59" s="168">
        <f>E55*2%</f>
        <v>9580</v>
      </c>
    </row>
    <row r="60" spans="3:7">
      <c r="C60" s="165" t="s">
        <v>1916</v>
      </c>
      <c r="D60" s="168">
        <v>3000</v>
      </c>
      <c r="E60" s="168">
        <v>3000</v>
      </c>
    </row>
    <row r="61" spans="3:7">
      <c r="C61" s="165" t="s">
        <v>1917</v>
      </c>
      <c r="D61" s="168">
        <v>3000</v>
      </c>
      <c r="E61" s="168">
        <v>3000</v>
      </c>
    </row>
    <row r="62" spans="3:7">
      <c r="C62" s="167" t="s">
        <v>1918</v>
      </c>
      <c r="D62" s="168">
        <v>8000</v>
      </c>
      <c r="E62" s="168">
        <v>8000</v>
      </c>
    </row>
    <row r="63" spans="3:7">
      <c r="D63" s="168">
        <f>SUM(D58:D62)</f>
        <v>100220</v>
      </c>
      <c r="E63" s="168">
        <f>SUM(E58:E62)</f>
        <v>57110</v>
      </c>
    </row>
    <row r="64" spans="3:7">
      <c r="E64" s="877">
        <f>E63*2</f>
        <v>114220</v>
      </c>
    </row>
  </sheetData>
  <phoneticPr fontId="8" type="noConversion"/>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317D-C0FB-43DB-A308-A9EDC4F12151}">
  <sheetPr codeName="Sheet11"/>
  <dimension ref="A2:H85"/>
  <sheetViews>
    <sheetView workbookViewId="0">
      <selection activeCell="G7" sqref="G7"/>
    </sheetView>
  </sheetViews>
  <sheetFormatPr defaultColWidth="9.33203125" defaultRowHeight="14.4"/>
  <cols>
    <col min="1" max="1" width="6.33203125" style="1" bestFit="1" customWidth="1"/>
    <col min="2" max="2" width="65" style="1" bestFit="1" customWidth="1"/>
    <col min="3" max="3" width="14" style="1" bestFit="1" customWidth="1"/>
    <col min="4" max="4" width="15.33203125" style="1" bestFit="1" customWidth="1"/>
    <col min="5" max="5" width="16.33203125" style="1" bestFit="1" customWidth="1"/>
    <col min="6" max="7" width="9.33203125" style="1"/>
    <col min="8" max="8" width="16.6640625" style="1" bestFit="1" customWidth="1"/>
    <col min="9" max="16384" width="9.33203125" style="1"/>
  </cols>
  <sheetData>
    <row r="2" spans="1:8" s="869" customFormat="1" ht="17.399999999999999">
      <c r="A2" s="874" t="s">
        <v>1855</v>
      </c>
      <c r="B2" s="875" t="s">
        <v>1182</v>
      </c>
      <c r="C2" s="874" t="s">
        <v>1919</v>
      </c>
      <c r="D2" s="874" t="s">
        <v>1920</v>
      </c>
      <c r="E2" s="874" t="s">
        <v>1921</v>
      </c>
    </row>
    <row r="3" spans="1:8">
      <c r="A3" s="870">
        <v>1</v>
      </c>
      <c r="B3" s="871" t="s">
        <v>1922</v>
      </c>
      <c r="C3" s="872">
        <v>43</v>
      </c>
      <c r="D3" s="872">
        <v>44</v>
      </c>
      <c r="E3" s="872">
        <f>C3-D3</f>
        <v>-1</v>
      </c>
      <c r="H3" s="1">
        <v>13050</v>
      </c>
    </row>
    <row r="4" spans="1:8">
      <c r="A4" s="870">
        <f>A3+1</f>
        <v>2</v>
      </c>
      <c r="B4" s="871" t="s">
        <v>1923</v>
      </c>
      <c r="C4" s="872">
        <v>62</v>
      </c>
      <c r="D4" s="872">
        <v>63</v>
      </c>
      <c r="E4" s="872">
        <f t="shared" ref="E4:E18" si="0">C4-D4</f>
        <v>-1</v>
      </c>
      <c r="H4" s="1">
        <v>10000</v>
      </c>
    </row>
    <row r="5" spans="1:8">
      <c r="A5" s="870">
        <f t="shared" ref="A5:A18" si="1">A4+1</f>
        <v>3</v>
      </c>
      <c r="B5" s="871" t="s">
        <v>1924</v>
      </c>
      <c r="C5" s="873">
        <v>1044</v>
      </c>
      <c r="D5" s="872"/>
      <c r="E5" s="872">
        <f t="shared" si="0"/>
        <v>1044</v>
      </c>
      <c r="H5" s="1">
        <v>6500</v>
      </c>
    </row>
    <row r="6" spans="1:8">
      <c r="A6" s="870">
        <f t="shared" si="1"/>
        <v>4</v>
      </c>
      <c r="B6" s="871" t="s">
        <v>1925</v>
      </c>
      <c r="C6" s="873">
        <v>1737</v>
      </c>
      <c r="D6" s="872"/>
      <c r="E6" s="872">
        <f t="shared" si="0"/>
        <v>1737</v>
      </c>
      <c r="H6" s="1">
        <v>5000</v>
      </c>
    </row>
    <row r="7" spans="1:8">
      <c r="A7" s="870">
        <f t="shared" si="1"/>
        <v>5</v>
      </c>
      <c r="B7" s="871" t="s">
        <v>1926</v>
      </c>
      <c r="C7" s="873">
        <v>117.89999999999999</v>
      </c>
      <c r="D7" s="872"/>
      <c r="E7" s="872">
        <f t="shared" si="0"/>
        <v>117.89999999999999</v>
      </c>
    </row>
    <row r="8" spans="1:8">
      <c r="A8" s="870">
        <f t="shared" si="1"/>
        <v>6</v>
      </c>
      <c r="B8" s="871" t="s">
        <v>1927</v>
      </c>
      <c r="C8" s="873">
        <v>165.6</v>
      </c>
      <c r="D8" s="872"/>
      <c r="E8" s="872">
        <f t="shared" si="0"/>
        <v>165.6</v>
      </c>
    </row>
    <row r="9" spans="1:8">
      <c r="A9" s="870">
        <f t="shared" si="1"/>
        <v>7</v>
      </c>
      <c r="B9" s="871" t="s">
        <v>1928</v>
      </c>
      <c r="C9" s="873">
        <v>187.2</v>
      </c>
      <c r="D9" s="872"/>
      <c r="E9" s="872">
        <f t="shared" si="0"/>
        <v>187.2</v>
      </c>
    </row>
    <row r="10" spans="1:8">
      <c r="A10" s="870">
        <f t="shared" si="1"/>
        <v>8</v>
      </c>
      <c r="B10" s="871" t="s">
        <v>1929</v>
      </c>
      <c r="C10" s="873">
        <v>253.5</v>
      </c>
      <c r="D10" s="872"/>
      <c r="E10" s="872">
        <f t="shared" si="0"/>
        <v>253.5</v>
      </c>
    </row>
    <row r="11" spans="1:8">
      <c r="A11" s="870">
        <f t="shared" si="1"/>
        <v>9</v>
      </c>
      <c r="B11" s="871" t="s">
        <v>1930</v>
      </c>
      <c r="C11" s="873">
        <v>346.5</v>
      </c>
      <c r="D11" s="872"/>
      <c r="E11" s="872">
        <f t="shared" si="0"/>
        <v>346.5</v>
      </c>
    </row>
    <row r="12" spans="1:8">
      <c r="A12" s="870">
        <f t="shared" si="1"/>
        <v>10</v>
      </c>
      <c r="B12" s="871" t="s">
        <v>1931</v>
      </c>
      <c r="C12" s="873">
        <v>441</v>
      </c>
      <c r="D12" s="872"/>
      <c r="E12" s="872">
        <f t="shared" si="0"/>
        <v>441</v>
      </c>
      <c r="G12" s="1" t="s">
        <v>1932</v>
      </c>
      <c r="H12" s="894">
        <f>260000*9.16</f>
        <v>2381600</v>
      </c>
    </row>
    <row r="13" spans="1:8">
      <c r="A13" s="870">
        <f t="shared" si="1"/>
        <v>11</v>
      </c>
      <c r="B13" s="871" t="s">
        <v>1933</v>
      </c>
      <c r="C13" s="873">
        <v>567</v>
      </c>
      <c r="D13" s="872"/>
      <c r="E13" s="872">
        <f t="shared" si="0"/>
        <v>567</v>
      </c>
      <c r="G13" s="1" t="s">
        <v>1934</v>
      </c>
      <c r="H13" s="894">
        <f>479000*2</f>
        <v>958000</v>
      </c>
    </row>
    <row r="14" spans="1:8">
      <c r="A14" s="870">
        <f t="shared" si="1"/>
        <v>12</v>
      </c>
      <c r="B14" s="871" t="s">
        <v>1935</v>
      </c>
      <c r="C14" s="873">
        <v>663.3</v>
      </c>
      <c r="D14" s="872"/>
      <c r="E14" s="872">
        <f t="shared" si="0"/>
        <v>663.3</v>
      </c>
      <c r="G14" s="1" t="s">
        <v>1936</v>
      </c>
      <c r="H14" s="894">
        <f>H12-H13</f>
        <v>1423600</v>
      </c>
    </row>
    <row r="15" spans="1:8">
      <c r="A15" s="870">
        <f t="shared" si="1"/>
        <v>13</v>
      </c>
      <c r="B15" s="871" t="s">
        <v>1937</v>
      </c>
      <c r="C15" s="873">
        <v>848.4</v>
      </c>
      <c r="D15" s="872"/>
      <c r="E15" s="872">
        <f t="shared" si="0"/>
        <v>848.4</v>
      </c>
      <c r="H15" s="894">
        <f>1465000+15000</f>
        <v>1480000</v>
      </c>
    </row>
    <row r="16" spans="1:8">
      <c r="A16" s="870">
        <f t="shared" si="1"/>
        <v>14</v>
      </c>
      <c r="B16" s="871" t="s">
        <v>1938</v>
      </c>
      <c r="C16" s="873">
        <v>1038.3</v>
      </c>
      <c r="D16" s="872"/>
      <c r="E16" s="872">
        <f t="shared" si="0"/>
        <v>1038.3</v>
      </c>
      <c r="H16" s="894">
        <f>H15-H14</f>
        <v>56400</v>
      </c>
    </row>
    <row r="17" spans="1:8">
      <c r="A17" s="870">
        <f t="shared" si="1"/>
        <v>15</v>
      </c>
      <c r="B17" s="871" t="s">
        <v>1939</v>
      </c>
      <c r="C17" s="873">
        <v>1345.5</v>
      </c>
      <c r="D17" s="872"/>
      <c r="E17" s="872">
        <f t="shared" si="0"/>
        <v>1345.5</v>
      </c>
      <c r="G17" s="1" t="s">
        <v>1940</v>
      </c>
      <c r="H17" s="894">
        <f>110000</f>
        <v>110000</v>
      </c>
    </row>
    <row r="18" spans="1:8">
      <c r="A18" s="870">
        <f t="shared" si="1"/>
        <v>16</v>
      </c>
      <c r="B18" s="870"/>
      <c r="C18" s="872"/>
      <c r="D18" s="872"/>
      <c r="E18" s="872">
        <f t="shared" si="0"/>
        <v>0</v>
      </c>
      <c r="G18" s="1" t="s">
        <v>1941</v>
      </c>
      <c r="H18" s="894">
        <f>+H12*2%</f>
        <v>47632</v>
      </c>
    </row>
    <row r="19" spans="1:8">
      <c r="H19" s="894">
        <f>H18+H17</f>
        <v>157632</v>
      </c>
    </row>
    <row r="20" spans="1:8">
      <c r="H20" s="894">
        <f>H19-H16</f>
        <v>101232</v>
      </c>
    </row>
    <row r="21" spans="1:8">
      <c r="F21" s="1">
        <f>716700</f>
        <v>716700</v>
      </c>
      <c r="G21" s="1">
        <f>E22-F21</f>
        <v>37188</v>
      </c>
      <c r="H21" s="1">
        <f>7100+G21</f>
        <v>44288</v>
      </c>
    </row>
    <row r="22" spans="1:8">
      <c r="E22" s="1">
        <f>753888</f>
        <v>753888</v>
      </c>
      <c r="F22" s="1">
        <f>742693</f>
        <v>742693</v>
      </c>
      <c r="G22" s="1">
        <f>F22-E22</f>
        <v>-11195</v>
      </c>
      <c r="H22" s="1">
        <f>-7100+G22</f>
        <v>-18295</v>
      </c>
    </row>
    <row r="24" spans="1:8">
      <c r="B24" s="1">
        <v>2500000</v>
      </c>
      <c r="C24" s="1">
        <v>3253860</v>
      </c>
      <c r="D24" s="1">
        <f>C24-B24</f>
        <v>753860</v>
      </c>
      <c r="F24" s="1">
        <f>SUM(E25:E70)</f>
        <v>1207086</v>
      </c>
    </row>
    <row r="25" spans="1:8">
      <c r="A25" s="1">
        <v>1</v>
      </c>
      <c r="B25" s="1">
        <v>54231</v>
      </c>
      <c r="C25" s="1">
        <f t="shared" ref="C25:C56" si="2">C24-B25</f>
        <v>3199629</v>
      </c>
      <c r="D25" s="892">
        <v>45876</v>
      </c>
      <c r="E25" s="1">
        <v>26241</v>
      </c>
      <c r="F25" s="1">
        <f t="shared" ref="F25:F70" si="3">F24-E25</f>
        <v>1180845</v>
      </c>
      <c r="H25" s="1">
        <f t="shared" ref="H25:H56" si="4">B25+E25</f>
        <v>80472</v>
      </c>
    </row>
    <row r="26" spans="1:8">
      <c r="A26" s="1">
        <f t="shared" ref="A26:A57" si="5">A25+1</f>
        <v>2</v>
      </c>
      <c r="B26" s="1">
        <v>54231</v>
      </c>
      <c r="C26" s="1">
        <f t="shared" si="2"/>
        <v>3145398</v>
      </c>
      <c r="D26" s="892">
        <v>45877</v>
      </c>
      <c r="E26" s="1">
        <v>26241</v>
      </c>
      <c r="F26" s="1">
        <f t="shared" si="3"/>
        <v>1154604</v>
      </c>
      <c r="H26" s="1">
        <f t="shared" si="4"/>
        <v>80472</v>
      </c>
    </row>
    <row r="27" spans="1:8">
      <c r="A27" s="1">
        <f t="shared" si="5"/>
        <v>3</v>
      </c>
      <c r="B27" s="1">
        <v>54231</v>
      </c>
      <c r="C27" s="1">
        <f t="shared" si="2"/>
        <v>3091167</v>
      </c>
      <c r="D27" s="892">
        <v>45878</v>
      </c>
      <c r="E27" s="1">
        <v>26241</v>
      </c>
      <c r="F27" s="1">
        <f t="shared" si="3"/>
        <v>1128363</v>
      </c>
      <c r="H27" s="1">
        <f t="shared" si="4"/>
        <v>80472</v>
      </c>
    </row>
    <row r="28" spans="1:8">
      <c r="A28" s="1">
        <f t="shared" si="5"/>
        <v>4</v>
      </c>
      <c r="B28" s="1">
        <v>54231</v>
      </c>
      <c r="C28" s="1">
        <f t="shared" si="2"/>
        <v>3036936</v>
      </c>
      <c r="D28" s="892">
        <v>45879</v>
      </c>
      <c r="E28" s="1">
        <v>26241</v>
      </c>
      <c r="F28" s="1">
        <f t="shared" si="3"/>
        <v>1102122</v>
      </c>
      <c r="H28" s="1">
        <f t="shared" si="4"/>
        <v>80472</v>
      </c>
    </row>
    <row r="29" spans="1:8">
      <c r="A29" s="1">
        <f t="shared" si="5"/>
        <v>5</v>
      </c>
      <c r="B29" s="1">
        <v>54231</v>
      </c>
      <c r="C29" s="1">
        <f t="shared" si="2"/>
        <v>2982705</v>
      </c>
      <c r="D29" s="892">
        <v>45880</v>
      </c>
      <c r="E29" s="1">
        <v>26241</v>
      </c>
      <c r="F29" s="1">
        <f t="shared" si="3"/>
        <v>1075881</v>
      </c>
      <c r="H29" s="1">
        <f t="shared" si="4"/>
        <v>80472</v>
      </c>
    </row>
    <row r="30" spans="1:8">
      <c r="A30" s="1">
        <f t="shared" si="5"/>
        <v>6</v>
      </c>
      <c r="B30" s="1">
        <v>54231</v>
      </c>
      <c r="C30" s="1">
        <f t="shared" si="2"/>
        <v>2928474</v>
      </c>
      <c r="D30" s="892">
        <v>45881</v>
      </c>
      <c r="E30" s="1">
        <v>26241</v>
      </c>
      <c r="F30" s="1">
        <f t="shared" si="3"/>
        <v>1049640</v>
      </c>
      <c r="H30" s="1">
        <f t="shared" si="4"/>
        <v>80472</v>
      </c>
    </row>
    <row r="31" spans="1:8">
      <c r="A31" s="1">
        <f t="shared" si="5"/>
        <v>7</v>
      </c>
      <c r="B31" s="1">
        <v>54231</v>
      </c>
      <c r="C31" s="1">
        <f t="shared" si="2"/>
        <v>2874243</v>
      </c>
      <c r="D31" s="892">
        <v>46235</v>
      </c>
      <c r="E31" s="1">
        <v>26241</v>
      </c>
      <c r="F31" s="1">
        <f t="shared" si="3"/>
        <v>1023399</v>
      </c>
      <c r="H31" s="1">
        <f t="shared" si="4"/>
        <v>80472</v>
      </c>
    </row>
    <row r="32" spans="1:8">
      <c r="A32" s="1">
        <f t="shared" si="5"/>
        <v>8</v>
      </c>
      <c r="B32" s="1">
        <v>54231</v>
      </c>
      <c r="C32" s="1">
        <f t="shared" si="2"/>
        <v>2820012</v>
      </c>
      <c r="D32" s="892">
        <v>46236</v>
      </c>
      <c r="E32" s="1">
        <v>26241</v>
      </c>
      <c r="F32" s="1">
        <f t="shared" si="3"/>
        <v>997158</v>
      </c>
      <c r="H32" s="1">
        <f t="shared" si="4"/>
        <v>80472</v>
      </c>
    </row>
    <row r="33" spans="1:8">
      <c r="A33" s="1">
        <f t="shared" si="5"/>
        <v>9</v>
      </c>
      <c r="B33" s="1">
        <v>54231</v>
      </c>
      <c r="C33" s="1">
        <f t="shared" si="2"/>
        <v>2765781</v>
      </c>
      <c r="D33" s="892">
        <v>46237</v>
      </c>
      <c r="E33" s="1">
        <v>26241</v>
      </c>
      <c r="F33" s="1">
        <f t="shared" si="3"/>
        <v>970917</v>
      </c>
      <c r="H33" s="1">
        <f t="shared" si="4"/>
        <v>80472</v>
      </c>
    </row>
    <row r="34" spans="1:8">
      <c r="A34" s="1">
        <f t="shared" si="5"/>
        <v>10</v>
      </c>
      <c r="B34" s="1">
        <v>54231</v>
      </c>
      <c r="C34" s="1">
        <f t="shared" si="2"/>
        <v>2711550</v>
      </c>
      <c r="D34" s="892">
        <v>46238</v>
      </c>
      <c r="E34" s="1">
        <v>26241</v>
      </c>
      <c r="F34" s="1">
        <f t="shared" si="3"/>
        <v>944676</v>
      </c>
      <c r="H34" s="1">
        <f t="shared" si="4"/>
        <v>80472</v>
      </c>
    </row>
    <row r="35" spans="1:8">
      <c r="A35" s="1">
        <f t="shared" si="5"/>
        <v>11</v>
      </c>
      <c r="B35" s="1">
        <v>54231</v>
      </c>
      <c r="C35" s="1">
        <f t="shared" si="2"/>
        <v>2657319</v>
      </c>
      <c r="D35" s="892">
        <v>46239</v>
      </c>
      <c r="E35" s="1">
        <v>26241</v>
      </c>
      <c r="F35" s="1">
        <f t="shared" si="3"/>
        <v>918435</v>
      </c>
      <c r="H35" s="1">
        <f t="shared" si="4"/>
        <v>80472</v>
      </c>
    </row>
    <row r="36" spans="1:8">
      <c r="A36" s="1">
        <f t="shared" si="5"/>
        <v>12</v>
      </c>
      <c r="B36" s="1">
        <v>54231</v>
      </c>
      <c r="C36" s="1">
        <f t="shared" si="2"/>
        <v>2603088</v>
      </c>
      <c r="D36" s="892">
        <v>46240</v>
      </c>
      <c r="E36" s="1">
        <v>26241</v>
      </c>
      <c r="F36" s="1">
        <f t="shared" si="3"/>
        <v>892194</v>
      </c>
      <c r="H36" s="1">
        <f t="shared" si="4"/>
        <v>80472</v>
      </c>
    </row>
    <row r="37" spans="1:8">
      <c r="A37" s="1">
        <f t="shared" si="5"/>
        <v>13</v>
      </c>
      <c r="B37" s="1">
        <v>54231</v>
      </c>
      <c r="C37" s="1">
        <f t="shared" si="2"/>
        <v>2548857</v>
      </c>
      <c r="D37" s="892">
        <v>46241</v>
      </c>
      <c r="E37" s="1">
        <v>26241</v>
      </c>
      <c r="F37" s="1">
        <f t="shared" si="3"/>
        <v>865953</v>
      </c>
      <c r="H37" s="1">
        <f t="shared" si="4"/>
        <v>80472</v>
      </c>
    </row>
    <row r="38" spans="1:8">
      <c r="A38" s="1">
        <f t="shared" si="5"/>
        <v>14</v>
      </c>
      <c r="B38" s="1">
        <v>54231</v>
      </c>
      <c r="C38" s="1">
        <f t="shared" si="2"/>
        <v>2494626</v>
      </c>
      <c r="D38" s="892">
        <v>46242</v>
      </c>
      <c r="E38" s="1">
        <v>26241</v>
      </c>
      <c r="F38" s="1">
        <f t="shared" si="3"/>
        <v>839712</v>
      </c>
      <c r="H38" s="1">
        <f t="shared" si="4"/>
        <v>80472</v>
      </c>
    </row>
    <row r="39" spans="1:8">
      <c r="A39" s="1">
        <f t="shared" si="5"/>
        <v>15</v>
      </c>
      <c r="B39" s="1">
        <v>54231</v>
      </c>
      <c r="C39" s="1">
        <f t="shared" si="2"/>
        <v>2440395</v>
      </c>
      <c r="D39" s="892">
        <v>46243</v>
      </c>
      <c r="E39" s="1">
        <v>26241</v>
      </c>
      <c r="F39" s="1">
        <f t="shared" si="3"/>
        <v>813471</v>
      </c>
      <c r="H39" s="1">
        <f t="shared" si="4"/>
        <v>80472</v>
      </c>
    </row>
    <row r="40" spans="1:8">
      <c r="A40" s="1">
        <f t="shared" si="5"/>
        <v>16</v>
      </c>
      <c r="B40" s="1">
        <v>54231</v>
      </c>
      <c r="C40" s="1">
        <f t="shared" si="2"/>
        <v>2386164</v>
      </c>
      <c r="D40" s="892">
        <v>46244</v>
      </c>
      <c r="E40" s="1">
        <v>26241</v>
      </c>
      <c r="F40" s="1">
        <f t="shared" si="3"/>
        <v>787230</v>
      </c>
      <c r="H40" s="1">
        <f t="shared" si="4"/>
        <v>80472</v>
      </c>
    </row>
    <row r="41" spans="1:8">
      <c r="A41" s="1">
        <f t="shared" si="5"/>
        <v>17</v>
      </c>
      <c r="B41" s="1">
        <v>54231</v>
      </c>
      <c r="C41" s="1">
        <f t="shared" si="2"/>
        <v>2331933</v>
      </c>
      <c r="D41" s="892">
        <v>46245</v>
      </c>
      <c r="E41" s="1">
        <v>26241</v>
      </c>
      <c r="F41" s="1">
        <f t="shared" si="3"/>
        <v>760989</v>
      </c>
      <c r="H41" s="1">
        <f t="shared" si="4"/>
        <v>80472</v>
      </c>
    </row>
    <row r="42" spans="1:8">
      <c r="A42" s="1">
        <f t="shared" si="5"/>
        <v>18</v>
      </c>
      <c r="B42" s="1">
        <v>54231</v>
      </c>
      <c r="C42" s="1">
        <f t="shared" si="2"/>
        <v>2277702</v>
      </c>
      <c r="D42" s="892">
        <v>46246</v>
      </c>
      <c r="E42" s="1">
        <v>26241</v>
      </c>
      <c r="F42" s="1">
        <f t="shared" si="3"/>
        <v>734748</v>
      </c>
      <c r="H42" s="1">
        <f t="shared" si="4"/>
        <v>80472</v>
      </c>
    </row>
    <row r="43" spans="1:8">
      <c r="A43" s="1">
        <f t="shared" si="5"/>
        <v>19</v>
      </c>
      <c r="B43" s="1">
        <v>54231</v>
      </c>
      <c r="C43" s="1">
        <f t="shared" si="2"/>
        <v>2223471</v>
      </c>
      <c r="D43" s="892">
        <v>46600</v>
      </c>
      <c r="E43" s="1">
        <v>26241</v>
      </c>
      <c r="F43" s="1">
        <f t="shared" si="3"/>
        <v>708507</v>
      </c>
      <c r="H43" s="1">
        <f t="shared" si="4"/>
        <v>80472</v>
      </c>
    </row>
    <row r="44" spans="1:8">
      <c r="A44" s="1">
        <f t="shared" si="5"/>
        <v>20</v>
      </c>
      <c r="B44" s="1">
        <v>54231</v>
      </c>
      <c r="C44" s="1">
        <f t="shared" si="2"/>
        <v>2169240</v>
      </c>
      <c r="D44" s="892">
        <v>46601</v>
      </c>
      <c r="E44" s="1">
        <v>26241</v>
      </c>
      <c r="F44" s="1">
        <f t="shared" si="3"/>
        <v>682266</v>
      </c>
      <c r="H44" s="1">
        <f t="shared" si="4"/>
        <v>80472</v>
      </c>
    </row>
    <row r="45" spans="1:8">
      <c r="A45" s="1">
        <f t="shared" si="5"/>
        <v>21</v>
      </c>
      <c r="B45" s="1">
        <v>54231</v>
      </c>
      <c r="C45" s="1">
        <f t="shared" si="2"/>
        <v>2115009</v>
      </c>
      <c r="D45" s="892">
        <v>46602</v>
      </c>
      <c r="E45" s="1">
        <v>26241</v>
      </c>
      <c r="F45" s="1">
        <f t="shared" si="3"/>
        <v>656025</v>
      </c>
      <c r="H45" s="1">
        <f t="shared" si="4"/>
        <v>80472</v>
      </c>
    </row>
    <row r="46" spans="1:8">
      <c r="A46" s="1">
        <f t="shared" si="5"/>
        <v>22</v>
      </c>
      <c r="B46" s="1">
        <v>54231</v>
      </c>
      <c r="C46" s="1">
        <f t="shared" si="2"/>
        <v>2060778</v>
      </c>
      <c r="D46" s="892">
        <v>46603</v>
      </c>
      <c r="E46" s="1">
        <v>26241</v>
      </c>
      <c r="F46" s="1">
        <f t="shared" si="3"/>
        <v>629784</v>
      </c>
      <c r="H46" s="1">
        <f t="shared" si="4"/>
        <v>80472</v>
      </c>
    </row>
    <row r="47" spans="1:8">
      <c r="A47" s="1">
        <f t="shared" si="5"/>
        <v>23</v>
      </c>
      <c r="B47" s="1">
        <v>54231</v>
      </c>
      <c r="C47" s="1">
        <f t="shared" si="2"/>
        <v>2006547</v>
      </c>
      <c r="D47" s="892">
        <v>46604</v>
      </c>
      <c r="E47" s="1">
        <v>26241</v>
      </c>
      <c r="F47" s="1">
        <f t="shared" si="3"/>
        <v>603543</v>
      </c>
      <c r="H47" s="1">
        <f t="shared" si="4"/>
        <v>80472</v>
      </c>
    </row>
    <row r="48" spans="1:8">
      <c r="A48" s="1">
        <f t="shared" si="5"/>
        <v>24</v>
      </c>
      <c r="B48" s="1">
        <v>54231</v>
      </c>
      <c r="C48" s="1">
        <f t="shared" si="2"/>
        <v>1952316</v>
      </c>
      <c r="D48" s="892">
        <v>46605</v>
      </c>
      <c r="E48" s="1">
        <v>26241</v>
      </c>
      <c r="F48" s="1">
        <f t="shared" si="3"/>
        <v>577302</v>
      </c>
      <c r="H48" s="1">
        <f t="shared" si="4"/>
        <v>80472</v>
      </c>
    </row>
    <row r="49" spans="1:8">
      <c r="A49" s="1">
        <f t="shared" si="5"/>
        <v>25</v>
      </c>
      <c r="B49" s="1">
        <v>54231</v>
      </c>
      <c r="C49" s="1">
        <f t="shared" si="2"/>
        <v>1898085</v>
      </c>
      <c r="D49" s="892">
        <v>46606</v>
      </c>
      <c r="E49" s="1">
        <v>26241</v>
      </c>
      <c r="F49" s="1">
        <f t="shared" si="3"/>
        <v>551061</v>
      </c>
      <c r="H49" s="1">
        <f t="shared" si="4"/>
        <v>80472</v>
      </c>
    </row>
    <row r="50" spans="1:8">
      <c r="A50" s="1">
        <f t="shared" si="5"/>
        <v>26</v>
      </c>
      <c r="B50" s="1">
        <v>54231</v>
      </c>
      <c r="C50" s="1">
        <f t="shared" si="2"/>
        <v>1843854</v>
      </c>
      <c r="D50" s="892">
        <v>46607</v>
      </c>
      <c r="E50" s="1">
        <v>26241</v>
      </c>
      <c r="F50" s="1">
        <f t="shared" si="3"/>
        <v>524820</v>
      </c>
      <c r="H50" s="1">
        <f t="shared" si="4"/>
        <v>80472</v>
      </c>
    </row>
    <row r="51" spans="1:8">
      <c r="A51" s="1">
        <f t="shared" si="5"/>
        <v>27</v>
      </c>
      <c r="B51" s="1">
        <v>54231</v>
      </c>
      <c r="C51" s="1">
        <f t="shared" si="2"/>
        <v>1789623</v>
      </c>
      <c r="D51" s="892">
        <v>46608</v>
      </c>
      <c r="E51" s="1">
        <v>26241</v>
      </c>
      <c r="F51" s="1">
        <f t="shared" si="3"/>
        <v>498579</v>
      </c>
      <c r="H51" s="1">
        <f t="shared" si="4"/>
        <v>80472</v>
      </c>
    </row>
    <row r="52" spans="1:8">
      <c r="A52" s="1">
        <f t="shared" si="5"/>
        <v>28</v>
      </c>
      <c r="B52" s="1">
        <v>54231</v>
      </c>
      <c r="C52" s="1">
        <f t="shared" si="2"/>
        <v>1735392</v>
      </c>
      <c r="D52" s="892">
        <v>46609</v>
      </c>
      <c r="E52" s="1">
        <v>26241</v>
      </c>
      <c r="F52" s="1">
        <f t="shared" si="3"/>
        <v>472338</v>
      </c>
      <c r="H52" s="1">
        <f t="shared" si="4"/>
        <v>80472</v>
      </c>
    </row>
    <row r="53" spans="1:8">
      <c r="A53" s="1">
        <f t="shared" si="5"/>
        <v>29</v>
      </c>
      <c r="B53" s="1">
        <v>54231</v>
      </c>
      <c r="C53" s="1">
        <f t="shared" si="2"/>
        <v>1681161</v>
      </c>
      <c r="D53" s="892">
        <v>46610</v>
      </c>
      <c r="E53" s="1">
        <v>26241</v>
      </c>
      <c r="F53" s="1">
        <f t="shared" si="3"/>
        <v>446097</v>
      </c>
      <c r="H53" s="1">
        <f t="shared" si="4"/>
        <v>80472</v>
      </c>
    </row>
    <row r="54" spans="1:8">
      <c r="A54" s="1">
        <f t="shared" si="5"/>
        <v>30</v>
      </c>
      <c r="B54" s="1">
        <v>54231</v>
      </c>
      <c r="C54" s="1">
        <f t="shared" si="2"/>
        <v>1626930</v>
      </c>
      <c r="D54" s="892">
        <v>46611</v>
      </c>
      <c r="E54" s="1">
        <v>26241</v>
      </c>
      <c r="F54" s="1">
        <f t="shared" si="3"/>
        <v>419856</v>
      </c>
      <c r="H54" s="1">
        <f t="shared" si="4"/>
        <v>80472</v>
      </c>
    </row>
    <row r="55" spans="1:8">
      <c r="A55" s="1">
        <f t="shared" si="5"/>
        <v>31</v>
      </c>
      <c r="B55" s="1">
        <v>54231</v>
      </c>
      <c r="C55" s="1">
        <f t="shared" si="2"/>
        <v>1572699</v>
      </c>
      <c r="D55" s="892">
        <v>46966</v>
      </c>
      <c r="E55" s="1">
        <v>26241</v>
      </c>
      <c r="F55" s="1">
        <f t="shared" si="3"/>
        <v>393615</v>
      </c>
      <c r="H55" s="1">
        <f t="shared" si="4"/>
        <v>80472</v>
      </c>
    </row>
    <row r="56" spans="1:8">
      <c r="A56" s="1">
        <f t="shared" si="5"/>
        <v>32</v>
      </c>
      <c r="B56" s="1">
        <v>54231</v>
      </c>
      <c r="C56" s="1">
        <f t="shared" si="2"/>
        <v>1518468</v>
      </c>
      <c r="D56" s="892">
        <v>46967</v>
      </c>
      <c r="E56" s="1">
        <v>26241</v>
      </c>
      <c r="F56" s="1">
        <f t="shared" si="3"/>
        <v>367374</v>
      </c>
      <c r="H56" s="1">
        <f t="shared" si="4"/>
        <v>80472</v>
      </c>
    </row>
    <row r="57" spans="1:8">
      <c r="A57" s="1">
        <f t="shared" si="5"/>
        <v>33</v>
      </c>
      <c r="B57" s="1">
        <v>54231</v>
      </c>
      <c r="C57" s="1">
        <f t="shared" ref="C57:C84" si="6">C56-B57</f>
        <v>1464237</v>
      </c>
      <c r="D57" s="892">
        <v>46968</v>
      </c>
      <c r="E57" s="1">
        <v>26241</v>
      </c>
      <c r="F57" s="1">
        <f t="shared" si="3"/>
        <v>341133</v>
      </c>
      <c r="H57" s="1">
        <f t="shared" ref="H57:H84" si="7">B57+E57</f>
        <v>80472</v>
      </c>
    </row>
    <row r="58" spans="1:8">
      <c r="A58" s="1">
        <f t="shared" ref="A58:A84" si="8">A57+1</f>
        <v>34</v>
      </c>
      <c r="B58" s="1">
        <v>54231</v>
      </c>
      <c r="C58" s="1">
        <f t="shared" si="6"/>
        <v>1410006</v>
      </c>
      <c r="D58" s="892">
        <v>46969</v>
      </c>
      <c r="E58" s="1">
        <v>26241</v>
      </c>
      <c r="F58" s="1">
        <f t="shared" si="3"/>
        <v>314892</v>
      </c>
      <c r="H58" s="1">
        <f t="shared" si="7"/>
        <v>80472</v>
      </c>
    </row>
    <row r="59" spans="1:8">
      <c r="A59" s="1">
        <f t="shared" si="8"/>
        <v>35</v>
      </c>
      <c r="B59" s="1">
        <v>54231</v>
      </c>
      <c r="C59" s="1">
        <f t="shared" si="6"/>
        <v>1355775</v>
      </c>
      <c r="D59" s="892">
        <v>46970</v>
      </c>
      <c r="E59" s="1">
        <v>26241</v>
      </c>
      <c r="F59" s="1">
        <f t="shared" si="3"/>
        <v>288651</v>
      </c>
      <c r="H59" s="1">
        <f t="shared" si="7"/>
        <v>80472</v>
      </c>
    </row>
    <row r="60" spans="1:8">
      <c r="A60" s="1">
        <f t="shared" si="8"/>
        <v>36</v>
      </c>
      <c r="B60" s="1">
        <v>54231</v>
      </c>
      <c r="C60" s="1">
        <f t="shared" si="6"/>
        <v>1301544</v>
      </c>
      <c r="D60" s="892">
        <v>46971</v>
      </c>
      <c r="E60" s="1">
        <v>26241</v>
      </c>
      <c r="F60" s="1">
        <f t="shared" si="3"/>
        <v>262410</v>
      </c>
      <c r="H60" s="1">
        <f t="shared" si="7"/>
        <v>80472</v>
      </c>
    </row>
    <row r="61" spans="1:8">
      <c r="A61" s="1">
        <f t="shared" si="8"/>
        <v>37</v>
      </c>
      <c r="B61" s="1">
        <v>54231</v>
      </c>
      <c r="C61" s="1">
        <f t="shared" si="6"/>
        <v>1247313</v>
      </c>
      <c r="D61" s="892">
        <v>46972</v>
      </c>
      <c r="E61" s="1">
        <v>26241</v>
      </c>
      <c r="F61" s="1">
        <f t="shared" si="3"/>
        <v>236169</v>
      </c>
      <c r="H61" s="1">
        <f t="shared" si="7"/>
        <v>80472</v>
      </c>
    </row>
    <row r="62" spans="1:8">
      <c r="A62" s="1">
        <f t="shared" si="8"/>
        <v>38</v>
      </c>
      <c r="B62" s="1">
        <v>54231</v>
      </c>
      <c r="C62" s="1">
        <f t="shared" si="6"/>
        <v>1193082</v>
      </c>
      <c r="D62" s="892">
        <v>46973</v>
      </c>
      <c r="E62" s="1">
        <v>26241</v>
      </c>
      <c r="F62" s="1">
        <f t="shared" si="3"/>
        <v>209928</v>
      </c>
      <c r="H62" s="1">
        <f t="shared" si="7"/>
        <v>80472</v>
      </c>
    </row>
    <row r="63" spans="1:8">
      <c r="A63" s="1">
        <f t="shared" si="8"/>
        <v>39</v>
      </c>
      <c r="B63" s="1">
        <v>54231</v>
      </c>
      <c r="C63" s="1">
        <f t="shared" si="6"/>
        <v>1138851</v>
      </c>
      <c r="D63" s="892">
        <v>46974</v>
      </c>
      <c r="E63" s="1">
        <v>26241</v>
      </c>
      <c r="F63" s="1">
        <f t="shared" si="3"/>
        <v>183687</v>
      </c>
      <c r="H63" s="1">
        <f t="shared" si="7"/>
        <v>80472</v>
      </c>
    </row>
    <row r="64" spans="1:8">
      <c r="A64" s="1">
        <f t="shared" si="8"/>
        <v>40</v>
      </c>
      <c r="B64" s="1">
        <v>54231</v>
      </c>
      <c r="C64" s="1">
        <f t="shared" si="6"/>
        <v>1084620</v>
      </c>
      <c r="D64" s="892">
        <v>46975</v>
      </c>
      <c r="E64" s="1">
        <v>26241</v>
      </c>
      <c r="F64" s="1">
        <f t="shared" si="3"/>
        <v>157446</v>
      </c>
      <c r="H64" s="1">
        <f t="shared" si="7"/>
        <v>80472</v>
      </c>
    </row>
    <row r="65" spans="1:8">
      <c r="A65" s="1">
        <f t="shared" si="8"/>
        <v>41</v>
      </c>
      <c r="B65" s="1">
        <v>54231</v>
      </c>
      <c r="C65" s="1">
        <f t="shared" si="6"/>
        <v>1030389</v>
      </c>
      <c r="D65" s="892">
        <v>46976</v>
      </c>
      <c r="E65" s="1">
        <v>26241</v>
      </c>
      <c r="F65" s="1">
        <f t="shared" si="3"/>
        <v>131205</v>
      </c>
      <c r="H65" s="1">
        <f t="shared" si="7"/>
        <v>80472</v>
      </c>
    </row>
    <row r="66" spans="1:8">
      <c r="A66" s="1">
        <f t="shared" si="8"/>
        <v>42</v>
      </c>
      <c r="B66" s="1">
        <v>54231</v>
      </c>
      <c r="C66" s="1">
        <f t="shared" si="6"/>
        <v>976158</v>
      </c>
      <c r="D66" s="892">
        <v>46977</v>
      </c>
      <c r="E66" s="1">
        <v>26241</v>
      </c>
      <c r="F66" s="1">
        <f t="shared" si="3"/>
        <v>104964</v>
      </c>
      <c r="H66" s="1">
        <f t="shared" si="7"/>
        <v>80472</v>
      </c>
    </row>
    <row r="67" spans="1:8">
      <c r="A67" s="1">
        <f t="shared" si="8"/>
        <v>43</v>
      </c>
      <c r="B67" s="1">
        <v>54231</v>
      </c>
      <c r="C67" s="1">
        <f t="shared" si="6"/>
        <v>921927</v>
      </c>
      <c r="D67" s="892">
        <v>47331</v>
      </c>
      <c r="E67" s="1">
        <v>26241</v>
      </c>
      <c r="F67" s="1">
        <f t="shared" si="3"/>
        <v>78723</v>
      </c>
      <c r="H67" s="1">
        <f t="shared" si="7"/>
        <v>80472</v>
      </c>
    </row>
    <row r="68" spans="1:8">
      <c r="A68" s="1">
        <f t="shared" si="8"/>
        <v>44</v>
      </c>
      <c r="B68" s="1">
        <v>54231</v>
      </c>
      <c r="C68" s="1">
        <f t="shared" si="6"/>
        <v>867696</v>
      </c>
      <c r="D68" s="892">
        <v>47332</v>
      </c>
      <c r="E68" s="1">
        <v>26241</v>
      </c>
      <c r="F68" s="1">
        <f t="shared" si="3"/>
        <v>52482</v>
      </c>
      <c r="H68" s="1">
        <f t="shared" si="7"/>
        <v>80472</v>
      </c>
    </row>
    <row r="69" spans="1:8">
      <c r="A69" s="1">
        <f t="shared" si="8"/>
        <v>45</v>
      </c>
      <c r="B69" s="1">
        <v>54231</v>
      </c>
      <c r="C69" s="1">
        <f t="shared" si="6"/>
        <v>813465</v>
      </c>
      <c r="D69" s="892">
        <v>47333</v>
      </c>
      <c r="E69" s="1">
        <v>26241</v>
      </c>
      <c r="F69" s="1">
        <f t="shared" si="3"/>
        <v>26241</v>
      </c>
      <c r="H69" s="1">
        <f t="shared" si="7"/>
        <v>80472</v>
      </c>
    </row>
    <row r="70" spans="1:8">
      <c r="A70" s="1">
        <f t="shared" si="8"/>
        <v>46</v>
      </c>
      <c r="B70" s="1">
        <v>54231</v>
      </c>
      <c r="C70" s="1">
        <f t="shared" si="6"/>
        <v>759234</v>
      </c>
      <c r="D70" s="892">
        <v>47334</v>
      </c>
      <c r="E70" s="1">
        <v>26241</v>
      </c>
      <c r="F70" s="1">
        <f t="shared" si="3"/>
        <v>0</v>
      </c>
      <c r="H70" s="1">
        <f t="shared" si="7"/>
        <v>80472</v>
      </c>
    </row>
    <row r="71" spans="1:8">
      <c r="A71" s="1">
        <f t="shared" si="8"/>
        <v>47</v>
      </c>
      <c r="B71" s="1">
        <v>54231</v>
      </c>
      <c r="C71" s="1">
        <f t="shared" si="6"/>
        <v>705003</v>
      </c>
      <c r="D71" s="892">
        <v>47335</v>
      </c>
      <c r="H71" s="1">
        <f t="shared" si="7"/>
        <v>54231</v>
      </c>
    </row>
    <row r="72" spans="1:8">
      <c r="A72" s="1">
        <f t="shared" si="8"/>
        <v>48</v>
      </c>
      <c r="B72" s="1">
        <v>54231</v>
      </c>
      <c r="C72" s="1">
        <f t="shared" si="6"/>
        <v>650772</v>
      </c>
      <c r="D72" s="892">
        <v>47336</v>
      </c>
      <c r="H72" s="1">
        <f t="shared" si="7"/>
        <v>54231</v>
      </c>
    </row>
    <row r="73" spans="1:8">
      <c r="A73" s="1">
        <f t="shared" si="8"/>
        <v>49</v>
      </c>
      <c r="B73" s="1">
        <v>54231</v>
      </c>
      <c r="C73" s="1">
        <f t="shared" si="6"/>
        <v>596541</v>
      </c>
      <c r="D73" s="892">
        <v>47337</v>
      </c>
      <c r="H73" s="1">
        <f t="shared" si="7"/>
        <v>54231</v>
      </c>
    </row>
    <row r="74" spans="1:8">
      <c r="A74" s="1">
        <f t="shared" si="8"/>
        <v>50</v>
      </c>
      <c r="B74" s="1">
        <v>54231</v>
      </c>
      <c r="C74" s="1">
        <f t="shared" si="6"/>
        <v>542310</v>
      </c>
      <c r="D74" s="892">
        <v>47338</v>
      </c>
      <c r="H74" s="1">
        <f t="shared" si="7"/>
        <v>54231</v>
      </c>
    </row>
    <row r="75" spans="1:8">
      <c r="A75" s="1">
        <f t="shared" si="8"/>
        <v>51</v>
      </c>
      <c r="B75" s="1">
        <v>54231</v>
      </c>
      <c r="C75" s="1">
        <f t="shared" si="6"/>
        <v>488079</v>
      </c>
      <c r="D75" s="892">
        <v>47339</v>
      </c>
      <c r="H75" s="1">
        <f t="shared" si="7"/>
        <v>54231</v>
      </c>
    </row>
    <row r="76" spans="1:8">
      <c r="A76" s="1">
        <f t="shared" si="8"/>
        <v>52</v>
      </c>
      <c r="B76" s="1">
        <v>54231</v>
      </c>
      <c r="C76" s="1">
        <f t="shared" si="6"/>
        <v>433848</v>
      </c>
      <c r="D76" s="892">
        <v>47340</v>
      </c>
      <c r="H76" s="1">
        <f t="shared" si="7"/>
        <v>54231</v>
      </c>
    </row>
    <row r="77" spans="1:8">
      <c r="A77" s="1">
        <f t="shared" si="8"/>
        <v>53</v>
      </c>
      <c r="B77" s="1">
        <v>54231</v>
      </c>
      <c r="C77" s="1">
        <f t="shared" si="6"/>
        <v>379617</v>
      </c>
      <c r="D77" s="892">
        <v>47341</v>
      </c>
      <c r="H77" s="1">
        <f t="shared" si="7"/>
        <v>54231</v>
      </c>
    </row>
    <row r="78" spans="1:8">
      <c r="A78" s="1">
        <f t="shared" si="8"/>
        <v>54</v>
      </c>
      <c r="B78" s="1">
        <v>54231</v>
      </c>
      <c r="C78" s="1">
        <f t="shared" si="6"/>
        <v>325386</v>
      </c>
      <c r="D78" s="892">
        <v>47342</v>
      </c>
      <c r="H78" s="1">
        <f t="shared" si="7"/>
        <v>54231</v>
      </c>
    </row>
    <row r="79" spans="1:8">
      <c r="A79" s="1">
        <f t="shared" si="8"/>
        <v>55</v>
      </c>
      <c r="B79" s="1">
        <v>54231</v>
      </c>
      <c r="C79" s="1">
        <f t="shared" si="6"/>
        <v>271155</v>
      </c>
      <c r="D79" s="892">
        <v>47696</v>
      </c>
      <c r="H79" s="1">
        <f t="shared" si="7"/>
        <v>54231</v>
      </c>
    </row>
    <row r="80" spans="1:8">
      <c r="A80" s="1">
        <f t="shared" si="8"/>
        <v>56</v>
      </c>
      <c r="B80" s="1">
        <v>54231</v>
      </c>
      <c r="C80" s="1">
        <f t="shared" si="6"/>
        <v>216924</v>
      </c>
      <c r="D80" s="892">
        <v>47697</v>
      </c>
      <c r="H80" s="1">
        <f t="shared" si="7"/>
        <v>54231</v>
      </c>
    </row>
    <row r="81" spans="1:8">
      <c r="A81" s="1">
        <f t="shared" si="8"/>
        <v>57</v>
      </c>
      <c r="B81" s="1">
        <v>54231</v>
      </c>
      <c r="C81" s="1">
        <f t="shared" si="6"/>
        <v>162693</v>
      </c>
      <c r="D81" s="892">
        <v>47698</v>
      </c>
      <c r="H81" s="1">
        <f t="shared" si="7"/>
        <v>54231</v>
      </c>
    </row>
    <row r="82" spans="1:8">
      <c r="A82" s="1">
        <f t="shared" si="8"/>
        <v>58</v>
      </c>
      <c r="B82" s="1">
        <v>54231</v>
      </c>
      <c r="C82" s="1">
        <f t="shared" si="6"/>
        <v>108462</v>
      </c>
      <c r="D82" s="892">
        <v>47699</v>
      </c>
      <c r="H82" s="1">
        <f t="shared" si="7"/>
        <v>54231</v>
      </c>
    </row>
    <row r="83" spans="1:8">
      <c r="A83" s="1">
        <f t="shared" si="8"/>
        <v>59</v>
      </c>
      <c r="B83" s="1">
        <v>54231</v>
      </c>
      <c r="C83" s="1">
        <f t="shared" si="6"/>
        <v>54231</v>
      </c>
      <c r="D83" s="892">
        <v>47700</v>
      </c>
      <c r="H83" s="1">
        <f t="shared" si="7"/>
        <v>54231</v>
      </c>
    </row>
    <row r="84" spans="1:8">
      <c r="A84" s="1">
        <f t="shared" si="8"/>
        <v>60</v>
      </c>
      <c r="B84" s="1">
        <v>54231</v>
      </c>
      <c r="C84" s="1">
        <f t="shared" si="6"/>
        <v>0</v>
      </c>
      <c r="D84" s="892">
        <v>47701</v>
      </c>
      <c r="H84" s="1">
        <f t="shared" si="7"/>
        <v>54231</v>
      </c>
    </row>
    <row r="85" spans="1:8">
      <c r="B85" s="1">
        <f>SUM(B25:B84)</f>
        <v>3253860</v>
      </c>
      <c r="E85" s="1">
        <f>SUM(E25:E84)</f>
        <v>1207086</v>
      </c>
      <c r="H85" s="1">
        <f>SUM(H25:H84)</f>
        <v>4460946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31DF344318F94B972714FE354C5242" ma:contentTypeVersion="19" ma:contentTypeDescription="Create a new document." ma:contentTypeScope="" ma:versionID="56d1ecd669219b2088b0ed6174c098cf">
  <xsd:schema xmlns:xsd="http://www.w3.org/2001/XMLSchema" xmlns:xs="http://www.w3.org/2001/XMLSchema" xmlns:p="http://schemas.microsoft.com/office/2006/metadata/properties" xmlns:ns2="945f246e-4f73-4fec-b2d7-848b8a64b572" xmlns:ns3="fe471ba0-b929-42f6-9e2b-61a242d7063f" targetNamespace="http://schemas.microsoft.com/office/2006/metadata/properties" ma:root="true" ma:fieldsID="012bea8a64eba14d7207a770c38e6d64" ns2:_="" ns3:_="">
    <xsd:import namespace="945f246e-4f73-4fec-b2d7-848b8a64b572"/>
    <xsd:import namespace="fe471ba0-b929-42f6-9e2b-61a242d7063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5f246e-4f73-4fec-b2d7-848b8a64b5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ec2fcfc-a8c3-496c-aa83-8127563c8de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471ba0-b929-42f6-9e2b-61a242d7063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5ebc52-f18f-401c-b52c-fb1571ba60e1}" ma:internalName="TaxCatchAll" ma:showField="CatchAllData" ma:web="fe471ba0-b929-42f6-9e2b-61a242d70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5f246e-4f73-4fec-b2d7-848b8a64b572">
      <Terms xmlns="http://schemas.microsoft.com/office/infopath/2007/PartnerControls"/>
    </lcf76f155ced4ddcb4097134ff3c332f>
    <TaxCatchAll xmlns="fe471ba0-b929-42f6-9e2b-61a242d7063f" xsi:nil="true"/>
  </documentManagement>
</p:properties>
</file>

<file path=customXml/itemProps1.xml><?xml version="1.0" encoding="utf-8"?>
<ds:datastoreItem xmlns:ds="http://schemas.openxmlformats.org/officeDocument/2006/customXml" ds:itemID="{13B64BDF-129F-4B94-998C-E558D852B7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5f246e-4f73-4fec-b2d7-848b8a64b572"/>
    <ds:schemaRef ds:uri="fe471ba0-b929-42f6-9e2b-61a242d70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B531C5-8056-49F1-9F0F-715B6E851F53}">
  <ds:schemaRefs>
    <ds:schemaRef ds:uri="http://schemas.microsoft.com/sharepoint/v3/contenttype/forms"/>
  </ds:schemaRefs>
</ds:datastoreItem>
</file>

<file path=customXml/itemProps3.xml><?xml version="1.0" encoding="utf-8"?>
<ds:datastoreItem xmlns:ds="http://schemas.openxmlformats.org/officeDocument/2006/customXml" ds:itemID="{B109BD55-26ED-47CB-ADF7-0C5F860366B6}">
  <ds:schemaRefs>
    <ds:schemaRef ds:uri="http://schemas.openxmlformats.org/package/2006/metadata/core-properties"/>
    <ds:schemaRef ds:uri="http://schemas.microsoft.com/office/infopath/2007/PartnerControls"/>
    <ds:schemaRef ds:uri="945f246e-4f73-4fec-b2d7-848b8a64b572"/>
    <ds:schemaRef ds:uri="http://schemas.microsoft.com/office/2006/documentManagement/types"/>
    <ds:schemaRef ds:uri="http://purl.org/dc/elements/1.1/"/>
    <ds:schemaRef ds:uri="http://schemas.microsoft.com/office/2006/metadata/properties"/>
    <ds:schemaRef ds:uri="http://purl.org/dc/dcmitype/"/>
    <ds:schemaRef ds:uri="fe471ba0-b929-42f6-9e2b-61a242d7063f"/>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Input's from BD(Sales)</vt:lpstr>
      <vt:lpstr>Consumption analysis (BD)</vt:lpstr>
      <vt:lpstr>ESG (Design)</vt:lpstr>
      <vt:lpstr>Site Vist fomat  (Design)</vt:lpstr>
      <vt:lpstr>Input's from Initial Design</vt:lpstr>
      <vt:lpstr>Cable Calcualtion</vt:lpstr>
      <vt:lpstr>Bidcell BOM (LTS)</vt:lpstr>
      <vt:lpstr>Sheet4</vt:lpstr>
      <vt:lpstr>Sheet3</vt:lpstr>
      <vt:lpstr>Sheet2</vt:lpstr>
      <vt:lpstr>Item's Make</vt:lpstr>
      <vt:lpstr>Sheet1</vt:lpstr>
      <vt:lpstr>'Input''s from BD(Sales)'!Print_Area</vt:lpstr>
      <vt:lpstr>'Site Vist fomat  (Design)'!Print_Area</vt:lpstr>
      <vt:lpstr>ProjectOptions</vt:lpstr>
      <vt:lpstr>TN_NOC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2026-07-07T05:24:19Z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0x0101001C31DF344318F94B972714FE354C5242</vt:lpwstr>
  </property>
  <property fmtid="{D5CDD505-2E9C-101B-9397-08002B2CF9AE}" pid="3" name="MediaServiceImageTags">
    <vt:lpwstr/>
  </property>
</Properties>
</file>