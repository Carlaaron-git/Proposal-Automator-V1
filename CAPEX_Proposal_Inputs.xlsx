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rl Aaron\Desktop\Proposal Code\Proposal App\"/>
    </mc:Choice>
  </mc:AlternateContent>
  <xr:revisionPtr revIDLastSave="0" documentId="13_ncr:1_{1C6540E0-F5D3-4AC3-8C24-097FE00F8D8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posal Inputs" sheetId="1" r:id="rId1"/>
    <sheet name="BOM Inputs" sheetId="7" r:id="rId2"/>
    <sheet name="Environmental Benefits (2)" sheetId="3" r:id="rId3"/>
    <sheet name="Inputs and Output" sheetId="5" r:id="rId4"/>
    <sheet name="Workings" sheetId="6" state="hidden" r:id="rId5"/>
  </sheets>
  <externalReferences>
    <externalReference r:id="rId6"/>
    <externalReference r:id="rId7"/>
  </externalReferences>
  <definedNames>
    <definedName name="amc_cost">'[1]CAPEX Savings Sheet'!$D$12</definedName>
    <definedName name="block_days">'[1]OPEX Savings Sheet'!$D$12</definedName>
    <definedName name="gst">'[1]CAPEX Savings Sheet'!$D$8</definedName>
    <definedName name="p50_percentage">'[1]OPEX Savings Sheet'!$I$11</definedName>
    <definedName name="p50_value">'[1]OPEX Savings Sheet'!$D$11</definedName>
    <definedName name="Railing" localSheetId="2">'[1]Bidcell BOM (LTS)'!#REF!</definedName>
    <definedName name="Railing">'[2]Bidcell BOM (LTS)'!#REF!</definedName>
    <definedName name="solar_capacity">'[1]OPEX Savings Sheet'!$D$10</definedName>
    <definedName name="spp_capacity">'[1]Consumption analysis (BD)'!$E$25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0" i="1" l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94" i="1"/>
  <c r="C18" i="1"/>
  <c r="C163" i="1"/>
  <c r="C144" i="1"/>
  <c r="C145" i="1"/>
  <c r="C146" i="1"/>
  <c r="C147" i="1"/>
  <c r="C148" i="1"/>
  <c r="C152" i="1"/>
  <c r="C156" i="1"/>
  <c r="C157" i="1"/>
  <c r="C158" i="1"/>
  <c r="C159" i="1"/>
  <c r="C160" i="1"/>
  <c r="C150" i="1"/>
  <c r="C151" i="1"/>
  <c r="C153" i="1"/>
  <c r="C154" i="1"/>
  <c r="C155" i="1"/>
  <c r="C149" i="1"/>
  <c r="C38" i="6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37" i="6"/>
  <c r="C36" i="6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AB35" i="6"/>
  <c r="X29" i="6"/>
  <c r="X28" i="6"/>
  <c r="X27" i="6"/>
  <c r="X26" i="6"/>
  <c r="X25" i="6"/>
  <c r="X24" i="6"/>
  <c r="X23" i="6"/>
  <c r="X22" i="6"/>
  <c r="X21" i="6"/>
  <c r="X20" i="6"/>
  <c r="X19" i="6"/>
  <c r="X18" i="6"/>
  <c r="D18" i="6"/>
  <c r="X17" i="6"/>
  <c r="D17" i="6"/>
  <c r="X16" i="6"/>
  <c r="X15" i="6"/>
  <c r="X14" i="6"/>
  <c r="D14" i="6"/>
  <c r="X13" i="6"/>
  <c r="X12" i="6"/>
  <c r="X11" i="6"/>
  <c r="X10" i="6"/>
  <c r="D10" i="6"/>
  <c r="X9" i="6"/>
  <c r="D9" i="6"/>
  <c r="X8" i="6"/>
  <c r="X7" i="6"/>
  <c r="X6" i="6"/>
  <c r="X5" i="6"/>
  <c r="X4" i="6"/>
  <c r="G4" i="6"/>
  <c r="D3" i="6"/>
  <c r="D35" i="5"/>
  <c r="D13" i="6" s="1"/>
  <c r="D32" i="5"/>
  <c r="D20" i="5"/>
  <c r="H4" i="6" s="1"/>
  <c r="J4" i="6" s="1"/>
  <c r="I18" i="5"/>
  <c r="I17" i="5"/>
  <c r="I14" i="5"/>
  <c r="Z9" i="5"/>
  <c r="Y9" i="5"/>
  <c r="D9" i="5"/>
  <c r="D8" i="5"/>
  <c r="D6" i="6" s="1"/>
  <c r="I6" i="5"/>
  <c r="C10" i="3"/>
  <c r="C12" i="3" s="1"/>
  <c r="C13" i="3" s="1"/>
  <c r="C9" i="3"/>
  <c r="C173" i="1"/>
  <c r="C130" i="1"/>
  <c r="C71" i="1"/>
  <c r="C21" i="1"/>
  <c r="C171" i="1" l="1"/>
  <c r="C14" i="1"/>
  <c r="C169" i="1"/>
  <c r="M4" i="6"/>
  <c r="I4" i="6"/>
  <c r="G5" i="6" s="1"/>
  <c r="D12" i="6"/>
  <c r="D8" i="6"/>
  <c r="D4" i="6"/>
  <c r="F36" i="6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I13" i="5"/>
  <c r="J31" i="6"/>
  <c r="O36" i="6"/>
  <c r="I9" i="5"/>
  <c r="P36" i="6"/>
  <c r="C17" i="3"/>
  <c r="D17" i="3"/>
  <c r="E17" i="3"/>
  <c r="F17" i="3"/>
  <c r="C19" i="1" s="1"/>
  <c r="G17" i="3"/>
  <c r="N4" i="6" l="1"/>
  <c r="O4" i="6" s="1"/>
  <c r="M5" i="6" s="1"/>
  <c r="J36" i="6"/>
  <c r="I5" i="6"/>
  <c r="G6" i="6" s="1"/>
  <c r="H5" i="6"/>
  <c r="J5" i="6" s="1"/>
  <c r="O37" i="6" s="1"/>
  <c r="E36" i="6"/>
  <c r="I12" i="5"/>
  <c r="I36" i="6"/>
  <c r="I11" i="5"/>
  <c r="D7" i="6"/>
  <c r="X35" i="6"/>
  <c r="K43" i="6"/>
  <c r="K44" i="6"/>
  <c r="K45" i="6"/>
  <c r="K46" i="6"/>
  <c r="I7" i="5"/>
  <c r="I10" i="5" s="1"/>
  <c r="W4" i="6"/>
  <c r="K47" i="6"/>
  <c r="K48" i="6"/>
  <c r="K49" i="6"/>
  <c r="K50" i="6"/>
  <c r="K41" i="6"/>
  <c r="K42" i="6"/>
  <c r="K51" i="6"/>
  <c r="K52" i="6"/>
  <c r="K53" i="6"/>
  <c r="Q35" i="6"/>
  <c r="R35" i="6" s="1"/>
  <c r="K54" i="6"/>
  <c r="K55" i="6"/>
  <c r="K56" i="6"/>
  <c r="K57" i="6"/>
  <c r="K58" i="6"/>
  <c r="K59" i="6"/>
  <c r="K60" i="6"/>
  <c r="C179" i="1"/>
  <c r="C175" i="1"/>
  <c r="C19" i="3"/>
  <c r="C167" i="1"/>
  <c r="C172" i="1"/>
  <c r="C182" i="1"/>
  <c r="C181" i="1"/>
  <c r="C176" i="1"/>
  <c r="N5" i="6" l="1"/>
  <c r="O5" i="6" s="1"/>
  <c r="M6" i="6" s="1"/>
  <c r="J37" i="6"/>
  <c r="H6" i="6"/>
  <c r="J6" i="6" s="1"/>
  <c r="O38" i="6" s="1"/>
  <c r="I6" i="6"/>
  <c r="G7" i="6" s="1"/>
  <c r="E37" i="6"/>
  <c r="E38" i="6"/>
  <c r="E39" i="6"/>
  <c r="G39" i="6" s="1"/>
  <c r="H39" i="6" s="1"/>
  <c r="E41" i="6"/>
  <c r="G41" i="6" s="1"/>
  <c r="H41" i="6" s="1"/>
  <c r="E42" i="6"/>
  <c r="G42" i="6" s="1"/>
  <c r="H42" i="6" s="1"/>
  <c r="E44" i="6"/>
  <c r="G44" i="6" s="1"/>
  <c r="H44" i="6" s="1"/>
  <c r="E45" i="6"/>
  <c r="G45" i="6" s="1"/>
  <c r="H45" i="6" s="1"/>
  <c r="E46" i="6"/>
  <c r="G46" i="6" s="1"/>
  <c r="H46" i="6" s="1"/>
  <c r="E47" i="6"/>
  <c r="G47" i="6" s="1"/>
  <c r="H47" i="6" s="1"/>
  <c r="E48" i="6"/>
  <c r="G48" i="6" s="1"/>
  <c r="H48" i="6" s="1"/>
  <c r="E49" i="6"/>
  <c r="G49" i="6" s="1"/>
  <c r="H49" i="6" s="1"/>
  <c r="E50" i="6"/>
  <c r="G50" i="6" s="1"/>
  <c r="H50" i="6" s="1"/>
  <c r="G36" i="6"/>
  <c r="E40" i="6"/>
  <c r="G40" i="6" s="1"/>
  <c r="H40" i="6" s="1"/>
  <c r="E43" i="6"/>
  <c r="G43" i="6" s="1"/>
  <c r="H43" i="6" s="1"/>
  <c r="E51" i="6"/>
  <c r="G51" i="6" s="1"/>
  <c r="H51" i="6" s="1"/>
  <c r="E52" i="6"/>
  <c r="G52" i="6" s="1"/>
  <c r="H52" i="6" s="1"/>
  <c r="E53" i="6"/>
  <c r="G53" i="6" s="1"/>
  <c r="H53" i="6" s="1"/>
  <c r="E54" i="6"/>
  <c r="G54" i="6" s="1"/>
  <c r="H54" i="6" s="1"/>
  <c r="E55" i="6"/>
  <c r="G55" i="6" s="1"/>
  <c r="H55" i="6" s="1"/>
  <c r="E56" i="6"/>
  <c r="G56" i="6" s="1"/>
  <c r="H56" i="6" s="1"/>
  <c r="E57" i="6"/>
  <c r="G57" i="6" s="1"/>
  <c r="H57" i="6" s="1"/>
  <c r="E58" i="6"/>
  <c r="G58" i="6" s="1"/>
  <c r="H58" i="6" s="1"/>
  <c r="E59" i="6"/>
  <c r="G59" i="6" s="1"/>
  <c r="H59" i="6" s="1"/>
  <c r="E60" i="6"/>
  <c r="G60" i="6" s="1"/>
  <c r="H60" i="6" s="1"/>
  <c r="I37" i="6"/>
  <c r="I38" i="6"/>
  <c r="I39" i="6"/>
  <c r="I43" i="6"/>
  <c r="I44" i="6"/>
  <c r="I45" i="6"/>
  <c r="I46" i="6"/>
  <c r="I47" i="6"/>
  <c r="I48" i="6"/>
  <c r="I49" i="6"/>
  <c r="I50" i="6"/>
  <c r="V36" i="6"/>
  <c r="I40" i="6"/>
  <c r="I41" i="6"/>
  <c r="I42" i="6"/>
  <c r="I51" i="6"/>
  <c r="I52" i="6"/>
  <c r="I53" i="6"/>
  <c r="I54" i="6"/>
  <c r="I55" i="6"/>
  <c r="I56" i="6"/>
  <c r="I57" i="6"/>
  <c r="I58" i="6"/>
  <c r="I59" i="6"/>
  <c r="I60" i="6"/>
  <c r="Y35" i="6"/>
  <c r="T5" i="6"/>
  <c r="S5" i="6"/>
  <c r="S35" i="6"/>
  <c r="C180" i="1"/>
  <c r="C177" i="1"/>
  <c r="N6" i="6" l="1"/>
  <c r="O6" i="6"/>
  <c r="M7" i="6" s="1"/>
  <c r="J38" i="6"/>
  <c r="H7" i="6"/>
  <c r="J7" i="6" s="1"/>
  <c r="O39" i="6" s="1"/>
  <c r="I7" i="6"/>
  <c r="G8" i="6" s="1"/>
  <c r="H36" i="6"/>
  <c r="G61" i="6"/>
  <c r="V37" i="6"/>
  <c r="V38" i="6"/>
  <c r="W36" i="6"/>
  <c r="X36" i="6" s="1"/>
  <c r="Z35" i="6"/>
  <c r="T6" i="6"/>
  <c r="U5" i="6"/>
  <c r="G37" i="6"/>
  <c r="H37" i="6" s="1"/>
  <c r="E62" i="6"/>
  <c r="G38" i="6"/>
  <c r="H38" i="6" s="1"/>
  <c r="E61" i="6"/>
  <c r="D20" i="6" s="1"/>
  <c r="I20" i="5" s="1"/>
  <c r="J39" i="6" l="1"/>
  <c r="N7" i="6"/>
  <c r="O7" i="6" s="1"/>
  <c r="M8" i="6" s="1"/>
  <c r="H8" i="6"/>
  <c r="Y36" i="6"/>
  <c r="W37" i="6"/>
  <c r="X37" i="6"/>
  <c r="W38" i="6"/>
  <c r="X38" i="6" s="1"/>
  <c r="Y38" i="6" s="1"/>
  <c r="T7" i="6"/>
  <c r="Y37" i="6"/>
  <c r="L36" i="6"/>
  <c r="M36" i="6" s="1"/>
  <c r="V5" i="6"/>
  <c r="W5" i="6" s="1"/>
  <c r="S6" i="6" s="1"/>
  <c r="J40" i="6" l="1"/>
  <c r="N8" i="6"/>
  <c r="O8" i="6" s="1"/>
  <c r="M9" i="6" s="1"/>
  <c r="V39" i="6"/>
  <c r="Z36" i="6"/>
  <c r="T8" i="6"/>
  <c r="N36" i="6"/>
  <c r="Q36" i="6"/>
  <c r="R36" i="6" s="1"/>
  <c r="U6" i="6"/>
  <c r="J8" i="6"/>
  <c r="O40" i="6" s="1"/>
  <c r="I8" i="6"/>
  <c r="G9" i="6" s="1"/>
  <c r="N9" i="6" l="1"/>
  <c r="O9" i="6" s="1"/>
  <c r="M10" i="6" s="1"/>
  <c r="J41" i="6"/>
  <c r="V40" i="6"/>
  <c r="W39" i="6"/>
  <c r="X39" i="6" s="1"/>
  <c r="Y39" i="6" s="1"/>
  <c r="Z37" i="6"/>
  <c r="AA36" i="6"/>
  <c r="T9" i="6"/>
  <c r="D15" i="6"/>
  <c r="I15" i="5" s="1"/>
  <c r="S36" i="6"/>
  <c r="V6" i="6"/>
  <c r="W6" i="6" s="1"/>
  <c r="S7" i="6" s="1"/>
  <c r="L37" i="6"/>
  <c r="M37" i="6" s="1"/>
  <c r="H9" i="6"/>
  <c r="J9" i="6" s="1"/>
  <c r="O41" i="6" s="1"/>
  <c r="I9" i="6"/>
  <c r="G10" i="6" s="1"/>
  <c r="J42" i="6" l="1"/>
  <c r="N10" i="6"/>
  <c r="O10" i="6"/>
  <c r="M11" i="6" s="1"/>
  <c r="V41" i="6"/>
  <c r="W40" i="6"/>
  <c r="X40" i="6" s="1"/>
  <c r="Y40" i="6" s="1"/>
  <c r="AA37" i="6"/>
  <c r="Z38" i="6"/>
  <c r="AB36" i="6"/>
  <c r="AB37" i="6"/>
  <c r="T10" i="6"/>
  <c r="T36" i="6"/>
  <c r="U7" i="6"/>
  <c r="Q37" i="6"/>
  <c r="R37" i="6" s="1"/>
  <c r="S37" i="6" s="1"/>
  <c r="N37" i="6"/>
  <c r="H10" i="6"/>
  <c r="J10" i="6" s="1"/>
  <c r="O42" i="6" s="1"/>
  <c r="I10" i="6"/>
  <c r="G11" i="6" s="1"/>
  <c r="V42" i="6" l="1"/>
  <c r="N11" i="6"/>
  <c r="O11" i="6" s="1"/>
  <c r="M12" i="6" s="1"/>
  <c r="J43" i="6"/>
  <c r="W41" i="6"/>
  <c r="X41" i="6"/>
  <c r="Y41" i="6" s="1"/>
  <c r="AA38" i="6"/>
  <c r="Z39" i="6"/>
  <c r="T11" i="6"/>
  <c r="U36" i="6"/>
  <c r="T37" i="6"/>
  <c r="V7" i="6"/>
  <c r="W7" i="6" s="1"/>
  <c r="S8" i="6" s="1"/>
  <c r="U8" i="6" s="1"/>
  <c r="L38" i="6"/>
  <c r="M38" i="6" s="1"/>
  <c r="H11" i="6"/>
  <c r="W42" i="6" l="1"/>
  <c r="X42" i="6"/>
  <c r="Y42" i="6" s="1"/>
  <c r="N12" i="6"/>
  <c r="O12" i="6" s="1"/>
  <c r="M13" i="6" s="1"/>
  <c r="J44" i="6"/>
  <c r="V43" i="6"/>
  <c r="AB38" i="6"/>
  <c r="AA39" i="6"/>
  <c r="AB39" i="6" s="1"/>
  <c r="Z40" i="6"/>
  <c r="T12" i="6"/>
  <c r="N38" i="6"/>
  <c r="Q38" i="6" s="1"/>
  <c r="R38" i="6" s="1"/>
  <c r="V8" i="6"/>
  <c r="W8" i="6" s="1"/>
  <c r="S9" i="6" s="1"/>
  <c r="L39" i="6"/>
  <c r="M39" i="6" s="1"/>
  <c r="U9" i="6"/>
  <c r="U38" i="6"/>
  <c r="U37" i="6"/>
  <c r="J11" i="6"/>
  <c r="O43" i="6" s="1"/>
  <c r="I11" i="6"/>
  <c r="G12" i="6" s="1"/>
  <c r="N13" i="6" l="1"/>
  <c r="O13" i="6"/>
  <c r="M14" i="6" s="1"/>
  <c r="J45" i="6"/>
  <c r="V44" i="6"/>
  <c r="W43" i="6"/>
  <c r="X43" i="6" s="1"/>
  <c r="Y43" i="6" s="1"/>
  <c r="AA40" i="6"/>
  <c r="Z41" i="6"/>
  <c r="T13" i="6"/>
  <c r="S38" i="6"/>
  <c r="N39" i="6"/>
  <c r="Q39" i="6" s="1"/>
  <c r="R39" i="6" s="1"/>
  <c r="V9" i="6"/>
  <c r="W9" i="6" s="1"/>
  <c r="S10" i="6" s="1"/>
  <c r="L40" i="6"/>
  <c r="M40" i="6" s="1"/>
  <c r="H12" i="6"/>
  <c r="J12" i="6" s="1"/>
  <c r="O44" i="6" s="1"/>
  <c r="I12" i="6"/>
  <c r="G13" i="6" s="1"/>
  <c r="J46" i="6" l="1"/>
  <c r="N14" i="6"/>
  <c r="O14" i="6" s="1"/>
  <c r="M15" i="6" s="1"/>
  <c r="V45" i="6"/>
  <c r="W44" i="6"/>
  <c r="X44" i="6" s="1"/>
  <c r="Y44" i="6" s="1"/>
  <c r="AB40" i="6"/>
  <c r="Z42" i="6"/>
  <c r="AA41" i="6"/>
  <c r="T14" i="6"/>
  <c r="S39" i="6"/>
  <c r="T38" i="6"/>
  <c r="U39" i="6" s="1"/>
  <c r="N40" i="6"/>
  <c r="Q40" i="6" s="1"/>
  <c r="R40" i="6" s="1"/>
  <c r="H13" i="6"/>
  <c r="U10" i="6"/>
  <c r="N15" i="6" l="1"/>
  <c r="O15" i="6"/>
  <c r="M16" i="6" s="1"/>
  <c r="J47" i="6"/>
  <c r="V46" i="6"/>
  <c r="W45" i="6"/>
  <c r="X45" i="6" s="1"/>
  <c r="Y45" i="6" s="1"/>
  <c r="AA42" i="6"/>
  <c r="AB43" i="6" s="1"/>
  <c r="Z43" i="6"/>
  <c r="T15" i="6"/>
  <c r="T39" i="6"/>
  <c r="U40" i="6" s="1"/>
  <c r="S40" i="6"/>
  <c r="L41" i="6"/>
  <c r="M41" i="6" s="1"/>
  <c r="V10" i="6"/>
  <c r="W10" i="6" s="1"/>
  <c r="S11" i="6" s="1"/>
  <c r="U11" i="6"/>
  <c r="AB42" i="6"/>
  <c r="AB41" i="6"/>
  <c r="J13" i="6"/>
  <c r="O45" i="6" s="1"/>
  <c r="I13" i="6"/>
  <c r="G14" i="6" s="1"/>
  <c r="N16" i="6" l="1"/>
  <c r="O16" i="6" s="1"/>
  <c r="M17" i="6" s="1"/>
  <c r="J48" i="6"/>
  <c r="V47" i="6"/>
  <c r="W46" i="6"/>
  <c r="X46" i="6" s="1"/>
  <c r="Y46" i="6" s="1"/>
  <c r="AA43" i="6"/>
  <c r="AB44" i="6" s="1"/>
  <c r="Z44" i="6"/>
  <c r="T16" i="6"/>
  <c r="T40" i="6"/>
  <c r="U41" i="6" s="1"/>
  <c r="N41" i="6"/>
  <c r="Q41" i="6"/>
  <c r="R41" i="6" s="1"/>
  <c r="S41" i="6" s="1"/>
  <c r="V11" i="6"/>
  <c r="W11" i="6" s="1"/>
  <c r="S12" i="6" s="1"/>
  <c r="L42" i="6"/>
  <c r="M42" i="6" s="1"/>
  <c r="H14" i="6"/>
  <c r="N17" i="6" l="1"/>
  <c r="O17" i="6"/>
  <c r="M18" i="6" s="1"/>
  <c r="J49" i="6"/>
  <c r="V48" i="6"/>
  <c r="W47" i="6"/>
  <c r="AA44" i="6"/>
  <c r="AB45" i="6" s="1"/>
  <c r="Z45" i="6"/>
  <c r="T17" i="6"/>
  <c r="T41" i="6"/>
  <c r="U42" i="6" s="1"/>
  <c r="U12" i="6"/>
  <c r="N42" i="6"/>
  <c r="Q42" i="6" s="1"/>
  <c r="R42" i="6" s="1"/>
  <c r="S42" i="6" s="1"/>
  <c r="J14" i="6"/>
  <c r="O46" i="6" s="1"/>
  <c r="I14" i="6"/>
  <c r="G15" i="6" s="1"/>
  <c r="N18" i="6" l="1"/>
  <c r="O18" i="6"/>
  <c r="M19" i="6" s="1"/>
  <c r="J50" i="6"/>
  <c r="V49" i="6"/>
  <c r="W48" i="6"/>
  <c r="AA45" i="6"/>
  <c r="AB46" i="6" s="1"/>
  <c r="Z46" i="6"/>
  <c r="T18" i="6"/>
  <c r="T42" i="6"/>
  <c r="U43" i="6" s="1"/>
  <c r="V12" i="6"/>
  <c r="W12" i="6" s="1"/>
  <c r="S13" i="6" s="1"/>
  <c r="L43" i="6"/>
  <c r="M43" i="6" s="1"/>
  <c r="H15" i="6"/>
  <c r="N19" i="6" l="1"/>
  <c r="O19" i="6"/>
  <c r="M20" i="6" s="1"/>
  <c r="J51" i="6"/>
  <c r="V50" i="6"/>
  <c r="W49" i="6"/>
  <c r="AA46" i="6"/>
  <c r="AB47" i="6" s="1"/>
  <c r="Z47" i="6"/>
  <c r="T19" i="6"/>
  <c r="U13" i="6"/>
  <c r="N43" i="6"/>
  <c r="Q43" i="6" s="1"/>
  <c r="R43" i="6" s="1"/>
  <c r="S43" i="6" s="1"/>
  <c r="J15" i="6"/>
  <c r="O47" i="6" s="1"/>
  <c r="X47" i="6" s="1"/>
  <c r="Y47" i="6" s="1"/>
  <c r="I15" i="6"/>
  <c r="G16" i="6" s="1"/>
  <c r="N20" i="6" l="1"/>
  <c r="O20" i="6"/>
  <c r="M21" i="6" s="1"/>
  <c r="J52" i="6"/>
  <c r="V51" i="6"/>
  <c r="W50" i="6"/>
  <c r="AA47" i="6"/>
  <c r="AB48" i="6" s="1"/>
  <c r="T20" i="6"/>
  <c r="V13" i="6"/>
  <c r="W13" i="6" s="1"/>
  <c r="S14" i="6" s="1"/>
  <c r="L44" i="6"/>
  <c r="M44" i="6" s="1"/>
  <c r="U14" i="6"/>
  <c r="T43" i="6"/>
  <c r="U44" i="6" s="1"/>
  <c r="H16" i="6"/>
  <c r="J16" i="6" s="1"/>
  <c r="O48" i="6" s="1"/>
  <c r="X48" i="6" s="1"/>
  <c r="Y48" i="6" s="1"/>
  <c r="Z48" i="6" s="1"/>
  <c r="I16" i="6"/>
  <c r="G17" i="6" s="1"/>
  <c r="N21" i="6" l="1"/>
  <c r="O21" i="6"/>
  <c r="M22" i="6" s="1"/>
  <c r="J53" i="6"/>
  <c r="V52" i="6"/>
  <c r="W51" i="6"/>
  <c r="AA48" i="6"/>
  <c r="AB49" i="6" s="1"/>
  <c r="T21" i="6"/>
  <c r="N44" i="6"/>
  <c r="Q44" i="6"/>
  <c r="R44" i="6" s="1"/>
  <c r="S44" i="6" s="1"/>
  <c r="V14" i="6"/>
  <c r="W14" i="6" s="1"/>
  <c r="S15" i="6" s="1"/>
  <c r="L45" i="6"/>
  <c r="M45" i="6" s="1"/>
  <c r="T44" i="6"/>
  <c r="U45" i="6" s="1"/>
  <c r="H17" i="6"/>
  <c r="N22" i="6" l="1"/>
  <c r="O22" i="6"/>
  <c r="M23" i="6" s="1"/>
  <c r="J54" i="6"/>
  <c r="V53" i="6"/>
  <c r="W52" i="6"/>
  <c r="T22" i="6"/>
  <c r="N45" i="6"/>
  <c r="Q45" i="6"/>
  <c r="R45" i="6" s="1"/>
  <c r="S45" i="6" s="1"/>
  <c r="T45" i="6"/>
  <c r="U46" i="6" s="1"/>
  <c r="U15" i="6"/>
  <c r="J17" i="6"/>
  <c r="O49" i="6" s="1"/>
  <c r="X49" i="6" s="1"/>
  <c r="Y49" i="6" s="1"/>
  <c r="Z49" i="6" s="1"/>
  <c r="I17" i="6"/>
  <c r="G18" i="6" s="1"/>
  <c r="N23" i="6" l="1"/>
  <c r="O23" i="6"/>
  <c r="M24" i="6" s="1"/>
  <c r="J55" i="6"/>
  <c r="V54" i="6"/>
  <c r="W53" i="6"/>
  <c r="T23" i="6"/>
  <c r="L46" i="6"/>
  <c r="M46" i="6" s="1"/>
  <c r="V15" i="6"/>
  <c r="W15" i="6" s="1"/>
  <c r="S16" i="6" s="1"/>
  <c r="AA49" i="6"/>
  <c r="AB50" i="6" s="1"/>
  <c r="H18" i="6"/>
  <c r="N24" i="6" l="1"/>
  <c r="O24" i="6" s="1"/>
  <c r="M25" i="6" s="1"/>
  <c r="J56" i="6"/>
  <c r="V55" i="6"/>
  <c r="W54" i="6"/>
  <c r="T24" i="6"/>
  <c r="N46" i="6"/>
  <c r="Q46" i="6" s="1"/>
  <c r="R46" i="6" s="1"/>
  <c r="S46" i="6" s="1"/>
  <c r="U16" i="6"/>
  <c r="J18" i="6"/>
  <c r="O50" i="6" s="1"/>
  <c r="X50" i="6" s="1"/>
  <c r="Y50" i="6" s="1"/>
  <c r="Z50" i="6" s="1"/>
  <c r="I18" i="6"/>
  <c r="G19" i="6" s="1"/>
  <c r="N25" i="6" l="1"/>
  <c r="O25" i="6" s="1"/>
  <c r="M26" i="6" s="1"/>
  <c r="J57" i="6"/>
  <c r="V56" i="6"/>
  <c r="W55" i="6"/>
  <c r="T25" i="6"/>
  <c r="T46" i="6"/>
  <c r="U47" i="6" s="1"/>
  <c r="V16" i="6"/>
  <c r="W16" i="6" s="1"/>
  <c r="S17" i="6" s="1"/>
  <c r="L47" i="6"/>
  <c r="M47" i="6" s="1"/>
  <c r="U17" i="6"/>
  <c r="AA50" i="6"/>
  <c r="AB51" i="6" s="1"/>
  <c r="H19" i="6"/>
  <c r="N26" i="6" l="1"/>
  <c r="O26" i="6"/>
  <c r="M27" i="6" s="1"/>
  <c r="J58" i="6"/>
  <c r="V57" i="6"/>
  <c r="W56" i="6"/>
  <c r="T26" i="6"/>
  <c r="N47" i="6"/>
  <c r="Q47" i="6"/>
  <c r="R47" i="6" s="1"/>
  <c r="S47" i="6" s="1"/>
  <c r="V17" i="6"/>
  <c r="W17" i="6" s="1"/>
  <c r="S18" i="6" s="1"/>
  <c r="L48" i="6"/>
  <c r="M48" i="6" s="1"/>
  <c r="J19" i="6"/>
  <c r="O51" i="6" s="1"/>
  <c r="X51" i="6" s="1"/>
  <c r="Y51" i="6" s="1"/>
  <c r="Z51" i="6" s="1"/>
  <c r="I19" i="6"/>
  <c r="G20" i="6" s="1"/>
  <c r="N27" i="6" l="1"/>
  <c r="O27" i="6"/>
  <c r="M28" i="6" s="1"/>
  <c r="J59" i="6"/>
  <c r="V58" i="6"/>
  <c r="W57" i="6"/>
  <c r="T27" i="6"/>
  <c r="T47" i="6"/>
  <c r="U48" i="6" s="1"/>
  <c r="N48" i="6"/>
  <c r="Q48" i="6"/>
  <c r="R48" i="6" s="1"/>
  <c r="S48" i="6" s="1"/>
  <c r="AA51" i="6"/>
  <c r="AB52" i="6" s="1"/>
  <c r="H20" i="6"/>
  <c r="U18" i="6"/>
  <c r="N28" i="6" l="1"/>
  <c r="O28" i="6"/>
  <c r="M29" i="6" s="1"/>
  <c r="J60" i="6"/>
  <c r="V59" i="6"/>
  <c r="W58" i="6"/>
  <c r="T28" i="6"/>
  <c r="T48" i="6"/>
  <c r="U49" i="6" s="1"/>
  <c r="L49" i="6"/>
  <c r="M49" i="6" s="1"/>
  <c r="V18" i="6"/>
  <c r="W18" i="6" s="1"/>
  <c r="S19" i="6" s="1"/>
  <c r="U19" i="6"/>
  <c r="J20" i="6"/>
  <c r="O52" i="6" s="1"/>
  <c r="X52" i="6" s="1"/>
  <c r="Y52" i="6" s="1"/>
  <c r="Z52" i="6" s="1"/>
  <c r="I20" i="6"/>
  <c r="G21" i="6" s="1"/>
  <c r="N29" i="6" l="1"/>
  <c r="O29" i="6" s="1"/>
  <c r="V60" i="6"/>
  <c r="W59" i="6"/>
  <c r="T29" i="6"/>
  <c r="N49" i="6"/>
  <c r="Q49" i="6"/>
  <c r="R49" i="6" s="1"/>
  <c r="S49" i="6" s="1"/>
  <c r="V19" i="6"/>
  <c r="W19" i="6" s="1"/>
  <c r="S20" i="6" s="1"/>
  <c r="L50" i="6"/>
  <c r="M50" i="6" s="1"/>
  <c r="AA52" i="6"/>
  <c r="AB53" i="6" s="1"/>
  <c r="H21" i="6"/>
  <c r="W60" i="6" l="1"/>
  <c r="T49" i="6"/>
  <c r="U50" i="6" s="1"/>
  <c r="U20" i="6"/>
  <c r="N50" i="6"/>
  <c r="Q50" i="6" s="1"/>
  <c r="R50" i="6" s="1"/>
  <c r="S50" i="6" s="1"/>
  <c r="J21" i="6"/>
  <c r="O53" i="6" s="1"/>
  <c r="X53" i="6" s="1"/>
  <c r="Y53" i="6" s="1"/>
  <c r="Z53" i="6" s="1"/>
  <c r="I21" i="6"/>
  <c r="G22" i="6" s="1"/>
  <c r="T50" i="6" l="1"/>
  <c r="U51" i="6" s="1"/>
  <c r="V20" i="6"/>
  <c r="W20" i="6" s="1"/>
  <c r="S21" i="6" s="1"/>
  <c r="L51" i="6"/>
  <c r="M51" i="6" s="1"/>
  <c r="AA53" i="6"/>
  <c r="AB54" i="6" s="1"/>
  <c r="H22" i="6"/>
  <c r="U21" i="6" l="1"/>
  <c r="N51" i="6"/>
  <c r="Q51" i="6"/>
  <c r="R51" i="6" s="1"/>
  <c r="S51" i="6" s="1"/>
  <c r="J22" i="6"/>
  <c r="O54" i="6" s="1"/>
  <c r="X54" i="6" s="1"/>
  <c r="Y54" i="6" s="1"/>
  <c r="Z54" i="6" s="1"/>
  <c r="I22" i="6"/>
  <c r="G23" i="6" s="1"/>
  <c r="V21" i="6" l="1"/>
  <c r="W21" i="6" s="1"/>
  <c r="S22" i="6" s="1"/>
  <c r="L52" i="6"/>
  <c r="M52" i="6" s="1"/>
  <c r="T51" i="6"/>
  <c r="U52" i="6" s="1"/>
  <c r="Z55" i="6"/>
  <c r="AA54" i="6"/>
  <c r="AB55" i="6" s="1"/>
  <c r="H23" i="6"/>
  <c r="U22" i="6" l="1"/>
  <c r="N52" i="6"/>
  <c r="Q52" i="6"/>
  <c r="R52" i="6" s="1"/>
  <c r="S52" i="6" s="1"/>
  <c r="T52" i="6"/>
  <c r="U53" i="6" s="1"/>
  <c r="AA55" i="6"/>
  <c r="AB56" i="6" s="1"/>
  <c r="J23" i="6"/>
  <c r="O55" i="6" s="1"/>
  <c r="X55" i="6" s="1"/>
  <c r="Y55" i="6" s="1"/>
  <c r="I23" i="6"/>
  <c r="G24" i="6" s="1"/>
  <c r="V22" i="6" l="1"/>
  <c r="W22" i="6" s="1"/>
  <c r="S23" i="6" s="1"/>
  <c r="L53" i="6"/>
  <c r="M53" i="6" s="1"/>
  <c r="H24" i="6"/>
  <c r="U23" i="6" l="1"/>
  <c r="N53" i="6"/>
  <c r="Q53" i="6" s="1"/>
  <c r="R53" i="6" s="1"/>
  <c r="S53" i="6" s="1"/>
  <c r="J24" i="6"/>
  <c r="O56" i="6" s="1"/>
  <c r="X56" i="6" s="1"/>
  <c r="Y56" i="6" s="1"/>
  <c r="Z56" i="6" s="1"/>
  <c r="I24" i="6"/>
  <c r="G25" i="6" s="1"/>
  <c r="V23" i="6" l="1"/>
  <c r="W23" i="6" s="1"/>
  <c r="S24" i="6" s="1"/>
  <c r="L54" i="6"/>
  <c r="M54" i="6" s="1"/>
  <c r="T53" i="6"/>
  <c r="U54" i="6" s="1"/>
  <c r="AA56" i="6"/>
  <c r="AB57" i="6" s="1"/>
  <c r="H25" i="6"/>
  <c r="J25" i="6" s="1"/>
  <c r="O57" i="6" s="1"/>
  <c r="X57" i="6" s="1"/>
  <c r="Y57" i="6" s="1"/>
  <c r="Z57" i="6" s="1"/>
  <c r="I25" i="6"/>
  <c r="G26" i="6" s="1"/>
  <c r="U24" i="6" l="1"/>
  <c r="N54" i="6"/>
  <c r="Q54" i="6" s="1"/>
  <c r="R54" i="6" s="1"/>
  <c r="S54" i="6" s="1"/>
  <c r="AA57" i="6"/>
  <c r="AB58" i="6" s="1"/>
  <c r="H26" i="6"/>
  <c r="V24" i="6" l="1"/>
  <c r="W24" i="6" s="1"/>
  <c r="S25" i="6" s="1"/>
  <c r="L55" i="6"/>
  <c r="M55" i="6" s="1"/>
  <c r="U25" i="6"/>
  <c r="T54" i="6"/>
  <c r="U55" i="6" s="1"/>
  <c r="J26" i="6"/>
  <c r="O58" i="6" s="1"/>
  <c r="X58" i="6" s="1"/>
  <c r="Y58" i="6" s="1"/>
  <c r="Z58" i="6" s="1"/>
  <c r="I26" i="6"/>
  <c r="G27" i="6" s="1"/>
  <c r="N55" i="6" l="1"/>
  <c r="Q55" i="6"/>
  <c r="R55" i="6" s="1"/>
  <c r="S55" i="6" s="1"/>
  <c r="V25" i="6"/>
  <c r="W25" i="6" s="1"/>
  <c r="S26" i="6" s="1"/>
  <c r="L56" i="6"/>
  <c r="M56" i="6" s="1"/>
  <c r="T55" i="6"/>
  <c r="U56" i="6" s="1"/>
  <c r="AA58" i="6"/>
  <c r="AB59" i="6" s="1"/>
  <c r="I27" i="6"/>
  <c r="G28" i="6" s="1"/>
  <c r="H27" i="6"/>
  <c r="J27" i="6" s="1"/>
  <c r="O59" i="6" s="1"/>
  <c r="X59" i="6" s="1"/>
  <c r="Y59" i="6" s="1"/>
  <c r="Z59" i="6" s="1"/>
  <c r="U26" i="6" l="1"/>
  <c r="N56" i="6"/>
  <c r="Q56" i="6"/>
  <c r="R56" i="6" s="1"/>
  <c r="S56" i="6" s="1"/>
  <c r="AA59" i="6"/>
  <c r="AB60" i="6" s="1"/>
  <c r="D16" i="6" s="1"/>
  <c r="I16" i="5" s="1"/>
  <c r="H28" i="6"/>
  <c r="V26" i="6" l="1"/>
  <c r="W26" i="6" s="1"/>
  <c r="S27" i="6" s="1"/>
  <c r="L57" i="6"/>
  <c r="M57" i="6" s="1"/>
  <c r="T56" i="6"/>
  <c r="U57" i="6" s="1"/>
  <c r="J28" i="6"/>
  <c r="O60" i="6" s="1"/>
  <c r="X60" i="6" s="1"/>
  <c r="I28" i="6"/>
  <c r="G29" i="6" s="1"/>
  <c r="N57" i="6" l="1"/>
  <c r="Q57" i="6"/>
  <c r="R57" i="6" s="1"/>
  <c r="S57" i="6" s="1"/>
  <c r="T57" i="6" s="1"/>
  <c r="U58" i="6" s="1"/>
  <c r="D21" i="6"/>
  <c r="I23" i="5" s="1"/>
  <c r="Y60" i="6"/>
  <c r="H29" i="6"/>
  <c r="U27" i="6"/>
  <c r="Z60" i="6" l="1"/>
  <c r="AA60" i="6" s="1"/>
  <c r="Y61" i="6"/>
  <c r="D22" i="6"/>
  <c r="I21" i="5" s="1"/>
  <c r="L58" i="6"/>
  <c r="M58" i="6" s="1"/>
  <c r="V27" i="6"/>
  <c r="W27" i="6" s="1"/>
  <c r="S28" i="6" s="1"/>
  <c r="U28" i="6"/>
  <c r="J29" i="6"/>
  <c r="I29" i="6"/>
  <c r="N58" i="6" l="1"/>
  <c r="Q58" i="6" s="1"/>
  <c r="R58" i="6" s="1"/>
  <c r="S58" i="6" s="1"/>
  <c r="V28" i="6"/>
  <c r="W28" i="6" s="1"/>
  <c r="S29" i="6" s="1"/>
  <c r="L59" i="6"/>
  <c r="M59" i="6" s="1"/>
  <c r="T58" i="6" l="1"/>
  <c r="U59" i="6" s="1"/>
  <c r="U29" i="6"/>
  <c r="N59" i="6"/>
  <c r="Q59" i="6" s="1"/>
  <c r="R59" i="6" s="1"/>
  <c r="S59" i="6" s="1"/>
  <c r="T59" i="6" l="1"/>
  <c r="U60" i="6" s="1"/>
  <c r="V29" i="6"/>
  <c r="W29" i="6" s="1"/>
  <c r="L60" i="6"/>
  <c r="M60" i="6" s="1"/>
  <c r="N60" i="6" l="1"/>
  <c r="Q60" i="6"/>
  <c r="R60" i="6" s="1"/>
  <c r="S60" i="6" l="1"/>
  <c r="T60" i="6" s="1"/>
  <c r="R61" i="6"/>
  <c r="D19" i="6" s="1"/>
  <c r="I19" i="5" s="1"/>
  <c r="D23" i="6"/>
  <c r="I22" i="5" s="1"/>
</calcChain>
</file>

<file path=xl/sharedStrings.xml><?xml version="1.0" encoding="utf-8"?>
<sst xmlns="http://schemas.openxmlformats.org/spreadsheetml/2006/main" count="1259" uniqueCount="687">
  <si>
    <t>FOURTH PARTNER ENERGY  —  CAPEX Proposal Inputs</t>
  </si>
  <si>
    <t>Yellow cells = your inputs   |   Pink = mandatory   |   Blue = optional   |   Formulas are fine — the document shows the value exactly as Excel displays it</t>
  </si>
  <si>
    <t>Key</t>
  </si>
  <si>
    <t>Field</t>
  </si>
  <si>
    <t>Your Value</t>
  </si>
  <si>
    <t>Example</t>
  </si>
  <si>
    <t>Mandatory</t>
  </si>
  <si>
    <t>Page</t>
  </si>
  <si>
    <t>1 · COVER PAGE &amp; EXECUTIVE SUMMARY</t>
  </si>
  <si>
    <t>PH_001</t>
  </si>
  <si>
    <t>Proposed Capacity (kWp)</t>
  </si>
  <si>
    <t>910</t>
  </si>
  <si>
    <t>MANUAL</t>
  </si>
  <si>
    <t>1,2</t>
  </si>
  <si>
    <t>PH_002</t>
  </si>
  <si>
    <t>Installation Technology</t>
  </si>
  <si>
    <t>Rooftop-Shed</t>
  </si>
  <si>
    <t>Rooftop - Shed</t>
  </si>
  <si>
    <t>1</t>
  </si>
  <si>
    <t>PH_003</t>
  </si>
  <si>
    <t>Estimated Generation (kWh/year)</t>
  </si>
  <si>
    <t>12,50,000</t>
  </si>
  <si>
    <t>1,4</t>
  </si>
  <si>
    <t>PH_004</t>
  </si>
  <si>
    <t>% Consumption Replaced</t>
  </si>
  <si>
    <t>~42%</t>
  </si>
  <si>
    <t>4</t>
  </si>
  <si>
    <t>PH_005</t>
  </si>
  <si>
    <t>Net Metering (Yes/No)</t>
  </si>
  <si>
    <t>Yes</t>
  </si>
  <si>
    <t>PH_006</t>
  </si>
  <si>
    <t>Key Components — Modules</t>
  </si>
  <si>
    <t>Renewsys 585+ Wp</t>
  </si>
  <si>
    <t>Renewsys 595 Wp</t>
  </si>
  <si>
    <t>PH_007</t>
  </si>
  <si>
    <t>Key Components — Inverters</t>
  </si>
  <si>
    <t>Solis</t>
  </si>
  <si>
    <t>PH_008</t>
  </si>
  <si>
    <t>Project Timeline</t>
  </si>
  <si>
    <t>4 + 1 Months</t>
  </si>
  <si>
    <t>4–5 months</t>
  </si>
  <si>
    <t>PH_009</t>
  </si>
  <si>
    <t>Exclusions (Exec summary)</t>
  </si>
  <si>
    <t>Spare feeder, Internet connectivity</t>
  </si>
  <si>
    <t>Spare feeder; Net meter infra; Internet</t>
  </si>
  <si>
    <t>PH_010</t>
  </si>
  <si>
    <t>Commercial — Investment (Rs. Crs)</t>
  </si>
  <si>
    <t>3.50</t>
  </si>
  <si>
    <t>PH_011</t>
  </si>
  <si>
    <t>Commercial — Payment Terms</t>
  </si>
  <si>
    <t>30% advance + 70% via BG/LC</t>
  </si>
  <si>
    <t>PH_012</t>
  </si>
  <si>
    <t>Commercial — AMC Cost</t>
  </si>
  <si>
    <t>₹ 650/kWp/yr with 5% escalation</t>
  </si>
  <si>
    <t>PH_013</t>
  </si>
  <si>
    <t>Commercial — Payback Period</t>
  </si>
  <si>
    <t>4.2 years</t>
  </si>
  <si>
    <t>PH_014</t>
  </si>
  <si>
    <t>Commercial — Net Savings over 25 Years (₹ Cr)</t>
  </si>
  <si>
    <t>12.5</t>
  </si>
  <si>
    <t>PH_015</t>
  </si>
  <si>
    <t>Commercial — CO₂ Reduction (Tonnes/year)</t>
  </si>
  <si>
    <t>816</t>
  </si>
  <si>
    <t>PH_016</t>
  </si>
  <si>
    <t>Proposal Submitted by</t>
  </si>
  <si>
    <t>Carl Aaron | carl.aaron@fourthpartner.co | +91-9551062519</t>
  </si>
  <si>
    <t>Carl Aaron</t>
  </si>
  <si>
    <t>Optional</t>
  </si>
  <si>
    <t>PH_017</t>
  </si>
  <si>
    <t>Proposal Submitted on</t>
  </si>
  <si>
    <t>31st Jul 2025</t>
  </si>
  <si>
    <t>AUTOMATIC</t>
  </si>
  <si>
    <t>PH_018</t>
  </si>
  <si>
    <t>Proposal Validity</t>
  </si>
  <si>
    <t>15 days</t>
  </si>
  <si>
    <t>2 · SITE DETAILS (1.1 Customer &amp; 1.2 Site)</t>
  </si>
  <si>
    <t>PH_019</t>
  </si>
  <si>
    <t>Customer Name</t>
  </si>
  <si>
    <t>IFGL Refractories Ltd.</t>
  </si>
  <si>
    <t>1,5,13</t>
  </si>
  <si>
    <t>PH_020</t>
  </si>
  <si>
    <t>Customer Address (short)</t>
  </si>
  <si>
    <t>Kandla, Gujarat</t>
  </si>
  <si>
    <t>PH_021</t>
  </si>
  <si>
    <t>Contact Person</t>
  </si>
  <si>
    <t>Mr. A. Sharma</t>
  </si>
  <si>
    <t>5</t>
  </si>
  <si>
    <t>PH_022</t>
  </si>
  <si>
    <t>Mobile</t>
  </si>
  <si>
    <t>+91-98XXXXXXXX</t>
  </si>
  <si>
    <t>PH_023</t>
  </si>
  <si>
    <t>Email</t>
  </si>
  <si>
    <t>name@company.com</t>
  </si>
  <si>
    <t>PH_024</t>
  </si>
  <si>
    <t>Site Address (full)</t>
  </si>
  <si>
    <t>PH_025</t>
  </si>
  <si>
    <t>Latitude</t>
  </si>
  <si>
    <t>23.0339</t>
  </si>
  <si>
    <t>PH_026</t>
  </si>
  <si>
    <t>Longitude</t>
  </si>
  <si>
    <t>70.2167</t>
  </si>
  <si>
    <t>PH_027</t>
  </si>
  <si>
    <t>Type of Installation</t>
  </si>
  <si>
    <t>PH_028</t>
  </si>
  <si>
    <t>Type of Roofs</t>
  </si>
  <si>
    <t>Metal Sheet</t>
  </si>
  <si>
    <t>PH_029</t>
  </si>
  <si>
    <t>Availability of Water</t>
  </si>
  <si>
    <t>PH_030</t>
  </si>
  <si>
    <t>Shading</t>
  </si>
  <si>
    <t>Shadow-free</t>
  </si>
  <si>
    <t>PH_031</t>
  </si>
  <si>
    <t>Site GMap Image Path</t>
  </si>
  <si>
    <t>C:\Proposals\site.png</t>
  </si>
  <si>
    <t>3 · CAPACITY ASSESSMENT (2.1)</t>
  </si>
  <si>
    <t>PH_032</t>
  </si>
  <si>
    <t>Capacity — Shadow-free area: kWp</t>
  </si>
  <si>
    <t>6</t>
  </si>
  <si>
    <t>PH_033</t>
  </si>
  <si>
    <t>Capacity — Shadow-free area: Notes</t>
  </si>
  <si>
    <t>Usable shadow-free roof area</t>
  </si>
  <si>
    <t>PH_034</t>
  </si>
  <si>
    <t>Capacity — Electricity consumption: kWp</t>
  </si>
  <si>
    <t>PH_035</t>
  </si>
  <si>
    <t>Capacity — Electricity consumption: Notes</t>
  </si>
  <si>
    <t>~42% of annual consumption</t>
  </si>
  <si>
    <t>PH_036</t>
  </si>
  <si>
    <t>Capacity — State regulatory limit: kWp</t>
  </si>
  <si>
    <t>No limit</t>
  </si>
  <si>
    <t>PH_037</t>
  </si>
  <si>
    <t>Capacity — State regulatory limit: Notes</t>
  </si>
  <si>
    <t>Net metering norms</t>
  </si>
  <si>
    <t>PH_038</t>
  </si>
  <si>
    <t>Capacity — Proposed Capacity: kWp</t>
  </si>
  <si>
    <t>PH_039</t>
  </si>
  <si>
    <t>Capacity — Proposed Capacity: Notes</t>
  </si>
  <si>
    <t>Final proposed plant size</t>
  </si>
  <si>
    <t>4 · PLANT LAYOUT (2.2)</t>
  </si>
  <si>
    <t>PH_040</t>
  </si>
  <si>
    <t>Plant Layout — Type of Installation</t>
  </si>
  <si>
    <t>6-8</t>
  </si>
  <si>
    <t>PH_041</t>
  </si>
  <si>
    <t>Plant Layout — Type of Mounting</t>
  </si>
  <si>
    <t>Metal sheet roof mounting</t>
  </si>
  <si>
    <t>PH_042</t>
  </si>
  <si>
    <t>Plant Layout — Power Evacuation</t>
  </si>
  <si>
    <t>LT side, synchronised with grid</t>
  </si>
  <si>
    <t>PH_043</t>
  </si>
  <si>
    <t>Rooftop · Row1 — Shed/Building</t>
  </si>
  <si>
    <t>Shed A</t>
  </si>
  <si>
    <t>PH_044</t>
  </si>
  <si>
    <t>Rooftop · Row1 — Capacity (kWp)</t>
  </si>
  <si>
    <t>300</t>
  </si>
  <si>
    <t>PH_045</t>
  </si>
  <si>
    <t>Rooftop · Row1 — Tilt</t>
  </si>
  <si>
    <t>10°</t>
  </si>
  <si>
    <t>PH_046</t>
  </si>
  <si>
    <t>Rooftop · Row1 — Azimuth</t>
  </si>
  <si>
    <t>180°</t>
  </si>
  <si>
    <t>PH_047</t>
  </si>
  <si>
    <t>Rooftop · Row1 — Walkways/Lifeline</t>
  </si>
  <si>
    <t>PH_048</t>
  </si>
  <si>
    <t>Rooftop · Row2 — Shed/Building</t>
  </si>
  <si>
    <t>Shed B</t>
  </si>
  <si>
    <t>PH_049</t>
  </si>
  <si>
    <t>Rooftop · Row2 — Capacity (kWp)</t>
  </si>
  <si>
    <t>PH_050</t>
  </si>
  <si>
    <t>Rooftop · Row2 — Tilt</t>
  </si>
  <si>
    <t>PH_051</t>
  </si>
  <si>
    <t>Rooftop · Row2 — Azimuth</t>
  </si>
  <si>
    <t>PH_052</t>
  </si>
  <si>
    <t>Rooftop · Row2 — Walkways/Lifeline</t>
  </si>
  <si>
    <t>PH_053</t>
  </si>
  <si>
    <t>Rooftop · Total Capacity (kWp)</t>
  </si>
  <si>
    <t>600</t>
  </si>
  <si>
    <t>PH_054</t>
  </si>
  <si>
    <t>Shed · Row1 — Shed/Building</t>
  </si>
  <si>
    <t>PH_055</t>
  </si>
  <si>
    <t>Shed · Row1 — Capacity (kWp)</t>
  </si>
  <si>
    <t>PH_056</t>
  </si>
  <si>
    <t>Shed · Row1 — Tilt</t>
  </si>
  <si>
    <t>PH_057</t>
  </si>
  <si>
    <t>Shed · Row1 — Azimuth</t>
  </si>
  <si>
    <t>PH_058</t>
  </si>
  <si>
    <t>Shed · Row1 — Walkways/Lifeline/Railings</t>
  </si>
  <si>
    <t>PH_059</t>
  </si>
  <si>
    <t>Shed · Row2 — Shed/Building</t>
  </si>
  <si>
    <t>PH_060</t>
  </si>
  <si>
    <t>Shed · Row2 — Capacity (kWp)</t>
  </si>
  <si>
    <t>PH_061</t>
  </si>
  <si>
    <t>Shed · Row2 — Tilt</t>
  </si>
  <si>
    <t>PH_062</t>
  </si>
  <si>
    <t>Shed · Row2 — Azimuth</t>
  </si>
  <si>
    <t>PH_063</t>
  </si>
  <si>
    <t>Shed · Row2 — Walkways/Lifeline/Railings</t>
  </si>
  <si>
    <t>PH_064</t>
  </si>
  <si>
    <t>Shed · Total Capacity (kWp)</t>
  </si>
  <si>
    <t>PH_065</t>
  </si>
  <si>
    <t>Ground · Type of Installation</t>
  </si>
  <si>
    <t>Ground Mount</t>
  </si>
  <si>
    <t>7</t>
  </si>
  <si>
    <t>PH_066</t>
  </si>
  <si>
    <t>Ground · Azimuth (deg)</t>
  </si>
  <si>
    <t>PH_067</t>
  </si>
  <si>
    <t>Ground · Tilt (deg)</t>
  </si>
  <si>
    <t>15°</t>
  </si>
  <si>
    <t>PH_068</t>
  </si>
  <si>
    <t>Ground · Type of Mounting</t>
  </si>
  <si>
    <t>Fixed tilt</t>
  </si>
  <si>
    <t>PH_069</t>
  </si>
  <si>
    <t>Ground · Power Evacuation</t>
  </si>
  <si>
    <t>HT side</t>
  </si>
  <si>
    <t>PH_070</t>
  </si>
  <si>
    <t>Ground · Fencing</t>
  </si>
  <si>
    <t>Chain-link, 6 ft</t>
  </si>
  <si>
    <t>PH_071</t>
  </si>
  <si>
    <t>Ground · Plant Lighting</t>
  </si>
  <si>
    <t>PH_072</t>
  </si>
  <si>
    <t>Carport/Float · Type of Installation</t>
  </si>
  <si>
    <t>Carport</t>
  </si>
  <si>
    <t>PH_073</t>
  </si>
  <si>
    <t>Carport/Float · Azimuth (deg)</t>
  </si>
  <si>
    <t>PH_074</t>
  </si>
  <si>
    <t>Carport/Float · Tilt (deg)</t>
  </si>
  <si>
    <t>PH_075</t>
  </si>
  <si>
    <t>Carport/Float · Type of Mounting</t>
  </si>
  <si>
    <t>Steel structure</t>
  </si>
  <si>
    <t>PH_076</t>
  </si>
  <si>
    <t>Carport/Float · Power Evacuation</t>
  </si>
  <si>
    <t>LT side</t>
  </si>
  <si>
    <t>PH_077</t>
  </si>
  <si>
    <t>Carport/Float · Fencing</t>
  </si>
  <si>
    <t>N/A</t>
  </si>
  <si>
    <t>PH_078</t>
  </si>
  <si>
    <t>Carport/Float · Plant Lighting</t>
  </si>
  <si>
    <t>5 · ESTIMATED GENERATION (2.3)</t>
  </si>
  <si>
    <t>PH_079</t>
  </si>
  <si>
    <t>Gen — Type of System</t>
  </si>
  <si>
    <t>Grid-tied rooftop solar</t>
  </si>
  <si>
    <t>9</t>
  </si>
  <si>
    <t>PH_080</t>
  </si>
  <si>
    <t>Gen — Estimated Generation (kWh/year)</t>
  </si>
  <si>
    <t>PH_081</t>
  </si>
  <si>
    <t>Gen — Degradation</t>
  </si>
  <si>
    <t>2.5% Yr-1, 0.7% p.a. thereafter</t>
  </si>
  <si>
    <t>PH_082</t>
  </si>
  <si>
    <t>Gen — Guaranteed Generation (kWh/year)</t>
  </si>
  <si>
    <t>11,25,000</t>
  </si>
  <si>
    <t>PH_083</t>
  </si>
  <si>
    <t>Gen — Plant Life (Years)</t>
  </si>
  <si>
    <t>25</t>
  </si>
  <si>
    <t>PH_084</t>
  </si>
  <si>
    <t>Gen — Irradiation (kWh/m²/yr)</t>
  </si>
  <si>
    <t>1,850</t>
  </si>
  <si>
    <t>6 · BILL OF MATERIAL (2.4) — Specifications</t>
  </si>
  <si>
    <t>PH_085</t>
  </si>
  <si>
    <t>BOM · PV Module — Type</t>
  </si>
  <si>
    <t>Monocrystalline PERC</t>
  </si>
  <si>
    <t>10-11</t>
  </si>
  <si>
    <t>PH_086</t>
  </si>
  <si>
    <t>BOM · PV Module — Make / Model</t>
  </si>
  <si>
    <t>PH_087</t>
  </si>
  <si>
    <t>BOM · PV Module — Efficiency</t>
  </si>
  <si>
    <t>21.3%</t>
  </si>
  <si>
    <t>PH_088</t>
  </si>
  <si>
    <t>BOM · Inverter — Type</t>
  </si>
  <si>
    <t>String inverter</t>
  </si>
  <si>
    <t>PH_089</t>
  </si>
  <si>
    <t>BOM · Inverter — Env. Class / Location</t>
  </si>
  <si>
    <t>IP66, outdoor</t>
  </si>
  <si>
    <t>PH_090</t>
  </si>
  <si>
    <t>BOM · Inverter — Make / Model</t>
  </si>
  <si>
    <t>PH_091</t>
  </si>
  <si>
    <t>BOM · Mounting Structure — Type</t>
  </si>
  <si>
    <t>Galvanised steel</t>
  </si>
  <si>
    <t>PH_092</t>
  </si>
  <si>
    <t>BOM · Mounting Structure — Make</t>
  </si>
  <si>
    <t>Standard GI</t>
  </si>
  <si>
    <t>PH_093</t>
  </si>
  <si>
    <t>BOM · DC Cable — Make / Size</t>
  </si>
  <si>
    <t>Polycab, 4/6 sq.mm</t>
  </si>
  <si>
    <t>PH_094</t>
  </si>
  <si>
    <t>BOM · AC Cable — Make / Size</t>
  </si>
  <si>
    <t>Polycab, as per design</t>
  </si>
  <si>
    <t>PH_095</t>
  </si>
  <si>
    <t>BOM · Cable Tray — Type / Size</t>
  </si>
  <si>
    <t>GI perforated</t>
  </si>
  <si>
    <t>PH_096</t>
  </si>
  <si>
    <t>BOM · LT Switchgear — Type/Make/Rating</t>
  </si>
  <si>
    <t>ABB/Schneider, as per design</t>
  </si>
  <si>
    <t>PH_097</t>
  </si>
  <si>
    <t>BOM · Spare Feeder — Type/Make/Rating</t>
  </si>
  <si>
    <t>As per design</t>
  </si>
  <si>
    <t>PH_098</t>
  </si>
  <si>
    <t>BOM · Energy Meter + ACCB — Make/Class</t>
  </si>
  <si>
    <t>Class 0.5S</t>
  </si>
  <si>
    <t>PH_099</t>
  </si>
  <si>
    <t>BOM · Lightning Arrestor — Type/Make</t>
  </si>
  <si>
    <t>ESE type</t>
  </si>
  <si>
    <t>PH_100</t>
  </si>
  <si>
    <t>BOM · Earthing Kit — Make/Specs</t>
  </si>
  <si>
    <t>Chemical earthing</t>
  </si>
  <si>
    <t>PH_101</t>
  </si>
  <si>
    <t>BOM · Lifeline — Make</t>
  </si>
  <si>
    <t>SS lifeline</t>
  </si>
  <si>
    <t>PH_102</t>
  </si>
  <si>
    <t>BOM · Walkways — Type/Size</t>
  </si>
  <si>
    <t>GI walkway</t>
  </si>
  <si>
    <t>PH_103</t>
  </si>
  <si>
    <t>BOM · Mesh over Skylights — Make/Specs</t>
  </si>
  <si>
    <t>GI mesh</t>
  </si>
  <si>
    <t>PH_104</t>
  </si>
  <si>
    <t>BOM · Railings over Roof — Make/Specs</t>
  </si>
  <si>
    <t>GI railing</t>
  </si>
  <si>
    <t>PH_105</t>
  </si>
  <si>
    <t>BOM · Ladder — Make/Specs</t>
  </si>
  <si>
    <t>GI cage ladder</t>
  </si>
  <si>
    <t>PH_106</t>
  </si>
  <si>
    <t>BOM · Remote Monitoring System — Make/Specs</t>
  </si>
  <si>
    <t>Solis RMS</t>
  </si>
  <si>
    <t>PH_107</t>
  </si>
  <si>
    <t>BOM · Irradiation Sensor — Make/Specs</t>
  </si>
  <si>
    <t>Pyranometer</t>
  </si>
  <si>
    <t>PH_108</t>
  </si>
  <si>
    <t>BOM · Ambient Temp. Sensor — Make/Specs</t>
  </si>
  <si>
    <t>RTD sensor</t>
  </si>
  <si>
    <t>PH_109</t>
  </si>
  <si>
    <t>BOM · Module Cleaning (Manual) — Make</t>
  </si>
  <si>
    <t>Manual cleaning kit</t>
  </si>
  <si>
    <t>PH_110</t>
  </si>
  <si>
    <t>BOM · Water Pump/Tank/Meter — Make</t>
  </si>
  <si>
    <t>As per site</t>
  </si>
  <si>
    <t>PH_111</t>
  </si>
  <si>
    <t>BOM · HT/VCB Panel — Type/Make/Rating</t>
  </si>
  <si>
    <t>11</t>
  </si>
  <si>
    <t>PH_112</t>
  </si>
  <si>
    <t>BOM · Transformer — Type/Make/Rating</t>
  </si>
  <si>
    <t>PH_113</t>
  </si>
  <si>
    <t>BOM · Transmission/Termination — Type/Length</t>
  </si>
  <si>
    <t>PH_114</t>
  </si>
  <si>
    <t>BOM · Auxiliary Power — Transformer/LT/UPS</t>
  </si>
  <si>
    <t>PH_115</t>
  </si>
  <si>
    <t>BOM · MCR Room / SCADA — Standard/Make</t>
  </si>
  <si>
    <t>PH_116</t>
  </si>
  <si>
    <t>BOM · Boundary/Lighting/CCTV — Standard/Make</t>
  </si>
  <si>
    <t>PH_117</t>
  </si>
  <si>
    <t>BOM · Fire Fighting Equipment — Make</t>
  </si>
  <si>
    <t>PH_118</t>
  </si>
  <si>
    <t>BOM · Net Metering Hardware — Make/Class</t>
  </si>
  <si>
    <t>Class 0.5S, ABT meter</t>
  </si>
  <si>
    <t>PH_119</t>
  </si>
  <si>
    <t>BOM · Net Metering Cubicle — Make</t>
  </si>
  <si>
    <t>7 · PROJECT SCHEDULE (2.6)</t>
  </si>
  <si>
    <t>PH_120</t>
  </si>
  <si>
    <t>Schedule — Delivery &amp; Installation (months)</t>
  </si>
  <si>
    <t>12</t>
  </si>
  <si>
    <t>8 · PROJECT COST (3.1) — CAPEX</t>
  </si>
  <si>
    <t>PH_121</t>
  </si>
  <si>
    <t>Cost — EPC: Investment per Wp (Rs.)</t>
  </si>
  <si>
    <t>35.50</t>
  </si>
  <si>
    <t>13</t>
  </si>
  <si>
    <t>PH_122</t>
  </si>
  <si>
    <t>Cost — EPC: Total Investment (Rs.)</t>
  </si>
  <si>
    <t>3,23,05,000</t>
  </si>
  <si>
    <t>PH_123</t>
  </si>
  <si>
    <t>Cost — Net Metering: Investment per Wp (Rs.)</t>
  </si>
  <si>
    <t>PH_124</t>
  </si>
  <si>
    <t>Cost — Net Metering: Total Investment (Rs.)</t>
  </si>
  <si>
    <t>PH_125</t>
  </si>
  <si>
    <t>Cost — Gen Panel: Investment per Wp (Rs.)</t>
  </si>
  <si>
    <t>PH_126</t>
  </si>
  <si>
    <t>Cost — Gen Panel: Total Investment (Rs.)</t>
  </si>
  <si>
    <t>PH_127</t>
  </si>
  <si>
    <t>Cost — TOTAL: Investment per Wp (Rs.)</t>
  </si>
  <si>
    <t>PH_128</t>
  </si>
  <si>
    <t>Cost — TOTAL: Total Investment (Rs.)</t>
  </si>
  <si>
    <t>3,54,90,000</t>
  </si>
  <si>
    <t>PH_129</t>
  </si>
  <si>
    <t>Cost — Total in words</t>
  </si>
  <si>
    <t>Rupees Three Crore Fifty-Four Lakh Ninety Thousand Only</t>
  </si>
  <si>
    <t>PH_130</t>
  </si>
  <si>
    <t>Cost — USD–INR Exchange Rate Assumption</t>
  </si>
  <si>
    <t>95.55</t>
  </si>
  <si>
    <t>PH_131</t>
  </si>
  <si>
    <t>Cost — AMC Cost Year 1 (₹/kWp)</t>
  </si>
  <si>
    <t>650</t>
  </si>
  <si>
    <t>PH_132</t>
  </si>
  <si>
    <t>Fin — System Size (kWp)</t>
  </si>
  <si>
    <t>PH_133</t>
  </si>
  <si>
    <t>Fin — System Cost incl. GST (Rs. Lacs)</t>
  </si>
  <si>
    <t>386.59</t>
  </si>
  <si>
    <t>PH_134</t>
  </si>
  <si>
    <t>Fin — GST Input Credit (Rs. Lacs)</t>
  </si>
  <si>
    <t>30.12</t>
  </si>
  <si>
    <t>PH_135</t>
  </si>
  <si>
    <t>Fin — Net Cost to Client (Rs. Lacs)</t>
  </si>
  <si>
    <t>356.47</t>
  </si>
  <si>
    <t>PH_136</t>
  </si>
  <si>
    <t>Fin — AMC Cost (Rs. Lacs/year)</t>
  </si>
  <si>
    <t>5.92</t>
  </si>
  <si>
    <t>PH_137</t>
  </si>
  <si>
    <t>Fin — Solar Units Generated Yr1 (Units/year)</t>
  </si>
  <si>
    <t>PH_138</t>
  </si>
  <si>
    <t>Fin — Present Power Tariff (Rs./unit)</t>
  </si>
  <si>
    <t>8.50</t>
  </si>
  <si>
    <t>PH_139</t>
  </si>
  <si>
    <t>Fin — Avg. EB Tariff Increase (% p.a.)</t>
  </si>
  <si>
    <t>3%</t>
  </si>
  <si>
    <t>PH_140</t>
  </si>
  <si>
    <t>Fin — Savings in Year 1 post-tax (Rs. Lacs)</t>
  </si>
  <si>
    <t>85.60</t>
  </si>
  <si>
    <t>PH_141</t>
  </si>
  <si>
    <t>Fin — Payback Period (Years)</t>
  </si>
  <si>
    <t>4.2</t>
  </si>
  <si>
    <t>PH_142</t>
  </si>
  <si>
    <t>Fin — Project Life (Years)</t>
  </si>
  <si>
    <t>PH_143</t>
  </si>
  <si>
    <t>Fin — Inverter Life (Years)</t>
  </si>
  <si>
    <t>10</t>
  </si>
  <si>
    <t>PH_144</t>
  </si>
  <si>
    <t>Fin — Net Savings over Project Life (Rs. Lacs)</t>
  </si>
  <si>
    <t>1,250</t>
  </si>
  <si>
    <t>PH_145</t>
  </si>
  <si>
    <t>Fin — Total Units over Project Life (Lac Units)</t>
  </si>
  <si>
    <t>280</t>
  </si>
  <si>
    <t>PH_146</t>
  </si>
  <si>
    <t>Fin — Project IRR Post Tax (%)</t>
  </si>
  <si>
    <t>28%</t>
  </si>
  <si>
    <t>PH_147</t>
  </si>
  <si>
    <t>Fin — Equity IRR Post Tax (%)</t>
  </si>
  <si>
    <t>32%</t>
  </si>
  <si>
    <t>PH_148</t>
  </si>
  <si>
    <t>Fin — Levelised Cost of Generation (Rs./kWh)</t>
  </si>
  <si>
    <t>3.25</t>
  </si>
  <si>
    <t>10 · TERMS &amp; CONDITIONS (3.3)</t>
  </si>
  <si>
    <t>PH_149</t>
  </si>
  <si>
    <t>T&amp;C — Offer Validity (days)</t>
  </si>
  <si>
    <t>14</t>
  </si>
  <si>
    <t>PH_150</t>
  </si>
  <si>
    <t>T&amp;C — AMC Cost Yr1 (₹ Lakhs)</t>
  </si>
  <si>
    <t>PH_151</t>
  </si>
  <si>
    <t>T&amp;C — FPEL GST No. (State Specific)</t>
  </si>
  <si>
    <t>36AADCF1234R1ZW</t>
  </si>
  <si>
    <t>PH_152</t>
  </si>
  <si>
    <t>T&amp;C — Exclusions</t>
  </si>
  <si>
    <t>Spare feeder; Net meter infra</t>
  </si>
  <si>
    <t>11 · ENVIRONMENTAL IMPACT (5.0)</t>
  </si>
  <si>
    <t>PH_153</t>
  </si>
  <si>
    <t>Env · CO₂ Reduction (Tonnes/year)</t>
  </si>
  <si>
    <t>17</t>
  </si>
  <si>
    <t>12 · COVER — PROJECT SNAPSHOT</t>
  </si>
  <si>
    <t>PH_154</t>
  </si>
  <si>
    <t>Cover · Est. Generation (kWh/yr)</t>
  </si>
  <si>
    <t>12.5 L</t>
  </si>
  <si>
    <t>2</t>
  </si>
  <si>
    <t>PH_155</t>
  </si>
  <si>
    <t>Cover · Consumption Replaced</t>
  </si>
  <si>
    <t>42%</t>
  </si>
  <si>
    <t>PH_156</t>
  </si>
  <si>
    <t>Cover · Investment (Rs. Cr)</t>
  </si>
  <si>
    <t>₹ 3.55 Cr</t>
  </si>
  <si>
    <t>PH_157</t>
  </si>
  <si>
    <t>Cover · CO₂ Reduction / yr</t>
  </si>
  <si>
    <t>1,480 t</t>
  </si>
  <si>
    <t>PH_158</t>
  </si>
  <si>
    <t>Cover · Project Timeline</t>
  </si>
  <si>
    <t>4 months</t>
  </si>
  <si>
    <t>13 · COVER — ENVIRONMENTAL IMPACT CARDS - UPDATE THE YIELD IN ENVIRONMENTAL SHEET</t>
  </si>
  <si>
    <t>PH_159</t>
  </si>
  <si>
    <t>Cover Env · Coal Saved (tons)</t>
  </si>
  <si>
    <t>1,480</t>
  </si>
  <si>
    <t>PH_160</t>
  </si>
  <si>
    <t>Cover Env · Water Savings (M litres)</t>
  </si>
  <si>
    <t>2.1</t>
  </si>
  <si>
    <t>PH_161</t>
  </si>
  <si>
    <t>Cover Env · Trees Planted</t>
  </si>
  <si>
    <t>24,300</t>
  </si>
  <si>
    <t>14 · ENVIRONMENTAL IMPACT PAGE (5.0 — 2x2 grid on image)</t>
  </si>
  <si>
    <t>PH_162</t>
  </si>
  <si>
    <t>Env Page · Coal Conserved (top-left)</t>
  </si>
  <si>
    <t>4,141</t>
  </si>
  <si>
    <t>PH_163</t>
  </si>
  <si>
    <t>Env Page · Trees Planted (top-right)</t>
  </si>
  <si>
    <t>PH_164</t>
  </si>
  <si>
    <t>Env Page · Water Saved (bottom-left)</t>
  </si>
  <si>
    <t>321</t>
  </si>
  <si>
    <t>PH_165</t>
  </si>
  <si>
    <t>Env Page · CO₂ Emission Reduced (bottom-right)</t>
  </si>
  <si>
    <t>32,100</t>
  </si>
  <si>
    <t>Environmental Impact Cumulative Impact</t>
  </si>
  <si>
    <t>Emmission Data (kg/kWh) consumed / emmitted</t>
  </si>
  <si>
    <t>Coal*</t>
  </si>
  <si>
    <t>kg/kWh</t>
  </si>
  <si>
    <t>Cox*</t>
  </si>
  <si>
    <t>Sox**</t>
  </si>
  <si>
    <t>Nox**</t>
  </si>
  <si>
    <t>Water***</t>
  </si>
  <si>
    <t>L/kWh</t>
  </si>
  <si>
    <t>CO2 absorption by trees****</t>
  </si>
  <si>
    <t>kgs / tree year</t>
  </si>
  <si>
    <t>Total Capacity Installed</t>
  </si>
  <si>
    <t>KWp</t>
  </si>
  <si>
    <t>P50 Value - KWH/kWp per day</t>
  </si>
  <si>
    <t>KWH/kWp per day</t>
  </si>
  <si>
    <t>Estimated Generation</t>
  </si>
  <si>
    <t>KWH</t>
  </si>
  <si>
    <t>Average CUF</t>
  </si>
  <si>
    <t>%</t>
  </si>
  <si>
    <t>Average reduction when compared to a coal powered plant (Tons / Year)</t>
  </si>
  <si>
    <t>System</t>
  </si>
  <si>
    <t>Coal</t>
  </si>
  <si>
    <t>Sulphur oxides</t>
  </si>
  <si>
    <t>Nitrogen oxides</t>
  </si>
  <si>
    <t>Carbon oxides</t>
  </si>
  <si>
    <t>Water (Litres)</t>
  </si>
  <si>
    <t>Option</t>
  </si>
  <si>
    <t>Carbon offset expressed as number of mature trees planted</t>
  </si>
  <si>
    <t>**https://www3.epa.gov/ttnchie1/conference/ei20/session5/mmittal.pdf</t>
  </si>
  <si>
    <t>***http://breakingenergy.com/2014/03/24/infographic-water-used-by-power-plants/</t>
  </si>
  <si>
    <t>****http://www.arborenvironmentalalliance.com/carbon-tree-facts.asp</t>
  </si>
  <si>
    <t xml:space="preserve">*https://www.eia.gov
</t>
  </si>
  <si>
    <t>Capacity</t>
  </si>
  <si>
    <t>Total</t>
  </si>
  <si>
    <t>PROJECT INPUTS &amp; ASSUMPTIONS</t>
  </si>
  <si>
    <t>OUTPUT</t>
  </si>
  <si>
    <t>Institutional</t>
  </si>
  <si>
    <t>Apr-Sept</t>
  </si>
  <si>
    <t>Corporate</t>
  </si>
  <si>
    <t>No</t>
  </si>
  <si>
    <t>Oct-Mar</t>
  </si>
  <si>
    <t>Project Data</t>
  </si>
  <si>
    <t>Item</t>
  </si>
  <si>
    <t>Unit</t>
  </si>
  <si>
    <t xml:space="preserve">Value </t>
  </si>
  <si>
    <t>kWp</t>
  </si>
  <si>
    <t xml:space="preserve">System Size </t>
  </si>
  <si>
    <t>Project cost (excls. GST)</t>
  </si>
  <si>
    <t>INR/Wp</t>
  </si>
  <si>
    <r>
      <t xml:space="preserve">System cost </t>
    </r>
    <r>
      <rPr>
        <i/>
        <sz val="11"/>
        <color theme="1"/>
        <rFont val="Book Antiqua"/>
        <family val="1"/>
      </rPr>
      <t>(including GST)</t>
    </r>
  </si>
  <si>
    <t>Rs. Lacs</t>
  </si>
  <si>
    <t>Tax Calculation</t>
  </si>
  <si>
    <t xml:space="preserve">GST </t>
  </si>
  <si>
    <t>INR</t>
  </si>
  <si>
    <t>Things to note</t>
  </si>
  <si>
    <t>Old</t>
  </si>
  <si>
    <t>New</t>
  </si>
  <si>
    <t>Project Cost (incls. of GST)</t>
  </si>
  <si>
    <t>GST Input Credit</t>
  </si>
  <si>
    <t xml:space="preserve">The project cost in Cell D7 to be input is exclusive of GST cost. </t>
  </si>
  <si>
    <t>Project Life</t>
  </si>
  <si>
    <t>Years</t>
  </si>
  <si>
    <t>Net cost to client</t>
  </si>
  <si>
    <t xml:space="preserve">If you are giving AMC free for the 1st year, kindly modify the formula in the workingsaccodingly. </t>
  </si>
  <si>
    <t>Inverter Life</t>
  </si>
  <si>
    <t>AMC cost</t>
  </si>
  <si>
    <t>Rs. Lacs/year</t>
  </si>
  <si>
    <t xml:space="preserve">Please Select Yes/No in cell D16 in client is able to claim GST Input Credit. </t>
  </si>
  <si>
    <t>O&amp;M Cost</t>
  </si>
  <si>
    <t>INR/kWp</t>
  </si>
  <si>
    <t xml:space="preserve">Solar Units generated in the first year. </t>
  </si>
  <si>
    <t>Units / year</t>
  </si>
  <si>
    <t>`</t>
  </si>
  <si>
    <t>O&amp;M Escalation</t>
  </si>
  <si>
    <t>% p.a.</t>
  </si>
  <si>
    <t>Present Power tariff</t>
  </si>
  <si>
    <t>Rs/ unit</t>
  </si>
  <si>
    <t>Daily Generation</t>
  </si>
  <si>
    <t>kWh/kWp/day</t>
  </si>
  <si>
    <t>Avg. EB tariff increase</t>
  </si>
  <si>
    <t>Insurance</t>
  </si>
  <si>
    <t>Book value</t>
  </si>
  <si>
    <r>
      <t xml:space="preserve">Savings in Year 1 </t>
    </r>
    <r>
      <rPr>
        <i/>
        <sz val="11"/>
        <color theme="1"/>
        <rFont val="Book Antiqua"/>
        <family val="1"/>
      </rPr>
      <t>(post tax)</t>
    </r>
  </si>
  <si>
    <t>Equipment change</t>
  </si>
  <si>
    <t>Project cost</t>
  </si>
  <si>
    <t>Payback period</t>
  </si>
  <si>
    <t>Project life</t>
  </si>
  <si>
    <t>Inverter life</t>
  </si>
  <si>
    <t>Entity type</t>
  </si>
  <si>
    <t>Net savings over project life</t>
  </si>
  <si>
    <t>Additional depreciation (20%)</t>
  </si>
  <si>
    <t>Total units generated over project life</t>
  </si>
  <si>
    <t>Lac Units</t>
  </si>
  <si>
    <t>Commissioning period</t>
  </si>
  <si>
    <t>Project IRR - Post Tax</t>
  </si>
  <si>
    <t>Equity IRR - Post Tax</t>
  </si>
  <si>
    <t>Module Degradation</t>
  </si>
  <si>
    <t>Levalized cost of generation</t>
  </si>
  <si>
    <t>Rs / kWh</t>
  </si>
  <si>
    <t>Year 0</t>
  </si>
  <si>
    <t>*The above analysis is post tax and includes expenses expected to be incurred for operation of the solar project</t>
  </si>
  <si>
    <t>Year 1</t>
  </si>
  <si>
    <t>Year 2-11</t>
  </si>
  <si>
    <t>Year 12-25</t>
  </si>
  <si>
    <t>AD Benefit</t>
  </si>
  <si>
    <t>New Tax Applicable</t>
  </si>
  <si>
    <t>Depreciation Rate</t>
  </si>
  <si>
    <t>Tax Rate</t>
  </si>
  <si>
    <t>Disc. Rate (for NPV)</t>
  </si>
  <si>
    <t>EB Data</t>
  </si>
  <si>
    <t>Current Tariff</t>
  </si>
  <si>
    <t>INR/kWh</t>
  </si>
  <si>
    <t>EB Tariff Escalation</t>
  </si>
  <si>
    <t>Leverage</t>
  </si>
  <si>
    <t>Debt</t>
  </si>
  <si>
    <t>Interest rate</t>
  </si>
  <si>
    <t>Tenure</t>
  </si>
  <si>
    <t>years</t>
  </si>
  <si>
    <t>Value (with 40% AD)</t>
  </si>
  <si>
    <t>AD Benefit (Rs.)</t>
  </si>
  <si>
    <t>Corporate Depreciation (Rs.)</t>
  </si>
  <si>
    <t>Loan Calculator</t>
  </si>
  <si>
    <t>System Size</t>
  </si>
  <si>
    <t>Opening Val</t>
  </si>
  <si>
    <t>Depreciation</t>
  </si>
  <si>
    <t>WDV-Closing</t>
  </si>
  <si>
    <t>Closing WDV</t>
  </si>
  <si>
    <t>EMI</t>
  </si>
  <si>
    <t>Interest</t>
  </si>
  <si>
    <t>Principal</t>
  </si>
  <si>
    <t>Closing</t>
  </si>
  <si>
    <t>Check</t>
  </si>
  <si>
    <t>System cost</t>
  </si>
  <si>
    <t>Rs</t>
  </si>
  <si>
    <t>Tax benefit of depreciation (in year 0)</t>
  </si>
  <si>
    <t xml:space="preserve">Rs. </t>
  </si>
  <si>
    <t>Year 2</t>
  </si>
  <si>
    <t>Year 3</t>
  </si>
  <si>
    <t>AMC cost (For the 1st year)</t>
  </si>
  <si>
    <t>Rs/year</t>
  </si>
  <si>
    <t>Year 4</t>
  </si>
  <si>
    <t>Year 5</t>
  </si>
  <si>
    <t>p.a.</t>
  </si>
  <si>
    <t>Year 6</t>
  </si>
  <si>
    <t>Companies Act depreciation</t>
  </si>
  <si>
    <t>Year 7</t>
  </si>
  <si>
    <t>Avg. solar units generated</t>
  </si>
  <si>
    <t>units / year</t>
  </si>
  <si>
    <t>Year 8</t>
  </si>
  <si>
    <t>Year 9</t>
  </si>
  <si>
    <t>Year 10</t>
  </si>
  <si>
    <t>Rs. For 1st year</t>
  </si>
  <si>
    <t>Year 11</t>
  </si>
  <si>
    <t>Year 12</t>
  </si>
  <si>
    <t>Year 13</t>
  </si>
  <si>
    <t>Year 14</t>
  </si>
  <si>
    <t>Year 15</t>
  </si>
  <si>
    <t>units</t>
  </si>
  <si>
    <t>Year 16</t>
  </si>
  <si>
    <t>Cost of Generation (Post Tax)</t>
  </si>
  <si>
    <t>Rs / unit</t>
  </si>
  <si>
    <t>Year 17</t>
  </si>
  <si>
    <t>Project IRR</t>
  </si>
  <si>
    <t>Year 18</t>
  </si>
  <si>
    <t>Equity IRR</t>
  </si>
  <si>
    <t>Year 19</t>
  </si>
  <si>
    <t>Year 20</t>
  </si>
  <si>
    <t>Year 21</t>
  </si>
  <si>
    <t>Year 22</t>
  </si>
  <si>
    <t>Year 23</t>
  </si>
  <si>
    <t>Year 24</t>
  </si>
  <si>
    <t>Year 25</t>
  </si>
  <si>
    <t>OPEX COSTS</t>
  </si>
  <si>
    <t>Interest, Depreciation &amp; Tax Benefit</t>
  </si>
  <si>
    <t>Equity Returns</t>
  </si>
  <si>
    <t>Project Details</t>
  </si>
  <si>
    <t>Year</t>
  </si>
  <si>
    <t>Degradation</t>
  </si>
  <si>
    <t>Cum. Degradation</t>
  </si>
  <si>
    <t>Solar power generation</t>
  </si>
  <si>
    <t>EB tariff</t>
  </si>
  <si>
    <t>Grid cost</t>
  </si>
  <si>
    <t>Grid cost (Post Tax)</t>
  </si>
  <si>
    <t>AMC</t>
  </si>
  <si>
    <t>Equipment replacement</t>
  </si>
  <si>
    <t>Interest Cost on Loan</t>
  </si>
  <si>
    <t>Total Cost incurred</t>
  </si>
  <si>
    <t>Total Cost -  tax benefit</t>
  </si>
  <si>
    <t>Depreciation tax benefit</t>
  </si>
  <si>
    <t>GST Benefit</t>
  </si>
  <si>
    <t>Cost of Solar</t>
  </si>
  <si>
    <t>Net savings (post tax)</t>
  </si>
  <si>
    <t>Cum. Net savings</t>
  </si>
  <si>
    <t>Average Generation</t>
  </si>
  <si>
    <t>9 · FINANCIAL ANALYSIS (3.2) — CAPEX  UPDATE INPUT &amp; OUTPUT SHEET</t>
  </si>
  <si>
    <t>AUTOMATIC - Working Sheet</t>
  </si>
  <si>
    <t>AUTOMATIC - ENV</t>
  </si>
  <si>
    <t>AUTOMATIC - Input and Output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</si>
</sst>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₹&quot;\ #,##0.00;[Red]&quot;₹&quot;\ \-#,##0.00"/>
    <numFmt numFmtId="43" formatCode="_ * #,##0.00_ ;_ * \-#,##0.00_ ;_ * &quot;-&quot;??_ ;_ @_ "/>
    <numFmt numFmtId="164" formatCode="_ * #,##0_ ;_ * \-#,##0_ ;_ * &quot;-&quot;??_ ;_ @_ "/>
    <numFmt numFmtId="165" formatCode="0.000"/>
    <numFmt numFmtId="166" formatCode="_ * #,##0.00000_ ;_ * \-#,##0.00000_ ;_ * &quot;-&quot;??_ ;_ @_ "/>
    <numFmt numFmtId="167" formatCode="_(* #,##0.00_);_(* \(#,##0.00\);_(* &quot;-&quot;??_);_(@_)"/>
    <numFmt numFmtId="168" formatCode="0.0"/>
    <numFmt numFmtId="169" formatCode="0.0%"/>
    <numFmt numFmtId="170" formatCode="0.000%"/>
    <numFmt numFmtId="171" formatCode="0&quot; kWp&quot;"/>
  </numFmts>
  <fonts count="2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FFFFFF"/>
      <name val="Arial"/>
      <family val="2"/>
    </font>
    <font>
      <sz val="10"/>
      <color rgb="FFFFFFFF"/>
      <name val="Arial"/>
      <family val="2"/>
    </font>
    <font>
      <b/>
      <sz val="11"/>
      <color rgb="FFFFFFFF"/>
      <name val="Arial"/>
      <family val="2"/>
    </font>
    <font>
      <sz val="11"/>
      <color rgb="FF333333"/>
      <name val="Arial"/>
      <family val="2"/>
    </font>
    <font>
      <sz val="11"/>
      <color theme="1"/>
      <name val="Book Antiqua"/>
      <family val="1"/>
    </font>
    <font>
      <b/>
      <sz val="12"/>
      <color theme="1"/>
      <name val="Book Antiqua"/>
      <family val="1"/>
    </font>
    <font>
      <b/>
      <sz val="11"/>
      <color theme="1"/>
      <name val="Book Antiqua"/>
      <family val="1"/>
    </font>
    <font>
      <i/>
      <sz val="11"/>
      <color theme="1"/>
      <name val="Book Antiqua"/>
      <family val="1"/>
    </font>
    <font>
      <sz val="11"/>
      <color theme="1"/>
      <name val="Calibri"/>
      <family val="2"/>
      <charset val="1"/>
    </font>
    <font>
      <sz val="11"/>
      <name val="Arial"/>
      <family val="2"/>
    </font>
    <font>
      <sz val="11"/>
      <color theme="1"/>
      <name val="Book Antiqua"/>
      <family val="2"/>
    </font>
    <font>
      <b/>
      <sz val="11"/>
      <color theme="0" tint="-4.9989318521683403E-2"/>
      <name val="Book Antiqua"/>
      <family val="1"/>
    </font>
    <font>
      <b/>
      <sz val="11"/>
      <color theme="0"/>
      <name val="Book Antiqua"/>
      <family val="1"/>
    </font>
    <font>
      <b/>
      <i/>
      <sz val="11"/>
      <color theme="1"/>
      <name val="Book Antiqua"/>
      <family val="1"/>
    </font>
    <font>
      <sz val="11"/>
      <color rgb="FFFF0000"/>
      <name val="Book Antiqua"/>
      <family val="1"/>
    </font>
    <font>
      <sz val="11"/>
      <name val="Book Antiqua"/>
      <family val="1"/>
    </font>
    <font>
      <i/>
      <sz val="10"/>
      <color theme="1"/>
      <name val="Book Antiqua"/>
      <family val="1"/>
    </font>
  </fonts>
  <fills count="19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08A2B"/>
        <bgColor rgb="FFFF8080"/>
      </patternFill>
    </fill>
    <fill>
      <patternFill patternType="solid">
        <fgColor rgb="FFF2F2F2"/>
        <bgColor rgb="FFFFFCE0"/>
      </patternFill>
    </fill>
    <fill>
      <patternFill patternType="solid">
        <fgColor rgb="FFFFFCE0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CE0"/>
        <bgColor indexed="64"/>
      </patternFill>
    </fill>
    <fill>
      <patternFill patternType="solid">
        <fgColor rgb="FF4BC7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rgb="FFFFFCE0"/>
      </patternFill>
    </fill>
    <fill>
      <patternFill patternType="solid">
        <fgColor rgb="FFFF0000"/>
        <bgColor rgb="FF333333"/>
      </patternFill>
    </fill>
  </fills>
  <borders count="41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D9D9D9"/>
      </bottom>
      <diagonal/>
    </border>
    <border>
      <left/>
      <right/>
      <top style="medium">
        <color indexed="64"/>
      </top>
      <bottom style="thin">
        <color rgb="FFD9D9D9"/>
      </bottom>
      <diagonal/>
    </border>
    <border>
      <left/>
      <right style="medium">
        <color indexed="64"/>
      </right>
      <top style="medium">
        <color indexed="64"/>
      </top>
      <bottom style="thin">
        <color rgb="FFD9D9D9"/>
      </bottom>
      <diagonal/>
    </border>
    <border>
      <left style="medium">
        <color indexed="64"/>
      </left>
      <right/>
      <top/>
      <bottom style="thin">
        <color rgb="FFD9D9D9"/>
      </bottom>
      <diagonal/>
    </border>
    <border>
      <left/>
      <right style="medium">
        <color indexed="64"/>
      </right>
      <top/>
      <bottom style="thin">
        <color rgb="FFD9D9D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2">
    <xf numFmtId="0" fontId="0" fillId="0" borderId="0"/>
    <xf numFmtId="43" fontId="3" fillId="0" borderId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211">
    <xf numFmtId="0" fontId="0" fillId="0" borderId="0" xfId="0"/>
    <xf numFmtId="0" fontId="6" fillId="2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/>
    </xf>
    <xf numFmtId="0" fontId="8" fillId="0" borderId="0" xfId="2" applyFont="1" applyAlignment="1">
      <alignment vertical="center"/>
    </xf>
    <xf numFmtId="0" fontId="2" fillId="0" borderId="0" xfId="2" applyAlignment="1">
      <alignment vertical="center"/>
    </xf>
    <xf numFmtId="0" fontId="10" fillId="0" borderId="0" xfId="2" applyFont="1" applyAlignment="1">
      <alignment vertical="center"/>
    </xf>
    <xf numFmtId="164" fontId="8" fillId="0" borderId="0" xfId="2" applyNumberFormat="1" applyFont="1" applyAlignment="1">
      <alignment vertical="center"/>
    </xf>
    <xf numFmtId="0" fontId="8" fillId="0" borderId="5" xfId="2" applyFont="1" applyBorder="1" applyAlignment="1">
      <alignment vertical="center"/>
    </xf>
    <xf numFmtId="165" fontId="8" fillId="0" borderId="5" xfId="2" applyNumberFormat="1" applyFont="1" applyBorder="1" applyAlignment="1">
      <alignment vertical="center"/>
    </xf>
    <xf numFmtId="166" fontId="0" fillId="0" borderId="0" xfId="3" applyNumberFormat="1" applyFont="1" applyAlignment="1">
      <alignment vertical="center"/>
    </xf>
    <xf numFmtId="10" fontId="0" fillId="0" borderId="0" xfId="4" applyNumberFormat="1" applyFont="1" applyAlignment="1">
      <alignment vertical="center"/>
    </xf>
    <xf numFmtId="164" fontId="2" fillId="0" borderId="0" xfId="2" applyNumberFormat="1" applyAlignment="1">
      <alignment vertical="center"/>
    </xf>
    <xf numFmtId="9" fontId="0" fillId="0" borderId="0" xfId="4" applyFont="1" applyAlignment="1">
      <alignment vertical="center"/>
    </xf>
    <xf numFmtId="164" fontId="8" fillId="0" borderId="0" xfId="3" applyNumberFormat="1" applyFont="1" applyAlignment="1">
      <alignment vertical="center"/>
    </xf>
    <xf numFmtId="43" fontId="8" fillId="0" borderId="0" xfId="2" applyNumberFormat="1" applyFont="1" applyAlignment="1">
      <alignment vertical="center"/>
    </xf>
    <xf numFmtId="43" fontId="8" fillId="7" borderId="5" xfId="3" applyFont="1" applyFill="1" applyBorder="1" applyAlignment="1">
      <alignment vertical="center"/>
    </xf>
    <xf numFmtId="0" fontId="8" fillId="7" borderId="5" xfId="3" applyNumberFormat="1" applyFont="1" applyFill="1" applyBorder="1" applyAlignment="1">
      <alignment vertical="center"/>
    </xf>
    <xf numFmtId="164" fontId="8" fillId="0" borderId="5" xfId="3" applyNumberFormat="1" applyFont="1" applyFill="1" applyBorder="1" applyAlignment="1">
      <alignment vertical="center"/>
    </xf>
    <xf numFmtId="10" fontId="8" fillId="0" borderId="5" xfId="4" applyNumberFormat="1" applyFont="1" applyFill="1" applyBorder="1" applyAlignment="1">
      <alignment vertical="center"/>
    </xf>
    <xf numFmtId="0" fontId="2" fillId="0" borderId="0" xfId="2" applyAlignment="1">
      <alignment vertical="center" wrapText="1"/>
    </xf>
    <xf numFmtId="0" fontId="10" fillId="0" borderId="5" xfId="2" applyFont="1" applyBorder="1" applyAlignment="1">
      <alignment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0" xfId="2" applyFont="1" applyAlignment="1">
      <alignment vertical="center" wrapText="1"/>
    </xf>
    <xf numFmtId="164" fontId="8" fillId="0" borderId="5" xfId="3" applyNumberFormat="1" applyFont="1" applyBorder="1" applyAlignment="1">
      <alignment horizontal="center" vertical="center"/>
    </xf>
    <xf numFmtId="164" fontId="10" fillId="0" borderId="5" xfId="3" applyNumberFormat="1" applyFont="1" applyBorder="1" applyAlignment="1">
      <alignment vertical="center"/>
    </xf>
    <xf numFmtId="43" fontId="2" fillId="0" borderId="0" xfId="2" applyNumberFormat="1" applyAlignment="1">
      <alignment vertical="center"/>
    </xf>
    <xf numFmtId="0" fontId="11" fillId="0" borderId="0" xfId="2" applyFont="1" applyAlignment="1">
      <alignment vertical="center"/>
    </xf>
    <xf numFmtId="0" fontId="2" fillId="0" borderId="0" xfId="2"/>
    <xf numFmtId="43" fontId="2" fillId="0" borderId="0" xfId="2" applyNumberFormat="1"/>
    <xf numFmtId="164" fontId="13" fillId="8" borderId="1" xfId="1" applyNumberFormat="1" applyFont="1" applyFill="1" applyBorder="1" applyAlignment="1">
      <alignment horizontal="left" vertical="center"/>
    </xf>
    <xf numFmtId="0" fontId="8" fillId="0" borderId="0" xfId="9" applyFont="1" applyAlignment="1">
      <alignment vertical="top" wrapText="1"/>
    </xf>
    <xf numFmtId="0" fontId="8" fillId="0" borderId="7" xfId="9" applyFont="1" applyBorder="1" applyAlignment="1">
      <alignment vertical="top" wrapText="1"/>
    </xf>
    <xf numFmtId="0" fontId="8" fillId="0" borderId="8" xfId="9" applyFont="1" applyBorder="1" applyAlignment="1">
      <alignment vertical="top" wrapText="1"/>
    </xf>
    <xf numFmtId="0" fontId="8" fillId="0" borderId="9" xfId="9" applyFont="1" applyBorder="1" applyAlignment="1">
      <alignment vertical="top" wrapText="1"/>
    </xf>
    <xf numFmtId="0" fontId="8" fillId="0" borderId="10" xfId="9" applyFont="1" applyBorder="1" applyAlignment="1">
      <alignment vertical="top" wrapText="1"/>
    </xf>
    <xf numFmtId="0" fontId="15" fillId="0" borderId="0" xfId="9" applyFont="1" applyAlignment="1">
      <alignment vertical="center" wrapText="1"/>
    </xf>
    <xf numFmtId="0" fontId="8" fillId="0" borderId="14" xfId="9" applyFont="1" applyBorder="1" applyAlignment="1">
      <alignment vertical="top" wrapText="1"/>
    </xf>
    <xf numFmtId="0" fontId="8" fillId="0" borderId="0" xfId="9" applyFont="1" applyAlignment="1">
      <alignment vertical="top"/>
    </xf>
    <xf numFmtId="0" fontId="11" fillId="0" borderId="10" xfId="9" applyFont="1" applyBorder="1" applyAlignment="1">
      <alignment vertical="top" wrapText="1"/>
    </xf>
    <xf numFmtId="0" fontId="11" fillId="0" borderId="0" xfId="9" applyFont="1" applyAlignment="1">
      <alignment vertical="top" wrapText="1"/>
    </xf>
    <xf numFmtId="0" fontId="17" fillId="0" borderId="10" xfId="9" applyFont="1" applyBorder="1" applyAlignment="1">
      <alignment vertical="top" wrapText="1"/>
    </xf>
    <xf numFmtId="0" fontId="17" fillId="0" borderId="0" xfId="9" applyFont="1" applyAlignment="1">
      <alignment vertical="top" wrapText="1"/>
    </xf>
    <xf numFmtId="0" fontId="11" fillId="0" borderId="14" xfId="9" applyFont="1" applyBorder="1" applyAlignment="1">
      <alignment vertical="top" wrapText="1"/>
    </xf>
    <xf numFmtId="0" fontId="16" fillId="9" borderId="16" xfId="9" applyFont="1" applyFill="1" applyBorder="1" applyAlignment="1">
      <alignment vertical="center" wrapText="1"/>
    </xf>
    <xf numFmtId="0" fontId="16" fillId="9" borderId="16" xfId="9" applyFont="1" applyFill="1" applyBorder="1" applyAlignment="1">
      <alignment horizontal="center" vertical="center" wrapText="1"/>
    </xf>
    <xf numFmtId="0" fontId="16" fillId="9" borderId="16" xfId="9" applyFont="1" applyFill="1" applyBorder="1" applyAlignment="1">
      <alignment horizontal="right" vertical="center" wrapText="1"/>
    </xf>
    <xf numFmtId="0" fontId="8" fillId="0" borderId="5" xfId="9" applyFont="1" applyBorder="1" applyAlignment="1">
      <alignment vertical="top" wrapText="1"/>
    </xf>
    <xf numFmtId="43" fontId="18" fillId="10" borderId="5" xfId="10" applyFont="1" applyFill="1" applyBorder="1" applyAlignment="1">
      <alignment vertical="top" wrapText="1"/>
    </xf>
    <xf numFmtId="0" fontId="8" fillId="0" borderId="5" xfId="9" applyFont="1" applyBorder="1" applyAlignment="1">
      <alignment horizontal="center" vertical="top" wrapText="1"/>
    </xf>
    <xf numFmtId="0" fontId="8" fillId="0" borderId="17" xfId="9" applyFont="1" applyBorder="1" applyAlignment="1">
      <alignment vertical="top" wrapText="1"/>
    </xf>
    <xf numFmtId="0" fontId="8" fillId="0" borderId="18" xfId="9" applyFont="1" applyBorder="1" applyAlignment="1">
      <alignment horizontal="center" vertical="top" wrapText="1"/>
    </xf>
    <xf numFmtId="164" fontId="8" fillId="0" borderId="19" xfId="10" applyNumberFormat="1" applyFont="1" applyBorder="1" applyAlignment="1">
      <alignment vertical="top" wrapText="1"/>
    </xf>
    <xf numFmtId="164" fontId="8" fillId="0" borderId="14" xfId="10" applyNumberFormat="1" applyFont="1" applyFill="1" applyBorder="1" applyAlignment="1">
      <alignment vertical="top" wrapText="1"/>
    </xf>
    <xf numFmtId="164" fontId="8" fillId="0" borderId="0" xfId="9" applyNumberFormat="1" applyFont="1" applyAlignment="1">
      <alignment vertical="top" wrapText="1"/>
    </xf>
    <xf numFmtId="0" fontId="8" fillId="0" borderId="20" xfId="9" applyFont="1" applyBorder="1" applyAlignment="1">
      <alignment vertical="top" wrapText="1"/>
    </xf>
    <xf numFmtId="164" fontId="8" fillId="0" borderId="21" xfId="10" applyNumberFormat="1" applyFont="1" applyBorder="1" applyAlignment="1">
      <alignment vertical="top" wrapText="1"/>
    </xf>
    <xf numFmtId="1" fontId="8" fillId="0" borderId="0" xfId="9" applyNumberFormat="1" applyFont="1" applyAlignment="1">
      <alignment vertical="top" wrapText="1"/>
    </xf>
    <xf numFmtId="43" fontId="8" fillId="0" borderId="5" xfId="9" applyNumberFormat="1" applyFont="1" applyBorder="1" applyAlignment="1">
      <alignment vertical="top" wrapText="1"/>
    </xf>
    <xf numFmtId="43" fontId="8" fillId="0" borderId="21" xfId="10" applyFont="1" applyBorder="1" applyAlignment="1">
      <alignment vertical="top" wrapText="1"/>
    </xf>
    <xf numFmtId="43" fontId="8" fillId="0" borderId="14" xfId="10" applyFont="1" applyFill="1" applyBorder="1" applyAlignment="1">
      <alignment vertical="top" wrapText="1"/>
    </xf>
    <xf numFmtId="10" fontId="8" fillId="0" borderId="0" xfId="9" applyNumberFormat="1" applyFont="1" applyAlignment="1">
      <alignment vertical="top" wrapText="1"/>
    </xf>
    <xf numFmtId="0" fontId="18" fillId="0" borderId="5" xfId="9" applyFont="1" applyBorder="1" applyAlignment="1">
      <alignment vertical="top" wrapText="1"/>
    </xf>
    <xf numFmtId="0" fontId="10" fillId="0" borderId="20" xfId="9" applyFont="1" applyBorder="1" applyAlignment="1">
      <alignment vertical="top" wrapText="1"/>
    </xf>
    <xf numFmtId="43" fontId="10" fillId="0" borderId="21" xfId="10" applyFont="1" applyBorder="1" applyAlignment="1">
      <alignment vertical="top" wrapText="1"/>
    </xf>
    <xf numFmtId="43" fontId="10" fillId="0" borderId="14" xfId="10" applyFont="1" applyFill="1" applyBorder="1" applyAlignment="1">
      <alignment vertical="top" wrapText="1"/>
    </xf>
    <xf numFmtId="0" fontId="18" fillId="10" borderId="5" xfId="9" applyFont="1" applyFill="1" applyBorder="1" applyAlignment="1">
      <alignment vertical="top" wrapText="1"/>
    </xf>
    <xf numFmtId="169" fontId="18" fillId="0" borderId="5" xfId="9" applyNumberFormat="1" applyFont="1" applyBorder="1" applyAlignment="1">
      <alignment vertical="top" wrapText="1"/>
    </xf>
    <xf numFmtId="43" fontId="19" fillId="0" borderId="21" xfId="9" applyNumberFormat="1" applyFont="1" applyBorder="1" applyAlignment="1">
      <alignment vertical="top" wrapText="1"/>
    </xf>
    <xf numFmtId="43" fontId="19" fillId="0" borderId="14" xfId="9" applyNumberFormat="1" applyFont="1" applyBorder="1" applyAlignment="1">
      <alignment vertical="top" wrapText="1"/>
    </xf>
    <xf numFmtId="9" fontId="8" fillId="0" borderId="21" xfId="9" applyNumberFormat="1" applyFont="1" applyBorder="1" applyAlignment="1">
      <alignment vertical="top" wrapText="1"/>
    </xf>
    <xf numFmtId="9" fontId="8" fillId="0" borderId="14" xfId="9" applyNumberFormat="1" applyFont="1" applyBorder="1" applyAlignment="1">
      <alignment vertical="top" wrapText="1"/>
    </xf>
    <xf numFmtId="10" fontId="8" fillId="0" borderId="5" xfId="11" applyNumberFormat="1" applyFont="1" applyBorder="1" applyAlignment="1">
      <alignment vertical="top" wrapText="1"/>
    </xf>
    <xf numFmtId="9" fontId="8" fillId="0" borderId="5" xfId="9" applyNumberFormat="1" applyFont="1" applyBorder="1" applyAlignment="1">
      <alignment vertical="top" wrapText="1"/>
    </xf>
    <xf numFmtId="0" fontId="10" fillId="0" borderId="5" xfId="9" applyFont="1" applyBorder="1" applyAlignment="1">
      <alignment horizontal="center" vertical="top" wrapText="1"/>
    </xf>
    <xf numFmtId="0" fontId="18" fillId="10" borderId="5" xfId="9" applyFont="1" applyFill="1" applyBorder="1" applyAlignment="1">
      <alignment vertical="top"/>
    </xf>
    <xf numFmtId="2" fontId="8" fillId="0" borderId="0" xfId="9" applyNumberFormat="1" applyFont="1" applyAlignment="1">
      <alignment vertical="top" wrapText="1"/>
    </xf>
    <xf numFmtId="164" fontId="8" fillId="0" borderId="21" xfId="9" applyNumberFormat="1" applyFont="1" applyBorder="1" applyAlignment="1">
      <alignment vertical="top" wrapText="1"/>
    </xf>
    <xf numFmtId="164" fontId="8" fillId="0" borderId="14" xfId="9" applyNumberFormat="1" applyFont="1" applyBorder="1" applyAlignment="1">
      <alignment vertical="top" wrapText="1"/>
    </xf>
    <xf numFmtId="169" fontId="10" fillId="0" borderId="21" xfId="9" applyNumberFormat="1" applyFont="1" applyBorder="1" applyAlignment="1">
      <alignment vertical="top" wrapText="1"/>
    </xf>
    <xf numFmtId="169" fontId="10" fillId="0" borderId="14" xfId="9" applyNumberFormat="1" applyFont="1" applyBorder="1" applyAlignment="1">
      <alignment vertical="top" wrapText="1"/>
    </xf>
    <xf numFmtId="0" fontId="17" fillId="0" borderId="0" xfId="9" applyFont="1" applyAlignment="1">
      <alignment vertical="top"/>
    </xf>
    <xf numFmtId="0" fontId="8" fillId="0" borderId="0" xfId="9" applyFont="1" applyAlignment="1">
      <alignment horizontal="center" vertical="top" wrapText="1"/>
    </xf>
    <xf numFmtId="0" fontId="10" fillId="0" borderId="22" xfId="9" applyFont="1" applyBorder="1" applyAlignment="1">
      <alignment vertical="top" wrapText="1"/>
    </xf>
    <xf numFmtId="0" fontId="8" fillId="0" borderId="23" xfId="9" applyFont="1" applyBorder="1" applyAlignment="1">
      <alignment vertical="top" wrapText="1"/>
    </xf>
    <xf numFmtId="43" fontId="10" fillId="11" borderId="24" xfId="9" applyNumberFormat="1" applyFont="1" applyFill="1" applyBorder="1" applyAlignment="1">
      <alignment vertical="top" wrapText="1"/>
    </xf>
    <xf numFmtId="43" fontId="10" fillId="0" borderId="14" xfId="9" applyNumberFormat="1" applyFont="1" applyBorder="1" applyAlignment="1">
      <alignment vertical="top" wrapText="1"/>
    </xf>
    <xf numFmtId="9" fontId="18" fillId="0" borderId="5" xfId="9" applyNumberFormat="1" applyFont="1" applyBorder="1" applyAlignment="1">
      <alignment vertical="top" wrapText="1"/>
    </xf>
    <xf numFmtId="0" fontId="20" fillId="0" borderId="0" xfId="9" applyFont="1" applyAlignment="1">
      <alignment horizontal="left" vertical="top" wrapText="1"/>
    </xf>
    <xf numFmtId="169" fontId="18" fillId="0" borderId="0" xfId="9" applyNumberFormat="1" applyFont="1" applyAlignment="1">
      <alignment vertical="top" wrapText="1"/>
    </xf>
    <xf numFmtId="10" fontId="18" fillId="0" borderId="5" xfId="9" applyNumberFormat="1" applyFont="1" applyBorder="1" applyAlignment="1">
      <alignment vertical="top" wrapText="1"/>
    </xf>
    <xf numFmtId="10" fontId="8" fillId="0" borderId="14" xfId="11" applyNumberFormat="1" applyFont="1" applyBorder="1" applyAlignment="1">
      <alignment vertical="top" wrapText="1"/>
    </xf>
    <xf numFmtId="170" fontId="8" fillId="0" borderId="0" xfId="9" applyNumberFormat="1" applyFont="1" applyAlignment="1">
      <alignment vertical="top" wrapText="1"/>
    </xf>
    <xf numFmtId="10" fontId="8" fillId="0" borderId="14" xfId="9" applyNumberFormat="1" applyFont="1" applyBorder="1" applyAlignment="1">
      <alignment vertical="top" wrapText="1"/>
    </xf>
    <xf numFmtId="9" fontId="18" fillId="0" borderId="0" xfId="9" applyNumberFormat="1" applyFont="1" applyAlignment="1">
      <alignment vertical="top" wrapText="1"/>
    </xf>
    <xf numFmtId="169" fontId="8" fillId="11" borderId="5" xfId="9" applyNumberFormat="1" applyFont="1" applyFill="1" applyBorder="1" applyAlignment="1">
      <alignment vertical="top" wrapText="1"/>
    </xf>
    <xf numFmtId="0" fontId="8" fillId="0" borderId="25" xfId="9" applyFont="1" applyBorder="1" applyAlignment="1">
      <alignment vertical="top" wrapText="1"/>
    </xf>
    <xf numFmtId="0" fontId="8" fillId="0" borderId="26" xfId="9" applyFont="1" applyBorder="1" applyAlignment="1">
      <alignment vertical="top" wrapText="1"/>
    </xf>
    <xf numFmtId="0" fontId="8" fillId="0" borderId="27" xfId="9" applyFont="1" applyBorder="1" applyAlignment="1">
      <alignment vertical="top" wrapText="1"/>
    </xf>
    <xf numFmtId="0" fontId="10" fillId="0" borderId="0" xfId="9" applyFont="1" applyAlignment="1">
      <alignment vertical="top" wrapText="1"/>
    </xf>
    <xf numFmtId="0" fontId="10" fillId="12" borderId="5" xfId="9" applyFont="1" applyFill="1" applyBorder="1" applyAlignment="1">
      <alignment vertical="top" wrapText="1"/>
    </xf>
    <xf numFmtId="0" fontId="10" fillId="13" borderId="2" xfId="9" applyFont="1" applyFill="1" applyBorder="1" applyAlignment="1">
      <alignment vertical="top"/>
    </xf>
    <xf numFmtId="0" fontId="10" fillId="13" borderId="3" xfId="9" applyFont="1" applyFill="1" applyBorder="1" applyAlignment="1">
      <alignment vertical="top"/>
    </xf>
    <xf numFmtId="0" fontId="10" fillId="13" borderId="4" xfId="9" applyFont="1" applyFill="1" applyBorder="1" applyAlignment="1">
      <alignment vertical="top"/>
    </xf>
    <xf numFmtId="43" fontId="8" fillId="0" borderId="0" xfId="10" applyFont="1" applyAlignment="1">
      <alignment vertical="top" wrapText="1"/>
    </xf>
    <xf numFmtId="0" fontId="8" fillId="0" borderId="2" xfId="9" applyFont="1" applyBorder="1" applyAlignment="1">
      <alignment vertical="top" wrapText="1"/>
    </xf>
    <xf numFmtId="164" fontId="10" fillId="0" borderId="5" xfId="9" applyNumberFormat="1" applyFont="1" applyBorder="1" applyAlignment="1">
      <alignment vertical="top" wrapText="1"/>
    </xf>
    <xf numFmtId="164" fontId="10" fillId="0" borderId="4" xfId="9" applyNumberFormat="1" applyFont="1" applyBorder="1" applyAlignment="1">
      <alignment vertical="top" wrapText="1"/>
    </xf>
    <xf numFmtId="0" fontId="10" fillId="0" borderId="4" xfId="9" applyFont="1" applyBorder="1" applyAlignment="1">
      <alignment vertical="top" wrapText="1"/>
    </xf>
    <xf numFmtId="0" fontId="10" fillId="0" borderId="5" xfId="9" applyFont="1" applyBorder="1" applyAlignment="1">
      <alignment vertical="top" wrapText="1"/>
    </xf>
    <xf numFmtId="164" fontId="8" fillId="0" borderId="5" xfId="10" applyNumberFormat="1" applyFont="1" applyBorder="1" applyAlignment="1">
      <alignment vertical="top" wrapText="1"/>
    </xf>
    <xf numFmtId="0" fontId="8" fillId="0" borderId="28" xfId="9" applyFont="1" applyBorder="1" applyAlignment="1">
      <alignment vertical="top" wrapText="1"/>
    </xf>
    <xf numFmtId="164" fontId="8" fillId="0" borderId="29" xfId="9" applyNumberFormat="1" applyFont="1" applyBorder="1" applyAlignment="1">
      <alignment vertical="top" wrapText="1"/>
    </xf>
    <xf numFmtId="164" fontId="8" fillId="0" borderId="30" xfId="9" applyNumberFormat="1" applyFont="1" applyBorder="1" applyAlignment="1">
      <alignment vertical="top" wrapText="1"/>
    </xf>
    <xf numFmtId="164" fontId="8" fillId="0" borderId="23" xfId="10" applyNumberFormat="1" applyFont="1" applyBorder="1" applyAlignment="1">
      <alignment vertical="top" wrapText="1"/>
    </xf>
    <xf numFmtId="43" fontId="8" fillId="0" borderId="28" xfId="9" applyNumberFormat="1" applyFont="1" applyBorder="1" applyAlignment="1">
      <alignment vertical="top" wrapText="1"/>
    </xf>
    <xf numFmtId="0" fontId="8" fillId="0" borderId="29" xfId="9" applyFont="1" applyBorder="1" applyAlignment="1">
      <alignment vertical="top" wrapText="1"/>
    </xf>
    <xf numFmtId="164" fontId="8" fillId="0" borderId="29" xfId="10" applyNumberFormat="1" applyFont="1" applyBorder="1" applyAlignment="1">
      <alignment vertical="top" wrapText="1"/>
    </xf>
    <xf numFmtId="164" fontId="10" fillId="0" borderId="5" xfId="10" applyNumberFormat="1" applyFont="1" applyBorder="1" applyAlignment="1">
      <alignment vertical="top" wrapText="1"/>
    </xf>
    <xf numFmtId="43" fontId="10" fillId="0" borderId="0" xfId="10" applyFont="1" applyAlignment="1">
      <alignment vertical="top" wrapText="1"/>
    </xf>
    <xf numFmtId="164" fontId="8" fillId="0" borderId="0" xfId="10" applyNumberFormat="1" applyFont="1" applyAlignment="1">
      <alignment vertical="top" wrapText="1"/>
    </xf>
    <xf numFmtId="10" fontId="8" fillId="0" borderId="5" xfId="11" applyNumberFormat="1" applyFont="1" applyFill="1" applyBorder="1" applyAlignment="1">
      <alignment vertical="top" wrapText="1"/>
    </xf>
    <xf numFmtId="9" fontId="8" fillId="0" borderId="0" xfId="9" applyNumberFormat="1" applyFont="1" applyAlignment="1">
      <alignment vertical="top" wrapText="1"/>
    </xf>
    <xf numFmtId="43" fontId="19" fillId="0" borderId="5" xfId="9" applyNumberFormat="1" applyFont="1" applyBorder="1" applyAlignment="1">
      <alignment vertical="top" wrapText="1"/>
    </xf>
    <xf numFmtId="164" fontId="8" fillId="0" borderId="5" xfId="9" applyNumberFormat="1" applyFont="1" applyBorder="1" applyAlignment="1">
      <alignment vertical="top" wrapText="1"/>
    </xf>
    <xf numFmtId="43" fontId="10" fillId="0" borderId="5" xfId="10" applyFont="1" applyBorder="1" applyAlignment="1">
      <alignment vertical="top" wrapText="1"/>
    </xf>
    <xf numFmtId="43" fontId="8" fillId="0" borderId="0" xfId="9" applyNumberFormat="1" applyFont="1" applyAlignment="1">
      <alignment vertical="top" wrapText="1"/>
    </xf>
    <xf numFmtId="43" fontId="8" fillId="0" borderId="5" xfId="10" applyFont="1" applyBorder="1" applyAlignment="1">
      <alignment vertical="top" wrapText="1"/>
    </xf>
    <xf numFmtId="169" fontId="10" fillId="0" borderId="5" xfId="9" applyNumberFormat="1" applyFont="1" applyBorder="1" applyAlignment="1">
      <alignment vertical="top" wrapText="1"/>
    </xf>
    <xf numFmtId="0" fontId="11" fillId="0" borderId="0" xfId="9" applyFont="1" applyAlignment="1">
      <alignment vertical="top"/>
    </xf>
    <xf numFmtId="43" fontId="8" fillId="0" borderId="31" xfId="9" applyNumberFormat="1" applyFont="1" applyBorder="1" applyAlignment="1">
      <alignment vertical="top" wrapText="1"/>
    </xf>
    <xf numFmtId="164" fontId="8" fillId="0" borderId="18" xfId="9" applyNumberFormat="1" applyFont="1" applyBorder="1" applyAlignment="1">
      <alignment vertical="top" wrapText="1"/>
    </xf>
    <xf numFmtId="164" fontId="8" fillId="0" borderId="32" xfId="9" applyNumberFormat="1" applyFont="1" applyBorder="1" applyAlignment="1">
      <alignment vertical="top" wrapText="1"/>
    </xf>
    <xf numFmtId="0" fontId="8" fillId="0" borderId="18" xfId="9" applyFont="1" applyBorder="1" applyAlignment="1">
      <alignment vertical="top" wrapText="1"/>
    </xf>
    <xf numFmtId="164" fontId="8" fillId="0" borderId="18" xfId="10" applyNumberFormat="1" applyFont="1" applyBorder="1" applyAlignment="1">
      <alignment vertical="top" wrapText="1"/>
    </xf>
    <xf numFmtId="0" fontId="8" fillId="0" borderId="5" xfId="9" applyFont="1" applyBorder="1" applyAlignment="1">
      <alignment vertical="top"/>
    </xf>
    <xf numFmtId="0" fontId="8" fillId="0" borderId="3" xfId="9" applyFont="1" applyBorder="1" applyAlignment="1">
      <alignment vertical="top" wrapText="1"/>
    </xf>
    <xf numFmtId="164" fontId="8" fillId="0" borderId="3" xfId="10" applyNumberFormat="1" applyFont="1" applyBorder="1" applyAlignment="1">
      <alignment vertical="top" wrapText="1"/>
    </xf>
    <xf numFmtId="164" fontId="8" fillId="0" borderId="4" xfId="9" applyNumberFormat="1" applyFont="1" applyBorder="1" applyAlignment="1">
      <alignment vertical="top" wrapText="1"/>
    </xf>
    <xf numFmtId="43" fontId="10" fillId="0" borderId="16" xfId="9" applyNumberFormat="1" applyFont="1" applyBorder="1" applyAlignment="1">
      <alignment vertical="top" wrapText="1"/>
    </xf>
    <xf numFmtId="0" fontId="8" fillId="0" borderId="6" xfId="9" applyFont="1" applyBorder="1" applyAlignment="1">
      <alignment vertical="top"/>
    </xf>
    <xf numFmtId="0" fontId="8" fillId="0" borderId="6" xfId="9" applyFont="1" applyBorder="1" applyAlignment="1">
      <alignment vertical="top" wrapText="1"/>
    </xf>
    <xf numFmtId="164" fontId="8" fillId="0" borderId="6" xfId="10" applyNumberFormat="1" applyFont="1" applyBorder="1" applyAlignment="1">
      <alignment vertical="top" wrapText="1"/>
    </xf>
    <xf numFmtId="164" fontId="8" fillId="0" borderId="6" xfId="9" applyNumberFormat="1" applyFont="1" applyBorder="1" applyAlignment="1">
      <alignment vertical="top" wrapText="1"/>
    </xf>
    <xf numFmtId="8" fontId="8" fillId="0" borderId="0" xfId="9" applyNumberFormat="1" applyFont="1" applyAlignment="1">
      <alignment vertical="top" wrapText="1"/>
    </xf>
    <xf numFmtId="0" fontId="8" fillId="0" borderId="15" xfId="9" applyFont="1" applyBorder="1" applyAlignment="1">
      <alignment vertical="top" wrapText="1"/>
    </xf>
    <xf numFmtId="0" fontId="8" fillId="0" borderId="4" xfId="9" applyFont="1" applyBorder="1" applyAlignment="1">
      <alignment vertical="top" wrapText="1"/>
    </xf>
    <xf numFmtId="0" fontId="8" fillId="16" borderId="5" xfId="9" applyFont="1" applyFill="1" applyBorder="1" applyAlignment="1">
      <alignment vertical="top" wrapText="1"/>
    </xf>
    <xf numFmtId="0" fontId="8" fillId="16" borderId="3" xfId="9" applyFont="1" applyFill="1" applyBorder="1" applyAlignment="1">
      <alignment vertical="top" wrapText="1"/>
    </xf>
    <xf numFmtId="0" fontId="8" fillId="16" borderId="2" xfId="9" applyFont="1" applyFill="1" applyBorder="1" applyAlignment="1">
      <alignment vertical="top" wrapText="1"/>
    </xf>
    <xf numFmtId="14" fontId="8" fillId="0" borderId="0" xfId="9" applyNumberFormat="1" applyFont="1" applyAlignment="1">
      <alignment vertical="top" wrapText="1"/>
    </xf>
    <xf numFmtId="43" fontId="8" fillId="0" borderId="29" xfId="9" applyNumberFormat="1" applyFont="1" applyBorder="1" applyAlignment="1">
      <alignment vertical="top" wrapText="1"/>
    </xf>
    <xf numFmtId="0" fontId="8" fillId="0" borderId="30" xfId="9" applyFont="1" applyBorder="1" applyAlignment="1">
      <alignment vertical="top" wrapText="1"/>
    </xf>
    <xf numFmtId="10" fontId="18" fillId="0" borderId="30" xfId="11" applyNumberFormat="1" applyFont="1" applyBorder="1" applyAlignment="1">
      <alignment vertical="top" wrapText="1"/>
    </xf>
    <xf numFmtId="9" fontId="8" fillId="0" borderId="30" xfId="9" applyNumberFormat="1" applyFont="1" applyBorder="1" applyAlignment="1">
      <alignment vertical="top" wrapText="1"/>
    </xf>
    <xf numFmtId="43" fontId="8" fillId="0" borderId="30" xfId="10" applyFont="1" applyBorder="1" applyAlignment="1">
      <alignment vertical="top" wrapText="1"/>
    </xf>
    <xf numFmtId="164" fontId="8" fillId="0" borderId="30" xfId="10" applyNumberFormat="1" applyFont="1" applyBorder="1" applyAlignment="1">
      <alignment vertical="top" wrapText="1"/>
    </xf>
    <xf numFmtId="164" fontId="8" fillId="0" borderId="0" xfId="10" applyNumberFormat="1" applyFont="1" applyBorder="1" applyAlignment="1">
      <alignment vertical="top" wrapText="1"/>
    </xf>
    <xf numFmtId="169" fontId="8" fillId="0" borderId="30" xfId="9" applyNumberFormat="1" applyFont="1" applyBorder="1" applyAlignment="1">
      <alignment vertical="top" wrapText="1"/>
    </xf>
    <xf numFmtId="43" fontId="8" fillId="0" borderId="29" xfId="10" applyFont="1" applyBorder="1" applyAlignment="1">
      <alignment vertical="top" wrapText="1"/>
    </xf>
    <xf numFmtId="10" fontId="18" fillId="0" borderId="30" xfId="9" applyNumberFormat="1" applyFont="1" applyBorder="1" applyAlignment="1">
      <alignment vertical="top" wrapText="1"/>
    </xf>
    <xf numFmtId="10" fontId="8" fillId="0" borderId="30" xfId="9" applyNumberFormat="1" applyFont="1" applyBorder="1" applyAlignment="1">
      <alignment vertical="top" wrapText="1"/>
    </xf>
    <xf numFmtId="2" fontId="8" fillId="0" borderId="29" xfId="9" applyNumberFormat="1" applyFont="1" applyBorder="1" applyAlignment="1">
      <alignment vertical="top" wrapText="1"/>
    </xf>
    <xf numFmtId="164" fontId="8" fillId="0" borderId="3" xfId="9" applyNumberFormat="1" applyFont="1" applyBorder="1" applyAlignment="1">
      <alignment vertical="top" wrapText="1"/>
    </xf>
    <xf numFmtId="43" fontId="8" fillId="0" borderId="3" xfId="10" applyFont="1" applyBorder="1" applyAlignment="1">
      <alignment vertical="top" wrapText="1"/>
    </xf>
    <xf numFmtId="164" fontId="8" fillId="0" borderId="3" xfId="10" applyNumberFormat="1" applyFont="1" applyFill="1" applyBorder="1" applyAlignment="1">
      <alignment vertical="top" wrapText="1"/>
    </xf>
    <xf numFmtId="0" fontId="7" fillId="17" borderId="1" xfId="0" applyFont="1" applyFill="1" applyBorder="1" applyAlignment="1">
      <alignment horizontal="center" vertical="center"/>
    </xf>
    <xf numFmtId="9" fontId="7" fillId="5" borderId="1" xfId="5" applyFont="1" applyFill="1" applyBorder="1" applyAlignment="1">
      <alignment horizontal="left" vertical="center"/>
    </xf>
    <xf numFmtId="2" fontId="7" fillId="5" borderId="1" xfId="5" applyNumberFormat="1" applyFont="1" applyFill="1" applyBorder="1" applyAlignment="1">
      <alignment horizontal="left" vertical="center"/>
    </xf>
    <xf numFmtId="2" fontId="7" fillId="5" borderId="1" xfId="0" applyNumberFormat="1" applyFont="1" applyFill="1" applyBorder="1" applyAlignment="1">
      <alignment horizontal="left" vertical="center"/>
    </xf>
    <xf numFmtId="43" fontId="13" fillId="8" borderId="1" xfId="1" applyFont="1" applyFill="1" applyBorder="1" applyAlignment="1">
      <alignment horizontal="left" vertical="center"/>
    </xf>
    <xf numFmtId="168" fontId="7" fillId="5" borderId="1" xfId="0" applyNumberFormat="1" applyFont="1" applyFill="1" applyBorder="1" applyAlignment="1">
      <alignment horizontal="left" vertical="center"/>
    </xf>
    <xf numFmtId="43" fontId="7" fillId="5" borderId="1" xfId="0" applyNumberFormat="1" applyFont="1" applyFill="1" applyBorder="1" applyAlignment="1">
      <alignment horizontal="left" vertical="center"/>
    </xf>
    <xf numFmtId="171" fontId="7" fillId="5" borderId="1" xfId="0" applyNumberFormat="1" applyFont="1" applyFill="1" applyBorder="1" applyAlignment="1">
      <alignment horizontal="left" vertical="center"/>
    </xf>
    <xf numFmtId="0" fontId="7" fillId="4" borderId="33" xfId="0" applyFont="1" applyFill="1" applyBorder="1" applyAlignment="1">
      <alignment horizontal="center" vertical="center"/>
    </xf>
    <xf numFmtId="0" fontId="7" fillId="4" borderId="34" xfId="0" applyFont="1" applyFill="1" applyBorder="1" applyAlignment="1">
      <alignment horizontal="left" vertical="center" wrapText="1"/>
    </xf>
    <xf numFmtId="0" fontId="7" fillId="5" borderId="35" xfId="0" applyFont="1" applyFill="1" applyBorder="1" applyAlignment="1">
      <alignment horizontal="left" vertical="center"/>
    </xf>
    <xf numFmtId="0" fontId="7" fillId="4" borderId="36" xfId="0" applyFont="1" applyFill="1" applyBorder="1" applyAlignment="1">
      <alignment horizontal="center" vertical="center"/>
    </xf>
    <xf numFmtId="0" fontId="7" fillId="5" borderId="37" xfId="0" applyFont="1" applyFill="1" applyBorder="1" applyAlignment="1">
      <alignment horizontal="left" vertical="center"/>
    </xf>
    <xf numFmtId="0" fontId="7" fillId="4" borderId="38" xfId="0" applyFont="1" applyFill="1" applyBorder="1" applyAlignment="1">
      <alignment horizontal="center" vertical="center"/>
    </xf>
    <xf numFmtId="0" fontId="7" fillId="4" borderId="39" xfId="0" applyFont="1" applyFill="1" applyBorder="1" applyAlignment="1">
      <alignment horizontal="left" vertical="center" wrapText="1"/>
    </xf>
    <xf numFmtId="0" fontId="7" fillId="5" borderId="4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18" borderId="0" xfId="0" applyFont="1" applyFill="1" applyAlignment="1">
      <alignment horizontal="left" vertical="center"/>
    </xf>
    <xf numFmtId="0" fontId="9" fillId="6" borderId="2" xfId="2" applyFont="1" applyFill="1" applyBorder="1" applyAlignment="1">
      <alignment horizontal="left" vertical="center"/>
    </xf>
    <xf numFmtId="0" fontId="9" fillId="6" borderId="3" xfId="2" applyFont="1" applyFill="1" applyBorder="1" applyAlignment="1">
      <alignment horizontal="left" vertical="center"/>
    </xf>
    <xf numFmtId="0" fontId="9" fillId="6" borderId="4" xfId="2" applyFont="1" applyFill="1" applyBorder="1" applyAlignment="1">
      <alignment horizontal="left" vertical="center"/>
    </xf>
    <xf numFmtId="0" fontId="11" fillId="0" borderId="6" xfId="2" applyFont="1" applyBorder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5" fillId="9" borderId="0" xfId="9" applyFont="1" applyFill="1" applyAlignment="1">
      <alignment horizontal="center" vertical="center" wrapText="1"/>
    </xf>
    <xf numFmtId="0" fontId="16" fillId="9" borderId="11" xfId="9" applyFont="1" applyFill="1" applyBorder="1" applyAlignment="1">
      <alignment horizontal="center" vertical="center" wrapText="1"/>
    </xf>
    <xf numFmtId="0" fontId="16" fillId="9" borderId="12" xfId="9" applyFont="1" applyFill="1" applyBorder="1" applyAlignment="1">
      <alignment horizontal="center" vertical="center" wrapText="1"/>
    </xf>
    <xf numFmtId="0" fontId="16" fillId="9" borderId="13" xfId="9" applyFont="1" applyFill="1" applyBorder="1" applyAlignment="1">
      <alignment horizontal="center" vertical="center" wrapText="1"/>
    </xf>
    <xf numFmtId="0" fontId="16" fillId="9" borderId="15" xfId="9" applyFont="1" applyFill="1" applyBorder="1" applyAlignment="1">
      <alignment horizontal="center" vertical="center" wrapText="1"/>
    </xf>
    <xf numFmtId="0" fontId="20" fillId="0" borderId="8" xfId="9" applyFont="1" applyBorder="1" applyAlignment="1">
      <alignment horizontal="center" vertical="top" wrapText="1"/>
    </xf>
    <xf numFmtId="0" fontId="20" fillId="0" borderId="0" xfId="9" applyFont="1" applyAlignment="1">
      <alignment horizontal="center" vertical="top" wrapText="1"/>
    </xf>
    <xf numFmtId="0" fontId="8" fillId="16" borderId="5" xfId="9" applyFont="1" applyFill="1" applyBorder="1" applyAlignment="1">
      <alignment horizontal="center" vertical="top"/>
    </xf>
    <xf numFmtId="0" fontId="10" fillId="13" borderId="2" xfId="9" applyFont="1" applyFill="1" applyBorder="1" applyAlignment="1">
      <alignment horizontal="center" vertical="top"/>
    </xf>
    <xf numFmtId="0" fontId="10" fillId="13" borderId="3" xfId="9" applyFont="1" applyFill="1" applyBorder="1" applyAlignment="1">
      <alignment horizontal="center" vertical="top"/>
    </xf>
    <xf numFmtId="0" fontId="10" fillId="13" borderId="4" xfId="9" applyFont="1" applyFill="1" applyBorder="1" applyAlignment="1">
      <alignment horizontal="center" vertical="top"/>
    </xf>
    <xf numFmtId="164" fontId="19" fillId="14" borderId="2" xfId="9" applyNumberFormat="1" applyFont="1" applyFill="1" applyBorder="1" applyAlignment="1">
      <alignment horizontal="center" vertical="top" wrapText="1"/>
    </xf>
    <xf numFmtId="164" fontId="19" fillId="14" borderId="3" xfId="9" applyNumberFormat="1" applyFont="1" applyFill="1" applyBorder="1" applyAlignment="1">
      <alignment horizontal="center" vertical="top" wrapText="1"/>
    </xf>
    <xf numFmtId="164" fontId="19" fillId="14" borderId="4" xfId="9" applyNumberFormat="1" applyFont="1" applyFill="1" applyBorder="1" applyAlignment="1">
      <alignment horizontal="center" vertical="top" wrapText="1"/>
    </xf>
    <xf numFmtId="164" fontId="19" fillId="15" borderId="2" xfId="9" applyNumberFormat="1" applyFont="1" applyFill="1" applyBorder="1" applyAlignment="1">
      <alignment horizontal="center" vertical="top" wrapText="1"/>
    </xf>
    <xf numFmtId="164" fontId="19" fillId="15" borderId="3" xfId="9" applyNumberFormat="1" applyFont="1" applyFill="1" applyBorder="1" applyAlignment="1">
      <alignment horizontal="center" vertical="top" wrapText="1"/>
    </xf>
    <xf numFmtId="164" fontId="19" fillId="15" borderId="4" xfId="9" applyNumberFormat="1" applyFont="1" applyFill="1" applyBorder="1" applyAlignment="1">
      <alignment horizontal="center" vertical="top" wrapText="1"/>
    </xf>
    <xf numFmtId="0" fontId="8" fillId="15" borderId="15" xfId="9" applyFont="1" applyFill="1" applyBorder="1" applyAlignment="1">
      <alignment horizontal="center" vertical="top" wrapText="1"/>
    </xf>
    <xf numFmtId="0" fontId="8" fillId="15" borderId="32" xfId="9" applyFont="1" applyFill="1" applyBorder="1" applyAlignment="1">
      <alignment horizontal="center" vertical="top" wrapText="1"/>
    </xf>
  </cellXfs>
  <cellStyles count="12">
    <cellStyle name="Comma" xfId="1" builtinId="3"/>
    <cellStyle name="Comma 2" xfId="3" xr:uid="{29035311-DEF5-44F1-9350-4F8BF0DE1FC4}"/>
    <cellStyle name="Comma 3" xfId="7" xr:uid="{CE575E92-06E0-465E-BDF3-AA464ACD5028}"/>
    <cellStyle name="Comma 4" xfId="10" xr:uid="{437553FB-081A-47FD-88F6-9E4159016B0F}"/>
    <cellStyle name="Normal" xfId="0" builtinId="0"/>
    <cellStyle name="Normal 2" xfId="2" xr:uid="{99C722A2-D7F6-4E77-A9B1-F52A31ECE293}"/>
    <cellStyle name="Normal 3" xfId="6" xr:uid="{B999F2C5-C011-4F18-8F28-298DD18E0999}"/>
    <cellStyle name="Normal 4" xfId="9" xr:uid="{438896CE-6A38-4E3C-BFE9-374EBFC5125E}"/>
    <cellStyle name="Percent" xfId="5" builtinId="5"/>
    <cellStyle name="Percent 2" xfId="4" xr:uid="{F530F862-3CC6-434A-A7BA-6144D765283B}"/>
    <cellStyle name="Percent 3" xfId="8" xr:uid="{B08BDAAD-B4FF-4308-BEB4-A280FB6B1A39}"/>
    <cellStyle name="Percent 4" xfId="11" xr:uid="{F0173A49-01EB-48AE-A3EF-CDA4D9773AF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CE0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08A2B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C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Site%20Survey%20Form_Bidcell%20BOM_R1.xlsx" TargetMode="External"/><Relationship Id="rId2" Type="http://schemas.openxmlformats.org/officeDocument/2006/relationships/externalLinkPath" Target="file:///D:\Procedure-SOPs\Harshal%20Modified%20Docs\Site%20Survey%20Form_Bidcell%20BOM_R1.xlsx" TargetMode="External"/><Relationship Id="rId1" Type="http://schemas.openxmlformats.org/officeDocument/2006/relationships/externalLinkPath" Target="/Users/Carl%20Aaron/Downloads/Site%20Survey%20Form_Bidcell%20BOM_R1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Danfoss%20Industries_Chennai_LTBOM%20(3).xlsx" TargetMode="External"/><Relationship Id="rId2" Type="http://schemas.openxmlformats.org/officeDocument/2006/relationships/externalLinkPath" Target="file:///C:\Users\Carl%20Aaron\Downloads\Danfoss%20Industries_Chennai_LTBOM%20(3).xlsx" TargetMode="External"/><Relationship Id="rId1" Type="http://schemas.openxmlformats.org/officeDocument/2006/relationships/externalLinkPath" Target="/Users/Carl%20Aaron/Downloads/Danfoss%20Industries_Chennai_LTBOM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ite visit request Form (BD)"/>
      <sheetName val="Bill Analysis"/>
      <sheetName val="Consumption analysis (BD)"/>
      <sheetName val="ESG (Design)"/>
      <sheetName val="Input's from Site Visit"/>
      <sheetName val="Site Vist format  (Design)"/>
      <sheetName val="Input from Initial Design"/>
      <sheetName val="Cable Calcualtion"/>
      <sheetName val="Bidcell BOM (LTS)"/>
      <sheetName val="OPEX Savings Sheet"/>
      <sheetName val="CAPEX Savings Sheet"/>
      <sheetName val="Summary Sheet"/>
      <sheetName val="Environmental Benefits"/>
      <sheetName val="CE Sheet"/>
      <sheetName val="CAPEX sheet working"/>
      <sheetName val="Item's Make"/>
    </sheetNames>
    <sheetDataSet>
      <sheetData sheetId="0"/>
      <sheetData sheetId="1"/>
      <sheetData sheetId="2">
        <row r="25">
          <cell r="E25" t="e">
            <v>#DIV/0!</v>
          </cell>
        </row>
      </sheetData>
      <sheetData sheetId="3"/>
      <sheetData sheetId="4"/>
      <sheetData sheetId="5"/>
      <sheetData sheetId="6"/>
      <sheetData sheetId="7"/>
      <sheetData sheetId="8">
        <row r="15">
          <cell r="B15" t="e">
            <v>#DIV/0!</v>
          </cell>
        </row>
      </sheetData>
      <sheetData sheetId="9">
        <row r="10">
          <cell r="D10">
            <v>0</v>
          </cell>
        </row>
        <row r="11">
          <cell r="D11">
            <v>4.3</v>
          </cell>
          <cell r="I11">
            <v>0.95</v>
          </cell>
        </row>
        <row r="12">
          <cell r="D12">
            <v>0</v>
          </cell>
        </row>
      </sheetData>
      <sheetData sheetId="10">
        <row r="8">
          <cell r="D8" t="e">
            <v>#DIV/0!</v>
          </cell>
        </row>
        <row r="12">
          <cell r="D12">
            <v>650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put's from BD(Sales)"/>
      <sheetName val="Consumption analysis (BD)"/>
      <sheetName val="Input's from Site Visit"/>
      <sheetName val="Site Vist fomat  (Design)"/>
      <sheetName val="Input's from Initial Design"/>
      <sheetName val="Cable Calcualtion"/>
      <sheetName val="Budgetary Shed"/>
      <sheetName val="Budgetory RCC"/>
      <sheetName val="Budgetory Ground"/>
      <sheetName val="Budgetory Parking"/>
      <sheetName val="Bidcell BOM (LTS)"/>
      <sheetName val="OPEX Savings Sheet"/>
      <sheetName val="Capex-Ebitda Sheet"/>
      <sheetName val="Environmental Benefits"/>
      <sheetName val="Buyout values"/>
      <sheetName val="Sheet3"/>
      <sheetName val="Sheet2"/>
      <sheetName val="Item's Make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2"/>
  <sheetViews>
    <sheetView tabSelected="1" zoomScaleNormal="100" workbookViewId="0">
      <selection activeCell="C5" sqref="C5"/>
    </sheetView>
  </sheetViews>
  <sheetFormatPr defaultColWidth="8.6640625" defaultRowHeight="14.4" x14ac:dyDescent="0.3"/>
  <cols>
    <col min="1" max="1" width="9" customWidth="1"/>
    <col min="2" max="2" width="52" customWidth="1"/>
    <col min="3" max="3" width="36" customWidth="1"/>
    <col min="4" max="4" width="44" customWidth="1"/>
    <col min="5" max="5" width="47.6640625" customWidth="1"/>
    <col min="6" max="6" width="12.44140625" customWidth="1"/>
  </cols>
  <sheetData>
    <row r="1" spans="1:6" ht="17.399999999999999" x14ac:dyDescent="0.3">
      <c r="A1" s="183" t="s">
        <v>0</v>
      </c>
      <c r="B1" s="183"/>
      <c r="C1" s="183"/>
      <c r="D1" s="183"/>
      <c r="E1" s="183"/>
      <c r="F1" s="183"/>
    </row>
    <row r="2" spans="1:6" ht="18.600000000000001" customHeight="1" x14ac:dyDescent="0.3">
      <c r="A2" s="184" t="s">
        <v>1</v>
      </c>
      <c r="B2" s="184"/>
      <c r="C2" s="184"/>
      <c r="D2" s="184"/>
      <c r="E2" s="184"/>
      <c r="F2" s="184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185" t="s">
        <v>8</v>
      </c>
      <c r="B4" s="185"/>
      <c r="C4" s="185"/>
      <c r="D4" s="185"/>
      <c r="E4" s="185"/>
      <c r="F4" s="185"/>
    </row>
    <row r="5" spans="1:6" x14ac:dyDescent="0.3">
      <c r="A5" s="2" t="s">
        <v>9</v>
      </c>
      <c r="B5" s="3" t="s">
        <v>10</v>
      </c>
      <c r="C5" s="174"/>
      <c r="D5" s="3" t="s">
        <v>11</v>
      </c>
      <c r="E5" s="2" t="s">
        <v>12</v>
      </c>
      <c r="F5" s="2" t="s">
        <v>13</v>
      </c>
    </row>
    <row r="6" spans="1:6" x14ac:dyDescent="0.3">
      <c r="A6" s="2" t="s">
        <v>14</v>
      </c>
      <c r="B6" s="3" t="s">
        <v>15</v>
      </c>
      <c r="C6" s="4" t="s">
        <v>16</v>
      </c>
      <c r="D6" s="3" t="s">
        <v>17</v>
      </c>
      <c r="E6" s="2" t="s">
        <v>12</v>
      </c>
      <c r="F6" s="2" t="s">
        <v>18</v>
      </c>
    </row>
    <row r="7" spans="1:6" x14ac:dyDescent="0.3">
      <c r="A7" s="2" t="s">
        <v>19</v>
      </c>
      <c r="B7" s="3" t="s">
        <v>20</v>
      </c>
      <c r="C7" s="31"/>
      <c r="D7" s="3" t="s">
        <v>21</v>
      </c>
      <c r="E7" s="167" t="s">
        <v>686</v>
      </c>
      <c r="F7" s="2" t="s">
        <v>22</v>
      </c>
    </row>
    <row r="8" spans="1:6" x14ac:dyDescent="0.3">
      <c r="A8" s="2" t="s">
        <v>23</v>
      </c>
      <c r="B8" s="3" t="s">
        <v>24</v>
      </c>
      <c r="C8" s="4"/>
      <c r="D8" s="3" t="s">
        <v>25</v>
      </c>
      <c r="E8" s="2" t="s">
        <v>12</v>
      </c>
      <c r="F8" s="2" t="s">
        <v>26</v>
      </c>
    </row>
    <row r="9" spans="1:6" x14ac:dyDescent="0.3">
      <c r="A9" s="2" t="s">
        <v>27</v>
      </c>
      <c r="B9" s="3" t="s">
        <v>28</v>
      </c>
      <c r="C9" s="4" t="s">
        <v>29</v>
      </c>
      <c r="D9" s="3" t="s">
        <v>29</v>
      </c>
      <c r="E9" s="2" t="s">
        <v>12</v>
      </c>
      <c r="F9" s="2" t="s">
        <v>26</v>
      </c>
    </row>
    <row r="10" spans="1:6" x14ac:dyDescent="0.3">
      <c r="A10" s="2" t="s">
        <v>30</v>
      </c>
      <c r="B10" s="3" t="s">
        <v>31</v>
      </c>
      <c r="C10" s="4" t="s">
        <v>32</v>
      </c>
      <c r="D10" s="3" t="s">
        <v>33</v>
      </c>
      <c r="E10" s="2" t="s">
        <v>12</v>
      </c>
      <c r="F10" s="2" t="s">
        <v>26</v>
      </c>
    </row>
    <row r="11" spans="1:6" x14ac:dyDescent="0.3">
      <c r="A11" s="2" t="s">
        <v>34</v>
      </c>
      <c r="B11" s="3" t="s">
        <v>35</v>
      </c>
      <c r="C11" s="4" t="s">
        <v>36</v>
      </c>
      <c r="D11" s="3" t="s">
        <v>36</v>
      </c>
      <c r="E11" s="2" t="s">
        <v>12</v>
      </c>
      <c r="F11" s="2" t="s">
        <v>26</v>
      </c>
    </row>
    <row r="12" spans="1:6" x14ac:dyDescent="0.3">
      <c r="A12" s="2" t="s">
        <v>37</v>
      </c>
      <c r="B12" s="3" t="s">
        <v>38</v>
      </c>
      <c r="C12" s="4" t="s">
        <v>39</v>
      </c>
      <c r="D12" s="3" t="s">
        <v>40</v>
      </c>
      <c r="E12" s="2" t="s">
        <v>12</v>
      </c>
      <c r="F12" s="2" t="s">
        <v>26</v>
      </c>
    </row>
    <row r="13" spans="1:6" x14ac:dyDescent="0.3">
      <c r="A13" s="2" t="s">
        <v>41</v>
      </c>
      <c r="B13" s="3" t="s">
        <v>42</v>
      </c>
      <c r="C13" s="4" t="s">
        <v>43</v>
      </c>
      <c r="D13" s="3" t="s">
        <v>44</v>
      </c>
      <c r="E13" s="2" t="s">
        <v>12</v>
      </c>
      <c r="F13" s="2" t="s">
        <v>26</v>
      </c>
    </row>
    <row r="14" spans="1:6" x14ac:dyDescent="0.3">
      <c r="A14" s="2" t="s">
        <v>45</v>
      </c>
      <c r="B14" s="3" t="s">
        <v>46</v>
      </c>
      <c r="C14" s="173">
        <f>C139/10000000</f>
        <v>0</v>
      </c>
      <c r="D14" s="3" t="s">
        <v>47</v>
      </c>
      <c r="E14" s="167" t="s">
        <v>684</v>
      </c>
      <c r="F14" s="2" t="s">
        <v>26</v>
      </c>
    </row>
    <row r="15" spans="1:6" x14ac:dyDescent="0.3">
      <c r="A15" s="2" t="s">
        <v>48</v>
      </c>
      <c r="B15" s="3" t="s">
        <v>49</v>
      </c>
      <c r="C15" s="4" t="s">
        <v>50</v>
      </c>
      <c r="D15" s="3" t="s">
        <v>50</v>
      </c>
      <c r="E15" s="2" t="s">
        <v>12</v>
      </c>
      <c r="F15" s="2" t="s">
        <v>26</v>
      </c>
    </row>
    <row r="16" spans="1:6" x14ac:dyDescent="0.3">
      <c r="A16" s="2" t="s">
        <v>51</v>
      </c>
      <c r="B16" s="3" t="s">
        <v>52</v>
      </c>
      <c r="C16" s="4" t="s">
        <v>53</v>
      </c>
      <c r="D16" s="3" t="s">
        <v>53</v>
      </c>
      <c r="E16" s="2" t="s">
        <v>12</v>
      </c>
      <c r="F16" s="2" t="s">
        <v>26</v>
      </c>
    </row>
    <row r="17" spans="1:6" x14ac:dyDescent="0.3">
      <c r="A17" s="2" t="s">
        <v>54</v>
      </c>
      <c r="B17" s="3" t="s">
        <v>55</v>
      </c>
      <c r="C17" s="172"/>
      <c r="D17" s="3" t="s">
        <v>56</v>
      </c>
      <c r="E17" s="167" t="s">
        <v>684</v>
      </c>
      <c r="F17" s="2" t="s">
        <v>26</v>
      </c>
    </row>
    <row r="18" spans="1:6" x14ac:dyDescent="0.3">
      <c r="A18" s="2" t="s">
        <v>57</v>
      </c>
      <c r="B18" s="3" t="s">
        <v>58</v>
      </c>
      <c r="C18" s="173">
        <f>C156/100</f>
        <v>6.9797713167095035</v>
      </c>
      <c r="D18" s="3" t="s">
        <v>59</v>
      </c>
      <c r="E18" s="167" t="s">
        <v>684</v>
      </c>
      <c r="F18" s="2" t="s">
        <v>26</v>
      </c>
    </row>
    <row r="19" spans="1:6" x14ac:dyDescent="0.3">
      <c r="A19" s="2" t="s">
        <v>60</v>
      </c>
      <c r="B19" s="3" t="s">
        <v>61</v>
      </c>
      <c r="C19" s="31" t="e">
        <f>'Environmental Benefits (2)'!F17</f>
        <v>#DIV/0!</v>
      </c>
      <c r="D19" s="3" t="s">
        <v>62</v>
      </c>
      <c r="E19" s="167" t="s">
        <v>685</v>
      </c>
      <c r="F19" s="2" t="s">
        <v>26</v>
      </c>
    </row>
    <row r="20" spans="1:6" x14ac:dyDescent="0.3">
      <c r="A20" s="2" t="s">
        <v>63</v>
      </c>
      <c r="B20" s="3" t="s">
        <v>64</v>
      </c>
      <c r="C20" s="4" t="s">
        <v>65</v>
      </c>
      <c r="D20" s="3" t="s">
        <v>66</v>
      </c>
      <c r="E20" s="2" t="s">
        <v>67</v>
      </c>
      <c r="F20" s="2" t="s">
        <v>26</v>
      </c>
    </row>
    <row r="21" spans="1:6" x14ac:dyDescent="0.3">
      <c r="A21" s="2" t="s">
        <v>68</v>
      </c>
      <c r="B21" s="3" t="s">
        <v>69</v>
      </c>
      <c r="C21" s="4" t="str">
        <f ca="1">DAY(TODAY())&amp;IF(AND(DAY(TODAY())&gt;=11,DAY(TODAY())&lt;=13),"th",CHOOSE(MIN(5,MOD(DAY(TODAY()),10)+1),"th","st","nd","rd","th"))&amp;" "&amp;TEXT(TODAY(),"mmmm yyyy")</f>
        <v>10th August 2026</v>
      </c>
      <c r="D21" s="3" t="s">
        <v>70</v>
      </c>
      <c r="E21" s="167" t="s">
        <v>71</v>
      </c>
      <c r="F21" s="2" t="s">
        <v>26</v>
      </c>
    </row>
    <row r="22" spans="1:6" x14ac:dyDescent="0.3">
      <c r="A22" s="2" t="s">
        <v>72</v>
      </c>
      <c r="B22" s="3" t="s">
        <v>73</v>
      </c>
      <c r="C22" s="4" t="s">
        <v>74</v>
      </c>
      <c r="D22" s="3" t="s">
        <v>74</v>
      </c>
      <c r="E22" s="2" t="s">
        <v>67</v>
      </c>
      <c r="F22" s="2" t="s">
        <v>26</v>
      </c>
    </row>
    <row r="23" spans="1:6" x14ac:dyDescent="0.3">
      <c r="A23" s="185" t="s">
        <v>75</v>
      </c>
      <c r="B23" s="185"/>
      <c r="C23" s="185"/>
      <c r="D23" s="185"/>
      <c r="E23" s="185"/>
      <c r="F23" s="185"/>
    </row>
    <row r="24" spans="1:6" x14ac:dyDescent="0.3">
      <c r="A24" s="2" t="s">
        <v>76</v>
      </c>
      <c r="B24" s="3" t="s">
        <v>77</v>
      </c>
      <c r="C24" s="4"/>
      <c r="D24" s="3" t="s">
        <v>78</v>
      </c>
      <c r="E24" s="2" t="s">
        <v>12</v>
      </c>
      <c r="F24" s="2" t="s">
        <v>79</v>
      </c>
    </row>
    <row r="25" spans="1:6" x14ac:dyDescent="0.3">
      <c r="A25" s="2" t="s">
        <v>80</v>
      </c>
      <c r="B25" s="3" t="s">
        <v>81</v>
      </c>
      <c r="C25" s="4"/>
      <c r="D25" s="3" t="s">
        <v>82</v>
      </c>
      <c r="E25" s="2" t="s">
        <v>12</v>
      </c>
      <c r="F25" s="2" t="s">
        <v>79</v>
      </c>
    </row>
    <row r="26" spans="1:6" x14ac:dyDescent="0.3">
      <c r="A26" s="2" t="s">
        <v>83</v>
      </c>
      <c r="B26" s="3" t="s">
        <v>84</v>
      </c>
      <c r="C26" s="4"/>
      <c r="D26" s="3" t="s">
        <v>85</v>
      </c>
      <c r="E26" s="2" t="s">
        <v>12</v>
      </c>
      <c r="F26" s="2" t="s">
        <v>86</v>
      </c>
    </row>
    <row r="27" spans="1:6" x14ac:dyDescent="0.3">
      <c r="A27" s="2" t="s">
        <v>87</v>
      </c>
      <c r="B27" s="3" t="s">
        <v>88</v>
      </c>
      <c r="C27" s="4"/>
      <c r="D27" s="3" t="s">
        <v>89</v>
      </c>
      <c r="E27" s="2" t="s">
        <v>12</v>
      </c>
      <c r="F27" s="2" t="s">
        <v>86</v>
      </c>
    </row>
    <row r="28" spans="1:6" x14ac:dyDescent="0.3">
      <c r="A28" s="2" t="s">
        <v>90</v>
      </c>
      <c r="B28" s="3" t="s">
        <v>91</v>
      </c>
      <c r="C28" s="4"/>
      <c r="D28" s="3" t="s">
        <v>92</v>
      </c>
      <c r="E28" s="2" t="s">
        <v>12</v>
      </c>
      <c r="F28" s="2" t="s">
        <v>86</v>
      </c>
    </row>
    <row r="29" spans="1:6" x14ac:dyDescent="0.3">
      <c r="A29" s="2" t="s">
        <v>93</v>
      </c>
      <c r="B29" s="3" t="s">
        <v>94</v>
      </c>
      <c r="C29" s="4"/>
      <c r="D29" s="3" t="s">
        <v>82</v>
      </c>
      <c r="E29" s="2" t="s">
        <v>12</v>
      </c>
      <c r="F29" s="2" t="s">
        <v>86</v>
      </c>
    </row>
    <row r="30" spans="1:6" x14ac:dyDescent="0.3">
      <c r="A30" s="2" t="s">
        <v>95</v>
      </c>
      <c r="B30" s="3" t="s">
        <v>96</v>
      </c>
      <c r="C30" s="4"/>
      <c r="D30" s="3" t="s">
        <v>97</v>
      </c>
      <c r="E30" s="2" t="s">
        <v>12</v>
      </c>
      <c r="F30" s="2" t="s">
        <v>86</v>
      </c>
    </row>
    <row r="31" spans="1:6" x14ac:dyDescent="0.3">
      <c r="A31" s="2" t="s">
        <v>98</v>
      </c>
      <c r="B31" s="3" t="s">
        <v>99</v>
      </c>
      <c r="C31" s="4"/>
      <c r="D31" s="3" t="s">
        <v>100</v>
      </c>
      <c r="E31" s="2" t="s">
        <v>12</v>
      </c>
      <c r="F31" s="2" t="s">
        <v>86</v>
      </c>
    </row>
    <row r="32" spans="1:6" x14ac:dyDescent="0.3">
      <c r="A32" s="2" t="s">
        <v>101</v>
      </c>
      <c r="B32" s="3" t="s">
        <v>102</v>
      </c>
      <c r="C32" s="4"/>
      <c r="D32" s="3" t="s">
        <v>17</v>
      </c>
      <c r="E32" s="2" t="s">
        <v>12</v>
      </c>
      <c r="F32" s="2" t="s">
        <v>86</v>
      </c>
    </row>
    <row r="33" spans="1:6" x14ac:dyDescent="0.3">
      <c r="A33" s="2" t="s">
        <v>103</v>
      </c>
      <c r="B33" s="3" t="s">
        <v>104</v>
      </c>
      <c r="C33" s="4"/>
      <c r="D33" s="3" t="s">
        <v>105</v>
      </c>
      <c r="E33" s="2" t="s">
        <v>12</v>
      </c>
      <c r="F33" s="2" t="s">
        <v>86</v>
      </c>
    </row>
    <row r="34" spans="1:6" x14ac:dyDescent="0.3">
      <c r="A34" s="2" t="s">
        <v>106</v>
      </c>
      <c r="B34" s="3" t="s">
        <v>107</v>
      </c>
      <c r="C34" s="4"/>
      <c r="D34" s="3" t="s">
        <v>29</v>
      </c>
      <c r="E34" s="2" t="s">
        <v>67</v>
      </c>
      <c r="F34" s="2" t="s">
        <v>86</v>
      </c>
    </row>
    <row r="35" spans="1:6" x14ac:dyDescent="0.3">
      <c r="A35" s="2" t="s">
        <v>108</v>
      </c>
      <c r="B35" s="3" t="s">
        <v>109</v>
      </c>
      <c r="C35" s="4"/>
      <c r="D35" s="3" t="s">
        <v>110</v>
      </c>
      <c r="E35" s="2" t="s">
        <v>67</v>
      </c>
      <c r="F35" s="2" t="s">
        <v>86</v>
      </c>
    </row>
    <row r="36" spans="1:6" x14ac:dyDescent="0.3">
      <c r="A36" s="2" t="s">
        <v>111</v>
      </c>
      <c r="B36" s="3" t="s">
        <v>112</v>
      </c>
      <c r="C36" s="4"/>
      <c r="D36" s="3" t="s">
        <v>113</v>
      </c>
      <c r="E36" s="2" t="s">
        <v>67</v>
      </c>
      <c r="F36" s="2" t="s">
        <v>86</v>
      </c>
    </row>
    <row r="37" spans="1:6" x14ac:dyDescent="0.3">
      <c r="A37" s="185" t="s">
        <v>114</v>
      </c>
      <c r="B37" s="185"/>
      <c r="C37" s="185"/>
      <c r="D37" s="185"/>
      <c r="E37" s="185"/>
      <c r="F37" s="185"/>
    </row>
    <row r="38" spans="1:6" x14ac:dyDescent="0.3">
      <c r="A38" s="2" t="s">
        <v>115</v>
      </c>
      <c r="B38" s="3" t="s">
        <v>116</v>
      </c>
      <c r="C38" s="31"/>
      <c r="D38" s="3" t="s">
        <v>11</v>
      </c>
      <c r="E38" s="2" t="s">
        <v>29</v>
      </c>
      <c r="F38" s="2" t="s">
        <v>117</v>
      </c>
    </row>
    <row r="39" spans="1:6" x14ac:dyDescent="0.3">
      <c r="A39" s="2" t="s">
        <v>118</v>
      </c>
      <c r="B39" s="3" t="s">
        <v>119</v>
      </c>
      <c r="C39" s="4" t="s">
        <v>120</v>
      </c>
      <c r="D39" s="3" t="s">
        <v>120</v>
      </c>
      <c r="E39" s="2" t="s">
        <v>67</v>
      </c>
      <c r="F39" s="2" t="s">
        <v>117</v>
      </c>
    </row>
    <row r="40" spans="1:6" x14ac:dyDescent="0.3">
      <c r="A40" s="2" t="s">
        <v>121</v>
      </c>
      <c r="B40" s="3" t="s">
        <v>122</v>
      </c>
      <c r="C40" s="31"/>
      <c r="D40" s="3" t="s">
        <v>11</v>
      </c>
      <c r="E40" s="2" t="s">
        <v>29</v>
      </c>
      <c r="F40" s="2" t="s">
        <v>117</v>
      </c>
    </row>
    <row r="41" spans="1:6" x14ac:dyDescent="0.3">
      <c r="A41" s="2" t="s">
        <v>123</v>
      </c>
      <c r="B41" s="3" t="s">
        <v>124</v>
      </c>
      <c r="C41" s="4" t="s">
        <v>125</v>
      </c>
      <c r="D41" s="3" t="s">
        <v>125</v>
      </c>
      <c r="E41" s="2" t="s">
        <v>67</v>
      </c>
      <c r="F41" s="2" t="s">
        <v>117</v>
      </c>
    </row>
    <row r="42" spans="1:6" x14ac:dyDescent="0.3">
      <c r="A42" s="2" t="s">
        <v>126</v>
      </c>
      <c r="B42" s="3" t="s">
        <v>127</v>
      </c>
      <c r="C42" s="31"/>
      <c r="D42" s="3" t="s">
        <v>128</v>
      </c>
      <c r="E42" s="2" t="s">
        <v>67</v>
      </c>
      <c r="F42" s="2" t="s">
        <v>117</v>
      </c>
    </row>
    <row r="43" spans="1:6" x14ac:dyDescent="0.3">
      <c r="A43" s="2" t="s">
        <v>129</v>
      </c>
      <c r="B43" s="3" t="s">
        <v>130</v>
      </c>
      <c r="C43" s="4" t="s">
        <v>131</v>
      </c>
      <c r="D43" s="3" t="s">
        <v>131</v>
      </c>
      <c r="E43" s="2" t="s">
        <v>67</v>
      </c>
      <c r="F43" s="2" t="s">
        <v>117</v>
      </c>
    </row>
    <row r="44" spans="1:6" x14ac:dyDescent="0.3">
      <c r="A44" s="2" t="s">
        <v>132</v>
      </c>
      <c r="B44" s="3" t="s">
        <v>133</v>
      </c>
      <c r="C44" s="31"/>
      <c r="D44" s="3" t="s">
        <v>11</v>
      </c>
      <c r="E44" s="2" t="s">
        <v>29</v>
      </c>
      <c r="F44" s="2" t="s">
        <v>117</v>
      </c>
    </row>
    <row r="45" spans="1:6" x14ac:dyDescent="0.3">
      <c r="A45" s="2" t="s">
        <v>134</v>
      </c>
      <c r="B45" s="3" t="s">
        <v>135</v>
      </c>
      <c r="C45" s="4" t="s">
        <v>136</v>
      </c>
      <c r="D45" s="3" t="s">
        <v>136</v>
      </c>
      <c r="E45" s="2" t="s">
        <v>67</v>
      </c>
      <c r="F45" s="2" t="s">
        <v>117</v>
      </c>
    </row>
    <row r="46" spans="1:6" x14ac:dyDescent="0.3">
      <c r="A46" s="185" t="s">
        <v>137</v>
      </c>
      <c r="B46" s="185"/>
      <c r="C46" s="185"/>
      <c r="D46" s="185"/>
      <c r="E46" s="185"/>
      <c r="F46" s="185"/>
    </row>
    <row r="47" spans="1:6" x14ac:dyDescent="0.3">
      <c r="A47" s="2" t="s">
        <v>138</v>
      </c>
      <c r="B47" s="3" t="s">
        <v>139</v>
      </c>
      <c r="C47" s="4"/>
      <c r="D47" s="3" t="s">
        <v>17</v>
      </c>
      <c r="E47" s="2" t="s">
        <v>29</v>
      </c>
      <c r="F47" s="2" t="s">
        <v>140</v>
      </c>
    </row>
    <row r="48" spans="1:6" x14ac:dyDescent="0.3">
      <c r="A48" s="2" t="s">
        <v>141</v>
      </c>
      <c r="B48" s="3" t="s">
        <v>142</v>
      </c>
      <c r="C48" s="4"/>
      <c r="D48" s="3" t="s">
        <v>143</v>
      </c>
      <c r="E48" s="2" t="s">
        <v>29</v>
      </c>
      <c r="F48" s="2" t="s">
        <v>140</v>
      </c>
    </row>
    <row r="49" spans="1:6" x14ac:dyDescent="0.3">
      <c r="A49" s="2" t="s">
        <v>144</v>
      </c>
      <c r="B49" s="3" t="s">
        <v>145</v>
      </c>
      <c r="C49" s="4"/>
      <c r="D49" s="3" t="s">
        <v>146</v>
      </c>
      <c r="E49" s="2" t="s">
        <v>29</v>
      </c>
      <c r="F49" s="2" t="s">
        <v>140</v>
      </c>
    </row>
    <row r="50" spans="1:6" x14ac:dyDescent="0.3">
      <c r="A50" s="2" t="s">
        <v>147</v>
      </c>
      <c r="B50" s="3" t="s">
        <v>148</v>
      </c>
      <c r="C50" s="4"/>
      <c r="D50" s="3" t="s">
        <v>149</v>
      </c>
      <c r="E50" s="2" t="s">
        <v>67</v>
      </c>
      <c r="F50" s="2" t="s">
        <v>140</v>
      </c>
    </row>
    <row r="51" spans="1:6" x14ac:dyDescent="0.3">
      <c r="A51" s="2" t="s">
        <v>150</v>
      </c>
      <c r="B51" s="3" t="s">
        <v>151</v>
      </c>
      <c r="C51" s="4"/>
      <c r="D51" s="3" t="s">
        <v>152</v>
      </c>
      <c r="E51" s="2" t="s">
        <v>67</v>
      </c>
      <c r="F51" s="2" t="s">
        <v>140</v>
      </c>
    </row>
    <row r="52" spans="1:6" x14ac:dyDescent="0.3">
      <c r="A52" s="2" t="s">
        <v>153</v>
      </c>
      <c r="B52" s="3" t="s">
        <v>154</v>
      </c>
      <c r="C52" s="4"/>
      <c r="D52" s="3" t="s">
        <v>155</v>
      </c>
      <c r="E52" s="2" t="s">
        <v>67</v>
      </c>
      <c r="F52" s="2" t="s">
        <v>140</v>
      </c>
    </row>
    <row r="53" spans="1:6" x14ac:dyDescent="0.3">
      <c r="A53" s="2" t="s">
        <v>156</v>
      </c>
      <c r="B53" s="3" t="s">
        <v>157</v>
      </c>
      <c r="C53" s="4"/>
      <c r="D53" s="3" t="s">
        <v>158</v>
      </c>
      <c r="E53" s="2" t="s">
        <v>67</v>
      </c>
      <c r="F53" s="2" t="s">
        <v>140</v>
      </c>
    </row>
    <row r="54" spans="1:6" x14ac:dyDescent="0.3">
      <c r="A54" s="2" t="s">
        <v>159</v>
      </c>
      <c r="B54" s="3" t="s">
        <v>160</v>
      </c>
      <c r="C54" s="4"/>
      <c r="D54" s="3" t="s">
        <v>29</v>
      </c>
      <c r="E54" s="2" t="s">
        <v>67</v>
      </c>
      <c r="F54" s="2" t="s">
        <v>140</v>
      </c>
    </row>
    <row r="55" spans="1:6" x14ac:dyDescent="0.3">
      <c r="A55" s="2" t="s">
        <v>161</v>
      </c>
      <c r="B55" s="3" t="s">
        <v>162</v>
      </c>
      <c r="C55" s="4"/>
      <c r="D55" s="3" t="s">
        <v>163</v>
      </c>
      <c r="E55" s="2" t="s">
        <v>67</v>
      </c>
      <c r="F55" s="2" t="s">
        <v>140</v>
      </c>
    </row>
    <row r="56" spans="1:6" x14ac:dyDescent="0.3">
      <c r="A56" s="2" t="s">
        <v>164</v>
      </c>
      <c r="B56" s="3" t="s">
        <v>165</v>
      </c>
      <c r="C56" s="4"/>
      <c r="D56" s="3" t="s">
        <v>152</v>
      </c>
      <c r="E56" s="2" t="s">
        <v>67</v>
      </c>
      <c r="F56" s="2" t="s">
        <v>140</v>
      </c>
    </row>
    <row r="57" spans="1:6" x14ac:dyDescent="0.3">
      <c r="A57" s="2" t="s">
        <v>166</v>
      </c>
      <c r="B57" s="3" t="s">
        <v>167</v>
      </c>
      <c r="C57" s="4"/>
      <c r="D57" s="3" t="s">
        <v>155</v>
      </c>
      <c r="E57" s="2" t="s">
        <v>67</v>
      </c>
      <c r="F57" s="2" t="s">
        <v>140</v>
      </c>
    </row>
    <row r="58" spans="1:6" x14ac:dyDescent="0.3">
      <c r="A58" s="2" t="s">
        <v>168</v>
      </c>
      <c r="B58" s="3" t="s">
        <v>169</v>
      </c>
      <c r="C58" s="4"/>
      <c r="D58" s="3" t="s">
        <v>158</v>
      </c>
      <c r="E58" s="2" t="s">
        <v>67</v>
      </c>
      <c r="F58" s="2" t="s">
        <v>140</v>
      </c>
    </row>
    <row r="59" spans="1:6" x14ac:dyDescent="0.3">
      <c r="A59" s="2" t="s">
        <v>170</v>
      </c>
      <c r="B59" s="3" t="s">
        <v>171</v>
      </c>
      <c r="C59" s="4"/>
      <c r="D59" s="3" t="s">
        <v>29</v>
      </c>
      <c r="E59" s="2" t="s">
        <v>67</v>
      </c>
      <c r="F59" s="2" t="s">
        <v>140</v>
      </c>
    </row>
    <row r="60" spans="1:6" x14ac:dyDescent="0.3">
      <c r="A60" s="2" t="s">
        <v>172</v>
      </c>
      <c r="B60" s="3" t="s">
        <v>173</v>
      </c>
      <c r="C60" s="4" t="str">
        <f>C51+C56&amp;" kWp"</f>
        <v>0 kWp</v>
      </c>
      <c r="D60" s="3" t="s">
        <v>174</v>
      </c>
      <c r="E60" s="2" t="s">
        <v>67</v>
      </c>
      <c r="F60" s="2" t="s">
        <v>140</v>
      </c>
    </row>
    <row r="61" spans="1:6" x14ac:dyDescent="0.3">
      <c r="A61" s="2" t="s">
        <v>175</v>
      </c>
      <c r="B61" s="3" t="s">
        <v>176</v>
      </c>
      <c r="C61" s="4"/>
      <c r="D61" s="3" t="s">
        <v>149</v>
      </c>
      <c r="E61" s="2" t="s">
        <v>67</v>
      </c>
      <c r="F61" s="2" t="s">
        <v>140</v>
      </c>
    </row>
    <row r="62" spans="1:6" x14ac:dyDescent="0.3">
      <c r="A62" s="2" t="s">
        <v>177</v>
      </c>
      <c r="B62" s="3" t="s">
        <v>178</v>
      </c>
      <c r="C62" s="4"/>
      <c r="D62" s="3" t="s">
        <v>152</v>
      </c>
      <c r="E62" s="2" t="s">
        <v>67</v>
      </c>
      <c r="F62" s="2" t="s">
        <v>140</v>
      </c>
    </row>
    <row r="63" spans="1:6" x14ac:dyDescent="0.3">
      <c r="A63" s="2" t="s">
        <v>179</v>
      </c>
      <c r="B63" s="3" t="s">
        <v>180</v>
      </c>
      <c r="C63" s="4"/>
      <c r="D63" s="3" t="s">
        <v>155</v>
      </c>
      <c r="E63" s="2" t="s">
        <v>67</v>
      </c>
      <c r="F63" s="2" t="s">
        <v>140</v>
      </c>
    </row>
    <row r="64" spans="1:6" x14ac:dyDescent="0.3">
      <c r="A64" s="2" t="s">
        <v>181</v>
      </c>
      <c r="B64" s="3" t="s">
        <v>182</v>
      </c>
      <c r="C64" s="4"/>
      <c r="D64" s="3" t="s">
        <v>158</v>
      </c>
      <c r="E64" s="2" t="s">
        <v>67</v>
      </c>
      <c r="F64" s="2" t="s">
        <v>140</v>
      </c>
    </row>
    <row r="65" spans="1:6" x14ac:dyDescent="0.3">
      <c r="A65" s="2" t="s">
        <v>183</v>
      </c>
      <c r="B65" s="3" t="s">
        <v>184</v>
      </c>
      <c r="C65" s="4"/>
      <c r="D65" s="3" t="s">
        <v>29</v>
      </c>
      <c r="E65" s="2" t="s">
        <v>67</v>
      </c>
      <c r="F65" s="2" t="s">
        <v>140</v>
      </c>
    </row>
    <row r="66" spans="1:6" x14ac:dyDescent="0.3">
      <c r="A66" s="2" t="s">
        <v>185</v>
      </c>
      <c r="B66" s="3" t="s">
        <v>186</v>
      </c>
      <c r="C66" s="4"/>
      <c r="D66" s="3" t="s">
        <v>163</v>
      </c>
      <c r="E66" s="2" t="s">
        <v>67</v>
      </c>
      <c r="F66" s="2" t="s">
        <v>140</v>
      </c>
    </row>
    <row r="67" spans="1:6" x14ac:dyDescent="0.3">
      <c r="A67" s="2" t="s">
        <v>187</v>
      </c>
      <c r="B67" s="3" t="s">
        <v>188</v>
      </c>
      <c r="C67" s="4"/>
      <c r="D67" s="3" t="s">
        <v>152</v>
      </c>
      <c r="E67" s="2" t="s">
        <v>67</v>
      </c>
      <c r="F67" s="2" t="s">
        <v>140</v>
      </c>
    </row>
    <row r="68" spans="1:6" x14ac:dyDescent="0.3">
      <c r="A68" s="2" t="s">
        <v>189</v>
      </c>
      <c r="B68" s="3" t="s">
        <v>190</v>
      </c>
      <c r="C68" s="4"/>
      <c r="D68" s="3" t="s">
        <v>155</v>
      </c>
      <c r="E68" s="2" t="s">
        <v>67</v>
      </c>
      <c r="F68" s="2" t="s">
        <v>140</v>
      </c>
    </row>
    <row r="69" spans="1:6" x14ac:dyDescent="0.3">
      <c r="A69" s="2" t="s">
        <v>191</v>
      </c>
      <c r="B69" s="3" t="s">
        <v>192</v>
      </c>
      <c r="C69" s="4"/>
      <c r="D69" s="3" t="s">
        <v>158</v>
      </c>
      <c r="E69" s="2" t="s">
        <v>67</v>
      </c>
      <c r="F69" s="2" t="s">
        <v>140</v>
      </c>
    </row>
    <row r="70" spans="1:6" x14ac:dyDescent="0.3">
      <c r="A70" s="2" t="s">
        <v>193</v>
      </c>
      <c r="B70" s="3" t="s">
        <v>194</v>
      </c>
      <c r="C70" s="4"/>
      <c r="D70" s="3" t="s">
        <v>29</v>
      </c>
      <c r="E70" s="2" t="s">
        <v>67</v>
      </c>
      <c r="F70" s="2" t="s">
        <v>140</v>
      </c>
    </row>
    <row r="71" spans="1:6" x14ac:dyDescent="0.3">
      <c r="A71" s="2" t="s">
        <v>195</v>
      </c>
      <c r="B71" s="3" t="s">
        <v>196</v>
      </c>
      <c r="C71" s="4" t="str">
        <f>C62+C67&amp;" kWp"</f>
        <v>0 kWp</v>
      </c>
      <c r="D71" s="3" t="s">
        <v>174</v>
      </c>
      <c r="E71" s="2" t="s">
        <v>67</v>
      </c>
      <c r="F71" s="2" t="s">
        <v>140</v>
      </c>
    </row>
    <row r="72" spans="1:6" x14ac:dyDescent="0.3">
      <c r="A72" s="2" t="s">
        <v>197</v>
      </c>
      <c r="B72" s="3" t="s">
        <v>198</v>
      </c>
      <c r="C72" s="4"/>
      <c r="D72" s="3" t="s">
        <v>199</v>
      </c>
      <c r="E72" s="2" t="s">
        <v>67</v>
      </c>
      <c r="F72" s="2" t="s">
        <v>200</v>
      </c>
    </row>
    <row r="73" spans="1:6" x14ac:dyDescent="0.3">
      <c r="A73" s="2" t="s">
        <v>201</v>
      </c>
      <c r="B73" s="3" t="s">
        <v>202</v>
      </c>
      <c r="C73" s="4"/>
      <c r="D73" s="3" t="s">
        <v>158</v>
      </c>
      <c r="E73" s="2" t="s">
        <v>67</v>
      </c>
      <c r="F73" s="2" t="s">
        <v>200</v>
      </c>
    </row>
    <row r="74" spans="1:6" x14ac:dyDescent="0.3">
      <c r="A74" s="2" t="s">
        <v>203</v>
      </c>
      <c r="B74" s="3" t="s">
        <v>204</v>
      </c>
      <c r="C74" s="4"/>
      <c r="D74" s="3" t="s">
        <v>205</v>
      </c>
      <c r="E74" s="2" t="s">
        <v>67</v>
      </c>
      <c r="F74" s="2" t="s">
        <v>200</v>
      </c>
    </row>
    <row r="75" spans="1:6" x14ac:dyDescent="0.3">
      <c r="A75" s="2" t="s">
        <v>206</v>
      </c>
      <c r="B75" s="3" t="s">
        <v>207</v>
      </c>
      <c r="C75" s="4"/>
      <c r="D75" s="3" t="s">
        <v>208</v>
      </c>
      <c r="E75" s="2" t="s">
        <v>67</v>
      </c>
      <c r="F75" s="2" t="s">
        <v>200</v>
      </c>
    </row>
    <row r="76" spans="1:6" x14ac:dyDescent="0.3">
      <c r="A76" s="2" t="s">
        <v>209</v>
      </c>
      <c r="B76" s="3" t="s">
        <v>210</v>
      </c>
      <c r="C76" s="4"/>
      <c r="D76" s="3" t="s">
        <v>211</v>
      </c>
      <c r="E76" s="2" t="s">
        <v>67</v>
      </c>
      <c r="F76" s="2" t="s">
        <v>200</v>
      </c>
    </row>
    <row r="77" spans="1:6" x14ac:dyDescent="0.3">
      <c r="A77" s="2" t="s">
        <v>212</v>
      </c>
      <c r="B77" s="3" t="s">
        <v>213</v>
      </c>
      <c r="C77" s="4"/>
      <c r="D77" s="3" t="s">
        <v>214</v>
      </c>
      <c r="E77" s="2" t="s">
        <v>67</v>
      </c>
      <c r="F77" s="2" t="s">
        <v>200</v>
      </c>
    </row>
    <row r="78" spans="1:6" x14ac:dyDescent="0.3">
      <c r="A78" s="2" t="s">
        <v>215</v>
      </c>
      <c r="B78" s="3" t="s">
        <v>216</v>
      </c>
      <c r="C78" s="4"/>
      <c r="D78" s="3" t="s">
        <v>29</v>
      </c>
      <c r="E78" s="2" t="s">
        <v>67</v>
      </c>
      <c r="F78" s="2" t="s">
        <v>200</v>
      </c>
    </row>
    <row r="79" spans="1:6" x14ac:dyDescent="0.3">
      <c r="A79" s="2" t="s">
        <v>217</v>
      </c>
      <c r="B79" s="3" t="s">
        <v>218</v>
      </c>
      <c r="C79" s="4"/>
      <c r="D79" s="3" t="s">
        <v>219</v>
      </c>
      <c r="E79" s="2" t="s">
        <v>67</v>
      </c>
      <c r="F79" s="2" t="s">
        <v>200</v>
      </c>
    </row>
    <row r="80" spans="1:6" x14ac:dyDescent="0.3">
      <c r="A80" s="2" t="s">
        <v>220</v>
      </c>
      <c r="B80" s="3" t="s">
        <v>221</v>
      </c>
      <c r="C80" s="4"/>
      <c r="D80" s="3" t="s">
        <v>158</v>
      </c>
      <c r="E80" s="2" t="s">
        <v>67</v>
      </c>
      <c r="F80" s="2" t="s">
        <v>200</v>
      </c>
    </row>
    <row r="81" spans="1:6" x14ac:dyDescent="0.3">
      <c r="A81" s="2" t="s">
        <v>222</v>
      </c>
      <c r="B81" s="3" t="s">
        <v>223</v>
      </c>
      <c r="C81" s="4"/>
      <c r="D81" s="3" t="s">
        <v>155</v>
      </c>
      <c r="E81" s="2" t="s">
        <v>67</v>
      </c>
      <c r="F81" s="2" t="s">
        <v>200</v>
      </c>
    </row>
    <row r="82" spans="1:6" x14ac:dyDescent="0.3">
      <c r="A82" s="2" t="s">
        <v>224</v>
      </c>
      <c r="B82" s="3" t="s">
        <v>225</v>
      </c>
      <c r="C82" s="4"/>
      <c r="D82" s="3" t="s">
        <v>226</v>
      </c>
      <c r="E82" s="2" t="s">
        <v>67</v>
      </c>
      <c r="F82" s="2" t="s">
        <v>200</v>
      </c>
    </row>
    <row r="83" spans="1:6" x14ac:dyDescent="0.3">
      <c r="A83" s="2" t="s">
        <v>227</v>
      </c>
      <c r="B83" s="3" t="s">
        <v>228</v>
      </c>
      <c r="C83" s="4"/>
      <c r="D83" s="3" t="s">
        <v>229</v>
      </c>
      <c r="E83" s="2" t="s">
        <v>67</v>
      </c>
      <c r="F83" s="2" t="s">
        <v>200</v>
      </c>
    </row>
    <row r="84" spans="1:6" x14ac:dyDescent="0.3">
      <c r="A84" s="2" t="s">
        <v>230</v>
      </c>
      <c r="B84" s="3" t="s">
        <v>231</v>
      </c>
      <c r="C84" s="4"/>
      <c r="D84" s="3" t="s">
        <v>232</v>
      </c>
      <c r="E84" s="2" t="s">
        <v>67</v>
      </c>
      <c r="F84" s="2" t="s">
        <v>200</v>
      </c>
    </row>
    <row r="85" spans="1:6" x14ac:dyDescent="0.3">
      <c r="A85" s="2" t="s">
        <v>233</v>
      </c>
      <c r="B85" s="3" t="s">
        <v>234</v>
      </c>
      <c r="C85" s="4"/>
      <c r="D85" s="3" t="s">
        <v>29</v>
      </c>
      <c r="E85" s="2" t="s">
        <v>67</v>
      </c>
      <c r="F85" s="2" t="s">
        <v>200</v>
      </c>
    </row>
    <row r="86" spans="1:6" x14ac:dyDescent="0.3">
      <c r="A86" s="185" t="s">
        <v>235</v>
      </c>
      <c r="B86" s="185"/>
      <c r="C86" s="185"/>
      <c r="D86" s="185"/>
      <c r="E86" s="185"/>
      <c r="F86" s="185"/>
    </row>
    <row r="87" spans="1:6" x14ac:dyDescent="0.3">
      <c r="A87" s="2" t="s">
        <v>236</v>
      </c>
      <c r="B87" s="3" t="s">
        <v>237</v>
      </c>
      <c r="C87" s="4"/>
      <c r="D87" s="3" t="s">
        <v>238</v>
      </c>
      <c r="E87" s="2" t="s">
        <v>12</v>
      </c>
      <c r="F87" s="2" t="s">
        <v>239</v>
      </c>
    </row>
    <row r="88" spans="1:6" x14ac:dyDescent="0.3">
      <c r="A88" s="2" t="s">
        <v>240</v>
      </c>
      <c r="B88" s="3" t="s">
        <v>241</v>
      </c>
      <c r="C88" s="31"/>
      <c r="D88" s="3" t="s">
        <v>21</v>
      </c>
      <c r="E88" s="2" t="s">
        <v>29</v>
      </c>
      <c r="F88" s="2" t="s">
        <v>239</v>
      </c>
    </row>
    <row r="89" spans="1:6" x14ac:dyDescent="0.3">
      <c r="A89" s="2" t="s">
        <v>242</v>
      </c>
      <c r="B89" s="3" t="s">
        <v>243</v>
      </c>
      <c r="C89" s="4"/>
      <c r="D89" s="3" t="s">
        <v>244</v>
      </c>
      <c r="E89" s="2" t="s">
        <v>67</v>
      </c>
      <c r="F89" s="2" t="s">
        <v>239</v>
      </c>
    </row>
    <row r="90" spans="1:6" x14ac:dyDescent="0.3">
      <c r="A90" s="2" t="s">
        <v>245</v>
      </c>
      <c r="B90" s="3" t="s">
        <v>246</v>
      </c>
      <c r="C90" s="31"/>
      <c r="D90" s="3" t="s">
        <v>247</v>
      </c>
      <c r="E90" s="2" t="s">
        <v>29</v>
      </c>
      <c r="F90" s="2" t="s">
        <v>239</v>
      </c>
    </row>
    <row r="91" spans="1:6" x14ac:dyDescent="0.3">
      <c r="A91" s="2" t="s">
        <v>248</v>
      </c>
      <c r="B91" s="3" t="s">
        <v>249</v>
      </c>
      <c r="C91" s="4"/>
      <c r="D91" s="3" t="s">
        <v>250</v>
      </c>
      <c r="E91" s="2" t="s">
        <v>12</v>
      </c>
      <c r="F91" s="2" t="s">
        <v>239</v>
      </c>
    </row>
    <row r="92" spans="1:6" x14ac:dyDescent="0.3">
      <c r="A92" s="2" t="s">
        <v>251</v>
      </c>
      <c r="B92" s="3" t="s">
        <v>252</v>
      </c>
      <c r="C92" s="31"/>
      <c r="D92" s="3" t="s">
        <v>253</v>
      </c>
      <c r="E92" s="2" t="s">
        <v>12</v>
      </c>
      <c r="F92" s="2" t="s">
        <v>239</v>
      </c>
    </row>
    <row r="93" spans="1:6" x14ac:dyDescent="0.3">
      <c r="A93" s="185" t="s">
        <v>254</v>
      </c>
      <c r="B93" s="185"/>
      <c r="C93" s="185"/>
      <c r="D93" s="185"/>
      <c r="E93" s="185"/>
      <c r="F93" s="185"/>
    </row>
    <row r="94" spans="1:6" x14ac:dyDescent="0.3">
      <c r="A94" s="2" t="s">
        <v>255</v>
      </c>
      <c r="B94" s="3" t="s">
        <v>256</v>
      </c>
      <c r="C94" s="4" t="str">
        <f>'BOM Inputs'!D3</f>
        <v>Monocrystalline PERC</v>
      </c>
      <c r="D94" s="3" t="s">
        <v>257</v>
      </c>
      <c r="E94" s="2" t="s">
        <v>29</v>
      </c>
      <c r="F94" s="2" t="s">
        <v>258</v>
      </c>
    </row>
    <row r="95" spans="1:6" x14ac:dyDescent="0.3">
      <c r="A95" s="2" t="s">
        <v>259</v>
      </c>
      <c r="B95" s="3" t="s">
        <v>260</v>
      </c>
      <c r="C95" s="4" t="str">
        <f>'BOM Inputs'!D4</f>
        <v>Renewsys 595 Wp</v>
      </c>
      <c r="D95" s="3" t="s">
        <v>33</v>
      </c>
      <c r="E95" s="2" t="s">
        <v>29</v>
      </c>
      <c r="F95" s="2" t="s">
        <v>258</v>
      </c>
    </row>
    <row r="96" spans="1:6" x14ac:dyDescent="0.3">
      <c r="A96" s="2" t="s">
        <v>261</v>
      </c>
      <c r="B96" s="3" t="s">
        <v>262</v>
      </c>
      <c r="C96" s="4" t="str">
        <f>'BOM Inputs'!D5</f>
        <v>21.3%</v>
      </c>
      <c r="D96" s="3" t="s">
        <v>263</v>
      </c>
      <c r="E96" s="2" t="s">
        <v>67</v>
      </c>
      <c r="F96" s="2" t="s">
        <v>258</v>
      </c>
    </row>
    <row r="97" spans="1:6" x14ac:dyDescent="0.3">
      <c r="A97" s="2" t="s">
        <v>264</v>
      </c>
      <c r="B97" s="3" t="s">
        <v>265</v>
      </c>
      <c r="C97" s="4" t="str">
        <f>'BOM Inputs'!D6</f>
        <v>String inverter</v>
      </c>
      <c r="D97" s="3" t="s">
        <v>266</v>
      </c>
      <c r="E97" s="2" t="s">
        <v>29</v>
      </c>
      <c r="F97" s="2" t="s">
        <v>258</v>
      </c>
    </row>
    <row r="98" spans="1:6" x14ac:dyDescent="0.3">
      <c r="A98" s="2" t="s">
        <v>267</v>
      </c>
      <c r="B98" s="3" t="s">
        <v>268</v>
      </c>
      <c r="C98" s="4" t="str">
        <f>'BOM Inputs'!D7</f>
        <v>IP66, outdoor</v>
      </c>
      <c r="D98" s="3" t="s">
        <v>269</v>
      </c>
      <c r="E98" s="2" t="s">
        <v>67</v>
      </c>
      <c r="F98" s="2" t="s">
        <v>258</v>
      </c>
    </row>
    <row r="99" spans="1:6" x14ac:dyDescent="0.3">
      <c r="A99" s="2" t="s">
        <v>270</v>
      </c>
      <c r="B99" s="3" t="s">
        <v>271</v>
      </c>
      <c r="C99" s="4" t="str">
        <f>'BOM Inputs'!D8</f>
        <v>Solis</v>
      </c>
      <c r="D99" s="3" t="s">
        <v>36</v>
      </c>
      <c r="E99" s="2" t="s">
        <v>29</v>
      </c>
      <c r="F99" s="2" t="s">
        <v>258</v>
      </c>
    </row>
    <row r="100" spans="1:6" x14ac:dyDescent="0.3">
      <c r="A100" s="2" t="s">
        <v>272</v>
      </c>
      <c r="B100" s="3" t="s">
        <v>273</v>
      </c>
      <c r="C100" s="4" t="str">
        <f>'BOM Inputs'!D9</f>
        <v>Galvanised steel</v>
      </c>
      <c r="D100" s="3" t="s">
        <v>274</v>
      </c>
      <c r="E100" s="2" t="s">
        <v>29</v>
      </c>
      <c r="F100" s="2" t="s">
        <v>258</v>
      </c>
    </row>
    <row r="101" spans="1:6" x14ac:dyDescent="0.3">
      <c r="A101" s="2" t="s">
        <v>275</v>
      </c>
      <c r="B101" s="3" t="s">
        <v>276</v>
      </c>
      <c r="C101" s="4" t="str">
        <f>'BOM Inputs'!D10</f>
        <v>Standard GI</v>
      </c>
      <c r="D101" s="3" t="s">
        <v>277</v>
      </c>
      <c r="E101" s="2" t="s">
        <v>67</v>
      </c>
      <c r="F101" s="2" t="s">
        <v>258</v>
      </c>
    </row>
    <row r="102" spans="1:6" x14ac:dyDescent="0.3">
      <c r="A102" s="2" t="s">
        <v>278</v>
      </c>
      <c r="B102" s="3" t="s">
        <v>279</v>
      </c>
      <c r="C102" s="4" t="str">
        <f>'BOM Inputs'!D11</f>
        <v>Polycab, 4/6 sq.mm</v>
      </c>
      <c r="D102" s="3" t="s">
        <v>280</v>
      </c>
      <c r="E102" s="2" t="s">
        <v>67</v>
      </c>
      <c r="F102" s="2" t="s">
        <v>258</v>
      </c>
    </row>
    <row r="103" spans="1:6" x14ac:dyDescent="0.3">
      <c r="A103" s="2" t="s">
        <v>281</v>
      </c>
      <c r="B103" s="3" t="s">
        <v>282</v>
      </c>
      <c r="C103" s="4" t="str">
        <f>'BOM Inputs'!D12</f>
        <v>Polycab, as per design</v>
      </c>
      <c r="D103" s="3" t="s">
        <v>283</v>
      </c>
      <c r="E103" s="2" t="s">
        <v>67</v>
      </c>
      <c r="F103" s="2" t="s">
        <v>258</v>
      </c>
    </row>
    <row r="104" spans="1:6" x14ac:dyDescent="0.3">
      <c r="A104" s="2" t="s">
        <v>284</v>
      </c>
      <c r="B104" s="3" t="s">
        <v>285</v>
      </c>
      <c r="C104" s="4" t="str">
        <f>'BOM Inputs'!D13</f>
        <v>GI perforated</v>
      </c>
      <c r="D104" s="3" t="s">
        <v>286</v>
      </c>
      <c r="E104" s="2" t="s">
        <v>67</v>
      </c>
      <c r="F104" s="2" t="s">
        <v>258</v>
      </c>
    </row>
    <row r="105" spans="1:6" x14ac:dyDescent="0.3">
      <c r="A105" s="2" t="s">
        <v>287</v>
      </c>
      <c r="B105" s="3" t="s">
        <v>288</v>
      </c>
      <c r="C105" s="4" t="str">
        <f>'BOM Inputs'!D14</f>
        <v>ABB/Schneider, as per design</v>
      </c>
      <c r="D105" s="3" t="s">
        <v>289</v>
      </c>
      <c r="E105" s="2" t="s">
        <v>67</v>
      </c>
      <c r="F105" s="2" t="s">
        <v>258</v>
      </c>
    </row>
    <row r="106" spans="1:6" x14ac:dyDescent="0.3">
      <c r="A106" s="2" t="s">
        <v>290</v>
      </c>
      <c r="B106" s="3" t="s">
        <v>291</v>
      </c>
      <c r="C106" s="4" t="str">
        <f>'BOM Inputs'!D15</f>
        <v>As per design</v>
      </c>
      <c r="D106" s="3" t="s">
        <v>292</v>
      </c>
      <c r="E106" s="2" t="s">
        <v>67</v>
      </c>
      <c r="F106" s="2" t="s">
        <v>258</v>
      </c>
    </row>
    <row r="107" spans="1:6" x14ac:dyDescent="0.3">
      <c r="A107" s="2" t="s">
        <v>293</v>
      </c>
      <c r="B107" s="3" t="s">
        <v>294</v>
      </c>
      <c r="C107" s="4" t="str">
        <f>'BOM Inputs'!D16</f>
        <v>Class 0.5S</v>
      </c>
      <c r="D107" s="3" t="s">
        <v>295</v>
      </c>
      <c r="E107" s="2" t="s">
        <v>67</v>
      </c>
      <c r="F107" s="2" t="s">
        <v>258</v>
      </c>
    </row>
    <row r="108" spans="1:6" x14ac:dyDescent="0.3">
      <c r="A108" s="2" t="s">
        <v>296</v>
      </c>
      <c r="B108" s="3" t="s">
        <v>297</v>
      </c>
      <c r="C108" s="4" t="str">
        <f>'BOM Inputs'!D17</f>
        <v>ESE type</v>
      </c>
      <c r="D108" s="3" t="s">
        <v>298</v>
      </c>
      <c r="E108" s="2" t="s">
        <v>67</v>
      </c>
      <c r="F108" s="2" t="s">
        <v>258</v>
      </c>
    </row>
    <row r="109" spans="1:6" x14ac:dyDescent="0.3">
      <c r="A109" s="2" t="s">
        <v>299</v>
      </c>
      <c r="B109" s="3" t="s">
        <v>300</v>
      </c>
      <c r="C109" s="4" t="str">
        <f>'BOM Inputs'!D18</f>
        <v>Chemical earthing</v>
      </c>
      <c r="D109" s="3" t="s">
        <v>301</v>
      </c>
      <c r="E109" s="2" t="s">
        <v>67</v>
      </c>
      <c r="F109" s="2" t="s">
        <v>258</v>
      </c>
    </row>
    <row r="110" spans="1:6" x14ac:dyDescent="0.3">
      <c r="A110" s="2" t="s">
        <v>302</v>
      </c>
      <c r="B110" s="3" t="s">
        <v>303</v>
      </c>
      <c r="C110" s="4" t="str">
        <f>'BOM Inputs'!D19</f>
        <v>SS lifeline</v>
      </c>
      <c r="D110" s="3" t="s">
        <v>304</v>
      </c>
      <c r="E110" s="2" t="s">
        <v>67</v>
      </c>
      <c r="F110" s="2" t="s">
        <v>258</v>
      </c>
    </row>
    <row r="111" spans="1:6" x14ac:dyDescent="0.3">
      <c r="A111" s="2" t="s">
        <v>305</v>
      </c>
      <c r="B111" s="3" t="s">
        <v>306</v>
      </c>
      <c r="C111" s="4" t="str">
        <f>'BOM Inputs'!D20</f>
        <v>GI walkway</v>
      </c>
      <c r="D111" s="3" t="s">
        <v>307</v>
      </c>
      <c r="E111" s="2" t="s">
        <v>67</v>
      </c>
      <c r="F111" s="2" t="s">
        <v>258</v>
      </c>
    </row>
    <row r="112" spans="1:6" x14ac:dyDescent="0.3">
      <c r="A112" s="2" t="s">
        <v>308</v>
      </c>
      <c r="B112" s="3" t="s">
        <v>309</v>
      </c>
      <c r="C112" s="4" t="str">
        <f>'BOM Inputs'!D21</f>
        <v>GI mesh</v>
      </c>
      <c r="D112" s="3" t="s">
        <v>310</v>
      </c>
      <c r="E112" s="2" t="s">
        <v>67</v>
      </c>
      <c r="F112" s="2" t="s">
        <v>258</v>
      </c>
    </row>
    <row r="113" spans="1:6" x14ac:dyDescent="0.3">
      <c r="A113" s="2" t="s">
        <v>311</v>
      </c>
      <c r="B113" s="3" t="s">
        <v>312</v>
      </c>
      <c r="C113" s="4" t="str">
        <f>'BOM Inputs'!D22</f>
        <v>GI railing</v>
      </c>
      <c r="D113" s="3" t="s">
        <v>313</v>
      </c>
      <c r="E113" s="2" t="s">
        <v>67</v>
      </c>
      <c r="F113" s="2" t="s">
        <v>258</v>
      </c>
    </row>
    <row r="114" spans="1:6" x14ac:dyDescent="0.3">
      <c r="A114" s="2" t="s">
        <v>314</v>
      </c>
      <c r="B114" s="3" t="s">
        <v>315</v>
      </c>
      <c r="C114" s="4" t="str">
        <f>'BOM Inputs'!D23</f>
        <v>GI cage ladder</v>
      </c>
      <c r="D114" s="3" t="s">
        <v>316</v>
      </c>
      <c r="E114" s="2" t="s">
        <v>67</v>
      </c>
      <c r="F114" s="2" t="s">
        <v>258</v>
      </c>
    </row>
    <row r="115" spans="1:6" x14ac:dyDescent="0.3">
      <c r="A115" s="2" t="s">
        <v>317</v>
      </c>
      <c r="B115" s="3" t="s">
        <v>318</v>
      </c>
      <c r="C115" s="4" t="str">
        <f>'BOM Inputs'!D24</f>
        <v>Solis RMS</v>
      </c>
      <c r="D115" s="3" t="s">
        <v>319</v>
      </c>
      <c r="E115" s="2" t="s">
        <v>67</v>
      </c>
      <c r="F115" s="2" t="s">
        <v>258</v>
      </c>
    </row>
    <row r="116" spans="1:6" x14ac:dyDescent="0.3">
      <c r="A116" s="2" t="s">
        <v>320</v>
      </c>
      <c r="B116" s="3" t="s">
        <v>321</v>
      </c>
      <c r="C116" s="4" t="str">
        <f>'BOM Inputs'!D25</f>
        <v>Pyranometer</v>
      </c>
      <c r="D116" s="3" t="s">
        <v>322</v>
      </c>
      <c r="E116" s="2" t="s">
        <v>67</v>
      </c>
      <c r="F116" s="2" t="s">
        <v>258</v>
      </c>
    </row>
    <row r="117" spans="1:6" x14ac:dyDescent="0.3">
      <c r="A117" s="2" t="s">
        <v>323</v>
      </c>
      <c r="B117" s="3" t="s">
        <v>324</v>
      </c>
      <c r="C117" s="4" t="str">
        <f>'BOM Inputs'!D26</f>
        <v>RTD sensor</v>
      </c>
      <c r="D117" s="3" t="s">
        <v>325</v>
      </c>
      <c r="E117" s="2" t="s">
        <v>67</v>
      </c>
      <c r="F117" s="2" t="s">
        <v>258</v>
      </c>
    </row>
    <row r="118" spans="1:6" x14ac:dyDescent="0.3">
      <c r="A118" s="2" t="s">
        <v>326</v>
      </c>
      <c r="B118" s="3" t="s">
        <v>327</v>
      </c>
      <c r="C118" s="4" t="str">
        <f>'BOM Inputs'!D27</f>
        <v>Manual cleaning kit</v>
      </c>
      <c r="D118" s="3" t="s">
        <v>328</v>
      </c>
      <c r="E118" s="2" t="s">
        <v>67</v>
      </c>
      <c r="F118" s="2" t="s">
        <v>258</v>
      </c>
    </row>
    <row r="119" spans="1:6" x14ac:dyDescent="0.3">
      <c r="A119" s="2" t="s">
        <v>329</v>
      </c>
      <c r="B119" s="3" t="s">
        <v>330</v>
      </c>
      <c r="C119" s="4" t="str">
        <f>'BOM Inputs'!D28</f>
        <v>As per site</v>
      </c>
      <c r="D119" s="3" t="s">
        <v>331</v>
      </c>
      <c r="E119" s="2" t="s">
        <v>67</v>
      </c>
      <c r="F119" s="2" t="s">
        <v>258</v>
      </c>
    </row>
    <row r="120" spans="1:6" x14ac:dyDescent="0.3">
      <c r="A120" s="2" t="s">
        <v>332</v>
      </c>
      <c r="B120" s="3" t="s">
        <v>333</v>
      </c>
      <c r="C120" s="4" t="str">
        <f>'BOM Inputs'!D29</f>
        <v>As per design</v>
      </c>
      <c r="D120" s="3" t="s">
        <v>292</v>
      </c>
      <c r="E120" s="2" t="s">
        <v>67</v>
      </c>
      <c r="F120" s="2" t="s">
        <v>334</v>
      </c>
    </row>
    <row r="121" spans="1:6" x14ac:dyDescent="0.3">
      <c r="A121" s="2" t="s">
        <v>335</v>
      </c>
      <c r="B121" s="3" t="s">
        <v>336</v>
      </c>
      <c r="C121" s="4" t="str">
        <f>'BOM Inputs'!D30</f>
        <v>As per design</v>
      </c>
      <c r="D121" s="3" t="s">
        <v>292</v>
      </c>
      <c r="E121" s="2" t="s">
        <v>67</v>
      </c>
      <c r="F121" s="2" t="s">
        <v>334</v>
      </c>
    </row>
    <row r="122" spans="1:6" x14ac:dyDescent="0.3">
      <c r="A122" s="2" t="s">
        <v>337</v>
      </c>
      <c r="B122" s="3" t="s">
        <v>338</v>
      </c>
      <c r="C122" s="4" t="str">
        <f>'BOM Inputs'!D31</f>
        <v>As per design</v>
      </c>
      <c r="D122" s="3" t="s">
        <v>292</v>
      </c>
      <c r="E122" s="2" t="s">
        <v>67</v>
      </c>
      <c r="F122" s="2" t="s">
        <v>334</v>
      </c>
    </row>
    <row r="123" spans="1:6" x14ac:dyDescent="0.3">
      <c r="A123" s="2" t="s">
        <v>339</v>
      </c>
      <c r="B123" s="3" t="s">
        <v>340</v>
      </c>
      <c r="C123" s="4" t="str">
        <f>'BOM Inputs'!D32</f>
        <v>As per design</v>
      </c>
      <c r="D123" s="3" t="s">
        <v>292</v>
      </c>
      <c r="E123" s="2" t="s">
        <v>67</v>
      </c>
      <c r="F123" s="2" t="s">
        <v>334</v>
      </c>
    </row>
    <row r="124" spans="1:6" x14ac:dyDescent="0.3">
      <c r="A124" s="2" t="s">
        <v>341</v>
      </c>
      <c r="B124" s="3" t="s">
        <v>342</v>
      </c>
      <c r="C124" s="4" t="str">
        <f>'BOM Inputs'!D33</f>
        <v>As per design</v>
      </c>
      <c r="D124" s="3" t="s">
        <v>292</v>
      </c>
      <c r="E124" s="2" t="s">
        <v>67</v>
      </c>
      <c r="F124" s="2" t="s">
        <v>334</v>
      </c>
    </row>
    <row r="125" spans="1:6" x14ac:dyDescent="0.3">
      <c r="A125" s="2" t="s">
        <v>343</v>
      </c>
      <c r="B125" s="3" t="s">
        <v>344</v>
      </c>
      <c r="C125" s="4" t="str">
        <f>'BOM Inputs'!D34</f>
        <v>As per design</v>
      </c>
      <c r="D125" s="3" t="s">
        <v>292</v>
      </c>
      <c r="E125" s="2" t="s">
        <v>67</v>
      </c>
      <c r="F125" s="2" t="s">
        <v>334</v>
      </c>
    </row>
    <row r="126" spans="1:6" x14ac:dyDescent="0.3">
      <c r="A126" s="2" t="s">
        <v>345</v>
      </c>
      <c r="B126" s="3" t="s">
        <v>346</v>
      </c>
      <c r="C126" s="4" t="str">
        <f>'BOM Inputs'!D35</f>
        <v>As per design</v>
      </c>
      <c r="D126" s="3" t="s">
        <v>292</v>
      </c>
      <c r="E126" s="2" t="s">
        <v>67</v>
      </c>
      <c r="F126" s="2" t="s">
        <v>334</v>
      </c>
    </row>
    <row r="127" spans="1:6" x14ac:dyDescent="0.3">
      <c r="A127" s="2" t="s">
        <v>347</v>
      </c>
      <c r="B127" s="3" t="s">
        <v>348</v>
      </c>
      <c r="C127" s="4" t="str">
        <f>'BOM Inputs'!D36</f>
        <v>Class 0.5S, ABT meter</v>
      </c>
      <c r="D127" s="3" t="s">
        <v>349</v>
      </c>
      <c r="E127" s="2" t="s">
        <v>67</v>
      </c>
      <c r="F127" s="2" t="s">
        <v>334</v>
      </c>
    </row>
    <row r="128" spans="1:6" x14ac:dyDescent="0.3">
      <c r="A128" s="2" t="s">
        <v>350</v>
      </c>
      <c r="B128" s="3" t="s">
        <v>351</v>
      </c>
      <c r="C128" s="4" t="str">
        <f>'BOM Inputs'!D37</f>
        <v>As per design</v>
      </c>
      <c r="D128" s="3" t="s">
        <v>292</v>
      </c>
      <c r="E128" s="2" t="s">
        <v>67</v>
      </c>
      <c r="F128" s="2" t="s">
        <v>334</v>
      </c>
    </row>
    <row r="129" spans="1:6" x14ac:dyDescent="0.3">
      <c r="A129" s="185" t="s">
        <v>352</v>
      </c>
      <c r="B129" s="185"/>
      <c r="C129" s="185"/>
      <c r="D129" s="185"/>
      <c r="E129" s="185"/>
      <c r="F129" s="185"/>
    </row>
    <row r="130" spans="1:6" x14ac:dyDescent="0.3">
      <c r="A130" s="2" t="s">
        <v>353</v>
      </c>
      <c r="B130" s="3" t="s">
        <v>354</v>
      </c>
      <c r="C130" s="4" t="str">
        <f>C12</f>
        <v>4 + 1 Months</v>
      </c>
      <c r="D130" s="3" t="s">
        <v>40</v>
      </c>
      <c r="E130" s="2" t="s">
        <v>12</v>
      </c>
      <c r="F130" s="2" t="s">
        <v>355</v>
      </c>
    </row>
    <row r="131" spans="1:6" x14ac:dyDescent="0.3">
      <c r="A131" s="185" t="s">
        <v>356</v>
      </c>
      <c r="B131" s="185"/>
      <c r="C131" s="185"/>
      <c r="D131" s="185"/>
      <c r="E131" s="185"/>
      <c r="F131" s="185"/>
    </row>
    <row r="132" spans="1:6" x14ac:dyDescent="0.3">
      <c r="A132" s="2" t="s">
        <v>357</v>
      </c>
      <c r="B132" s="3" t="s">
        <v>358</v>
      </c>
      <c r="C132" s="170"/>
      <c r="D132" s="3" t="s">
        <v>359</v>
      </c>
      <c r="E132" s="2" t="s">
        <v>12</v>
      </c>
      <c r="F132" s="2" t="s">
        <v>360</v>
      </c>
    </row>
    <row r="133" spans="1:6" x14ac:dyDescent="0.3">
      <c r="A133" s="2" t="s">
        <v>361</v>
      </c>
      <c r="B133" s="3" t="s">
        <v>362</v>
      </c>
      <c r="C133" s="31"/>
      <c r="D133" s="3" t="s">
        <v>363</v>
      </c>
      <c r="E133" s="2" t="s">
        <v>12</v>
      </c>
      <c r="F133" s="2" t="s">
        <v>360</v>
      </c>
    </row>
    <row r="134" spans="1:6" x14ac:dyDescent="0.3">
      <c r="A134" s="2" t="s">
        <v>364</v>
      </c>
      <c r="B134" s="3" t="s">
        <v>365</v>
      </c>
      <c r="C134" s="4"/>
      <c r="D134" s="3"/>
      <c r="E134" s="2" t="s">
        <v>67</v>
      </c>
      <c r="F134" s="2" t="s">
        <v>360</v>
      </c>
    </row>
    <row r="135" spans="1:6" x14ac:dyDescent="0.3">
      <c r="A135" s="2" t="s">
        <v>366</v>
      </c>
      <c r="B135" s="3" t="s">
        <v>367</v>
      </c>
      <c r="C135" s="4"/>
      <c r="D135" s="3"/>
      <c r="E135" s="2" t="s">
        <v>67</v>
      </c>
      <c r="F135" s="2" t="s">
        <v>360</v>
      </c>
    </row>
    <row r="136" spans="1:6" x14ac:dyDescent="0.3">
      <c r="A136" s="2" t="s">
        <v>368</v>
      </c>
      <c r="B136" s="3" t="s">
        <v>369</v>
      </c>
      <c r="C136" s="4"/>
      <c r="D136" s="3"/>
      <c r="E136" s="2" t="s">
        <v>67</v>
      </c>
      <c r="F136" s="2" t="s">
        <v>360</v>
      </c>
    </row>
    <row r="137" spans="1:6" x14ac:dyDescent="0.3">
      <c r="A137" s="2" t="s">
        <v>370</v>
      </c>
      <c r="B137" s="3" t="s">
        <v>371</v>
      </c>
      <c r="C137" s="4"/>
      <c r="D137" s="3"/>
      <c r="E137" s="2" t="s">
        <v>67</v>
      </c>
      <c r="F137" s="2" t="s">
        <v>360</v>
      </c>
    </row>
    <row r="138" spans="1:6" x14ac:dyDescent="0.3">
      <c r="A138" s="2" t="s">
        <v>372</v>
      </c>
      <c r="B138" s="3" t="s">
        <v>373</v>
      </c>
      <c r="C138" s="170"/>
      <c r="D138" s="3"/>
      <c r="E138" s="2" t="s">
        <v>12</v>
      </c>
      <c r="F138" s="2" t="s">
        <v>360</v>
      </c>
    </row>
    <row r="139" spans="1:6" x14ac:dyDescent="0.3">
      <c r="A139" s="2" t="s">
        <v>374</v>
      </c>
      <c r="B139" s="3" t="s">
        <v>375</v>
      </c>
      <c r="C139" s="31"/>
      <c r="D139" s="3" t="s">
        <v>376</v>
      </c>
      <c r="E139" s="2" t="s">
        <v>12</v>
      </c>
      <c r="F139" s="2" t="s">
        <v>360</v>
      </c>
    </row>
    <row r="140" spans="1:6" ht="27.6" x14ac:dyDescent="0.3">
      <c r="A140" s="2" t="s">
        <v>377</v>
      </c>
      <c r="B140" s="3" t="s">
        <v>378</v>
      </c>
      <c r="C140" s="4"/>
      <c r="D140" s="3" t="s">
        <v>379</v>
      </c>
      <c r="E140" s="2" t="s">
        <v>12</v>
      </c>
      <c r="F140" s="2" t="s">
        <v>360</v>
      </c>
    </row>
    <row r="141" spans="1:6" x14ac:dyDescent="0.3">
      <c r="A141" s="2" t="s">
        <v>380</v>
      </c>
      <c r="B141" s="3" t="s">
        <v>381</v>
      </c>
      <c r="C141" s="4"/>
      <c r="D141" s="3" t="s">
        <v>382</v>
      </c>
      <c r="E141" s="2" t="s">
        <v>12</v>
      </c>
      <c r="F141" s="2" t="s">
        <v>360</v>
      </c>
    </row>
    <row r="142" spans="1:6" x14ac:dyDescent="0.3">
      <c r="A142" s="2" t="s">
        <v>383</v>
      </c>
      <c r="B142" s="3" t="s">
        <v>384</v>
      </c>
      <c r="C142" s="31"/>
      <c r="D142" s="3" t="s">
        <v>385</v>
      </c>
      <c r="E142" s="2" t="s">
        <v>12</v>
      </c>
      <c r="F142" s="2" t="s">
        <v>360</v>
      </c>
    </row>
    <row r="143" spans="1:6" x14ac:dyDescent="0.3">
      <c r="A143" s="186" t="s">
        <v>683</v>
      </c>
      <c r="B143" s="186"/>
      <c r="C143" s="186"/>
      <c r="D143" s="186"/>
      <c r="E143" s="186"/>
      <c r="F143" s="186"/>
    </row>
    <row r="144" spans="1:6" x14ac:dyDescent="0.3">
      <c r="A144" s="2" t="s">
        <v>386</v>
      </c>
      <c r="B144" s="3" t="s">
        <v>387</v>
      </c>
      <c r="C144" s="4">
        <f>Workings!D3</f>
        <v>500</v>
      </c>
      <c r="D144" s="3" t="s">
        <v>11</v>
      </c>
      <c r="E144" s="167" t="s">
        <v>686</v>
      </c>
      <c r="F144" s="2" t="s">
        <v>360</v>
      </c>
    </row>
    <row r="145" spans="1:6" x14ac:dyDescent="0.3">
      <c r="A145" s="2" t="s">
        <v>388</v>
      </c>
      <c r="B145" s="3" t="s">
        <v>389</v>
      </c>
      <c r="C145" s="170">
        <f>Workings!D4/100000</f>
        <v>239.308030368</v>
      </c>
      <c r="D145" s="3" t="s">
        <v>390</v>
      </c>
      <c r="E145" s="167" t="s">
        <v>686</v>
      </c>
      <c r="F145" s="2" t="s">
        <v>360</v>
      </c>
    </row>
    <row r="146" spans="1:6" x14ac:dyDescent="0.3">
      <c r="A146" s="2" t="s">
        <v>391</v>
      </c>
      <c r="B146" s="3" t="s">
        <v>392</v>
      </c>
      <c r="C146" s="170">
        <f>Workings!D6/100000</f>
        <v>19.557772913454549</v>
      </c>
      <c r="D146" s="3" t="s">
        <v>393</v>
      </c>
      <c r="E146" s="167" t="s">
        <v>686</v>
      </c>
      <c r="F146" s="2" t="s">
        <v>360</v>
      </c>
    </row>
    <row r="147" spans="1:6" x14ac:dyDescent="0.3">
      <c r="A147" s="2" t="s">
        <v>394</v>
      </c>
      <c r="B147" s="3" t="s">
        <v>395</v>
      </c>
      <c r="C147" s="170">
        <f>Workings!D7/100000</f>
        <v>219.75025745454545</v>
      </c>
      <c r="D147" s="3" t="s">
        <v>396</v>
      </c>
      <c r="E147" s="167" t="s">
        <v>686</v>
      </c>
      <c r="F147" s="2" t="s">
        <v>360</v>
      </c>
    </row>
    <row r="148" spans="1:6" x14ac:dyDescent="0.3">
      <c r="A148" s="2" t="s">
        <v>397</v>
      </c>
      <c r="B148" s="3" t="s">
        <v>398</v>
      </c>
      <c r="C148" s="4">
        <f>Workings!D8/100000</f>
        <v>3.25</v>
      </c>
      <c r="D148" s="3" t="s">
        <v>399</v>
      </c>
      <c r="E148" s="167" t="s">
        <v>686</v>
      </c>
      <c r="F148" s="2" t="s">
        <v>360</v>
      </c>
    </row>
    <row r="149" spans="1:6" x14ac:dyDescent="0.3">
      <c r="A149" s="2" t="s">
        <v>400</v>
      </c>
      <c r="B149" s="3" t="s">
        <v>401</v>
      </c>
      <c r="C149" s="31">
        <f>Workings!D12</f>
        <v>657000</v>
      </c>
      <c r="D149" s="3" t="s">
        <v>21</v>
      </c>
      <c r="E149" s="167" t="s">
        <v>686</v>
      </c>
      <c r="F149" s="2" t="s">
        <v>360</v>
      </c>
    </row>
    <row r="150" spans="1:6" x14ac:dyDescent="0.3">
      <c r="A150" s="2" t="s">
        <v>402</v>
      </c>
      <c r="B150" s="3" t="s">
        <v>403</v>
      </c>
      <c r="C150" s="4">
        <f>Workings!D13</f>
        <v>7.08</v>
      </c>
      <c r="D150" s="3" t="s">
        <v>404</v>
      </c>
      <c r="E150" s="167" t="s">
        <v>686</v>
      </c>
      <c r="F150" s="2" t="s">
        <v>360</v>
      </c>
    </row>
    <row r="151" spans="1:6" x14ac:dyDescent="0.3">
      <c r="A151" s="2" t="s">
        <v>405</v>
      </c>
      <c r="B151" s="3" t="s">
        <v>406</v>
      </c>
      <c r="C151" s="168">
        <f>Workings!D14</f>
        <v>0.02</v>
      </c>
      <c r="D151" s="3" t="s">
        <v>407</v>
      </c>
      <c r="E151" s="167" t="s">
        <v>686</v>
      </c>
      <c r="F151" s="2" t="s">
        <v>360</v>
      </c>
    </row>
    <row r="152" spans="1:6" x14ac:dyDescent="0.3">
      <c r="A152" s="2" t="s">
        <v>408</v>
      </c>
      <c r="B152" s="3" t="s">
        <v>409</v>
      </c>
      <c r="C152" s="171">
        <f>Workings!D15/100000</f>
        <v>50.964648612144188</v>
      </c>
      <c r="D152" s="3" t="s">
        <v>410</v>
      </c>
      <c r="E152" s="167" t="s">
        <v>686</v>
      </c>
      <c r="F152" s="2" t="s">
        <v>360</v>
      </c>
    </row>
    <row r="153" spans="1:6" x14ac:dyDescent="0.3">
      <c r="A153" s="2" t="s">
        <v>411</v>
      </c>
      <c r="B153" s="3" t="s">
        <v>412</v>
      </c>
      <c r="C153" s="172">
        <f>Workings!D16</f>
        <v>5.137559277007556</v>
      </c>
      <c r="D153" s="3" t="s">
        <v>413</v>
      </c>
      <c r="E153" s="167" t="s">
        <v>686</v>
      </c>
      <c r="F153" s="2" t="s">
        <v>360</v>
      </c>
    </row>
    <row r="154" spans="1:6" x14ac:dyDescent="0.3">
      <c r="A154" s="2" t="s">
        <v>414</v>
      </c>
      <c r="B154" s="3" t="s">
        <v>415</v>
      </c>
      <c r="C154" s="4">
        <f>Workings!D17</f>
        <v>25</v>
      </c>
      <c r="D154" s="3" t="s">
        <v>250</v>
      </c>
      <c r="E154" s="167" t="s">
        <v>686</v>
      </c>
      <c r="F154" s="2" t="s">
        <v>360</v>
      </c>
    </row>
    <row r="155" spans="1:6" x14ac:dyDescent="0.3">
      <c r="A155" s="2" t="s">
        <v>416</v>
      </c>
      <c r="B155" s="3" t="s">
        <v>417</v>
      </c>
      <c r="C155" s="4">
        <f>Workings!D18</f>
        <v>5</v>
      </c>
      <c r="D155" s="3" t="s">
        <v>418</v>
      </c>
      <c r="E155" s="167" t="s">
        <v>686</v>
      </c>
      <c r="F155" s="2" t="s">
        <v>360</v>
      </c>
    </row>
    <row r="156" spans="1:6" x14ac:dyDescent="0.3">
      <c r="A156" s="2" t="s">
        <v>419</v>
      </c>
      <c r="B156" s="3" t="s">
        <v>420</v>
      </c>
      <c r="C156" s="31">
        <f>Workings!D19/100000</f>
        <v>697.97713167095037</v>
      </c>
      <c r="D156" s="3" t="s">
        <v>421</v>
      </c>
      <c r="E156" s="167" t="s">
        <v>686</v>
      </c>
      <c r="F156" s="2" t="s">
        <v>360</v>
      </c>
    </row>
    <row r="157" spans="1:6" x14ac:dyDescent="0.3">
      <c r="A157" s="2" t="s">
        <v>422</v>
      </c>
      <c r="B157" s="3" t="s">
        <v>423</v>
      </c>
      <c r="C157" s="31">
        <f>Workings!D20/100000</f>
        <v>152.42400000000001</v>
      </c>
      <c r="D157" s="3" t="s">
        <v>424</v>
      </c>
      <c r="E157" s="167" t="s">
        <v>686</v>
      </c>
      <c r="F157" s="2" t="s">
        <v>360</v>
      </c>
    </row>
    <row r="158" spans="1:6" x14ac:dyDescent="0.3">
      <c r="A158" s="2" t="s">
        <v>425</v>
      </c>
      <c r="B158" s="3" t="s">
        <v>426</v>
      </c>
      <c r="C158" s="169">
        <f>Workings!D21</f>
        <v>3.8853245799401361</v>
      </c>
      <c r="D158" s="3" t="s">
        <v>427</v>
      </c>
      <c r="E158" s="167" t="s">
        <v>686</v>
      </c>
      <c r="F158" s="2" t="s">
        <v>360</v>
      </c>
    </row>
    <row r="159" spans="1:6" x14ac:dyDescent="0.3">
      <c r="A159" s="2" t="s">
        <v>428</v>
      </c>
      <c r="B159" s="3" t="s">
        <v>429</v>
      </c>
      <c r="C159" s="168">
        <f>Workings!D22</f>
        <v>0.17679782136468813</v>
      </c>
      <c r="D159" s="3" t="s">
        <v>430</v>
      </c>
      <c r="E159" s="167" t="s">
        <v>686</v>
      </c>
      <c r="F159" s="2" t="s">
        <v>360</v>
      </c>
    </row>
    <row r="160" spans="1:6" x14ac:dyDescent="0.3">
      <c r="A160" s="2" t="s">
        <v>431</v>
      </c>
      <c r="B160" s="3" t="s">
        <v>432</v>
      </c>
      <c r="C160" s="168">
        <f>Workings!D23</f>
        <v>0.3580267312711769</v>
      </c>
      <c r="D160" s="3" t="s">
        <v>433</v>
      </c>
      <c r="E160" s="167" t="s">
        <v>686</v>
      </c>
      <c r="F160" s="2" t="s">
        <v>360</v>
      </c>
    </row>
    <row r="161" spans="1:6" x14ac:dyDescent="0.3">
      <c r="A161" s="185" t="s">
        <v>434</v>
      </c>
      <c r="B161" s="185"/>
      <c r="C161" s="185"/>
      <c r="D161" s="185"/>
      <c r="E161" s="185"/>
      <c r="F161" s="185"/>
    </row>
    <row r="162" spans="1:6" x14ac:dyDescent="0.3">
      <c r="A162" s="2" t="s">
        <v>435</v>
      </c>
      <c r="B162" s="3" t="s">
        <v>436</v>
      </c>
      <c r="C162" s="4" t="s">
        <v>74</v>
      </c>
      <c r="D162" s="3" t="s">
        <v>74</v>
      </c>
      <c r="E162" s="2" t="s">
        <v>67</v>
      </c>
      <c r="F162" s="2" t="s">
        <v>437</v>
      </c>
    </row>
    <row r="163" spans="1:6" x14ac:dyDescent="0.3">
      <c r="A163" s="2" t="s">
        <v>438</v>
      </c>
      <c r="B163" s="3" t="s">
        <v>439</v>
      </c>
      <c r="C163" s="4">
        <f>C148</f>
        <v>3.25</v>
      </c>
      <c r="D163" s="3" t="s">
        <v>399</v>
      </c>
      <c r="E163" s="167" t="s">
        <v>67</v>
      </c>
      <c r="F163" s="2" t="s">
        <v>437</v>
      </c>
    </row>
    <row r="164" spans="1:6" x14ac:dyDescent="0.3">
      <c r="A164" s="2" t="s">
        <v>440</v>
      </c>
      <c r="B164" s="3" t="s">
        <v>441</v>
      </c>
      <c r="C164" s="4"/>
      <c r="D164" s="3" t="s">
        <v>442</v>
      </c>
      <c r="E164" s="2" t="s">
        <v>67</v>
      </c>
      <c r="F164" s="2" t="s">
        <v>437</v>
      </c>
    </row>
    <row r="165" spans="1:6" x14ac:dyDescent="0.3">
      <c r="A165" s="2" t="s">
        <v>443</v>
      </c>
      <c r="B165" s="3" t="s">
        <v>444</v>
      </c>
      <c r="C165" s="4" t="s">
        <v>43</v>
      </c>
      <c r="D165" s="3" t="s">
        <v>445</v>
      </c>
      <c r="E165" s="2" t="s">
        <v>67</v>
      </c>
      <c r="F165" s="2" t="s">
        <v>437</v>
      </c>
    </row>
    <row r="166" spans="1:6" x14ac:dyDescent="0.3">
      <c r="A166" s="185" t="s">
        <v>446</v>
      </c>
      <c r="B166" s="185"/>
      <c r="C166" s="185"/>
      <c r="D166" s="185"/>
      <c r="E166" s="185"/>
      <c r="F166" s="185"/>
    </row>
    <row r="167" spans="1:6" x14ac:dyDescent="0.3">
      <c r="A167" s="2" t="s">
        <v>447</v>
      </c>
      <c r="B167" s="3" t="s">
        <v>448</v>
      </c>
      <c r="C167" s="31" t="e">
        <f>'Environmental Benefits (2)'!F17</f>
        <v>#DIV/0!</v>
      </c>
      <c r="D167" s="3" t="s">
        <v>62</v>
      </c>
      <c r="E167" s="167" t="s">
        <v>71</v>
      </c>
      <c r="F167" s="2" t="s">
        <v>449</v>
      </c>
    </row>
    <row r="168" spans="1:6" x14ac:dyDescent="0.3">
      <c r="A168" s="185" t="s">
        <v>450</v>
      </c>
      <c r="B168" s="185"/>
      <c r="C168" s="185"/>
      <c r="D168" s="185"/>
      <c r="E168" s="185"/>
      <c r="F168" s="185"/>
    </row>
    <row r="169" spans="1:6" x14ac:dyDescent="0.3">
      <c r="A169" s="2" t="s">
        <v>451</v>
      </c>
      <c r="B169" s="3" t="s">
        <v>452</v>
      </c>
      <c r="C169" s="4" t="str">
        <f>TEXT(C7/100000,"0.00")&amp;" L"</f>
        <v>0.00 L</v>
      </c>
      <c r="D169" s="3" t="s">
        <v>453</v>
      </c>
      <c r="E169" s="167" t="s">
        <v>685</v>
      </c>
      <c r="F169" s="2" t="s">
        <v>454</v>
      </c>
    </row>
    <row r="170" spans="1:6" x14ac:dyDescent="0.3">
      <c r="A170" s="2" t="s">
        <v>455</v>
      </c>
      <c r="B170" s="3" t="s">
        <v>456</v>
      </c>
      <c r="C170" s="4"/>
      <c r="D170" s="3" t="s">
        <v>457</v>
      </c>
      <c r="E170" s="2" t="s">
        <v>67</v>
      </c>
      <c r="F170" s="2" t="s">
        <v>454</v>
      </c>
    </row>
    <row r="171" spans="1:6" x14ac:dyDescent="0.3">
      <c r="A171" s="2" t="s">
        <v>458</v>
      </c>
      <c r="B171" s="3" t="s">
        <v>459</v>
      </c>
      <c r="C171" s="4" t="str">
        <f>"₹ "&amp;TEXT(C139/10000000,"0.00")&amp;" Cr"</f>
        <v>₹ 0.00 Cr</v>
      </c>
      <c r="D171" s="3" t="s">
        <v>460</v>
      </c>
      <c r="E171" s="167" t="s">
        <v>71</v>
      </c>
      <c r="F171" s="2" t="s">
        <v>454</v>
      </c>
    </row>
    <row r="172" spans="1:6" x14ac:dyDescent="0.3">
      <c r="A172" s="2" t="s">
        <v>461</v>
      </c>
      <c r="B172" s="3" t="s">
        <v>462</v>
      </c>
      <c r="C172" s="31" t="e">
        <f>'Environmental Benefits (2)'!F17</f>
        <v>#DIV/0!</v>
      </c>
      <c r="D172" s="3" t="s">
        <v>463</v>
      </c>
      <c r="E172" s="167" t="s">
        <v>685</v>
      </c>
      <c r="F172" s="2" t="s">
        <v>454</v>
      </c>
    </row>
    <row r="173" spans="1:6" x14ac:dyDescent="0.3">
      <c r="A173" s="2" t="s">
        <v>464</v>
      </c>
      <c r="B173" s="3" t="s">
        <v>465</v>
      </c>
      <c r="C173" s="4" t="str">
        <f>C12</f>
        <v>4 + 1 Months</v>
      </c>
      <c r="D173" s="3" t="s">
        <v>466</v>
      </c>
      <c r="E173" s="167" t="s">
        <v>685</v>
      </c>
      <c r="F173" s="2" t="s">
        <v>454</v>
      </c>
    </row>
    <row r="174" spans="1:6" x14ac:dyDescent="0.3">
      <c r="A174" s="185" t="s">
        <v>467</v>
      </c>
      <c r="B174" s="185"/>
      <c r="C174" s="185"/>
      <c r="D174" s="185"/>
      <c r="E174" s="185"/>
      <c r="F174" s="185"/>
    </row>
    <row r="175" spans="1:6" x14ac:dyDescent="0.3">
      <c r="A175" s="2" t="s">
        <v>468</v>
      </c>
      <c r="B175" s="3" t="s">
        <v>469</v>
      </c>
      <c r="C175" s="31" t="e">
        <f>'Environmental Benefits (2)'!C17</f>
        <v>#DIV/0!</v>
      </c>
      <c r="D175" s="3" t="s">
        <v>470</v>
      </c>
      <c r="E175" s="167" t="s">
        <v>685</v>
      </c>
      <c r="F175" s="2" t="s">
        <v>454</v>
      </c>
    </row>
    <row r="176" spans="1:6" x14ac:dyDescent="0.3">
      <c r="A176" s="2" t="s">
        <v>471</v>
      </c>
      <c r="B176" s="3" t="s">
        <v>472</v>
      </c>
      <c r="C176" s="31" t="e">
        <f>'Environmental Benefits (2)'!G17</f>
        <v>#DIV/0!</v>
      </c>
      <c r="D176" s="3" t="s">
        <v>473</v>
      </c>
      <c r="E176" s="167" t="s">
        <v>685</v>
      </c>
      <c r="F176" s="2" t="s">
        <v>454</v>
      </c>
    </row>
    <row r="177" spans="1:6" x14ac:dyDescent="0.3">
      <c r="A177" s="2" t="s">
        <v>474</v>
      </c>
      <c r="B177" s="3" t="s">
        <v>475</v>
      </c>
      <c r="C177" s="31" t="e">
        <f>'Environmental Benefits (2)'!C19</f>
        <v>#DIV/0!</v>
      </c>
      <c r="D177" s="3" t="s">
        <v>476</v>
      </c>
      <c r="E177" s="167" t="s">
        <v>685</v>
      </c>
      <c r="F177" s="2" t="s">
        <v>454</v>
      </c>
    </row>
    <row r="178" spans="1:6" x14ac:dyDescent="0.3">
      <c r="A178" s="185" t="s">
        <v>477</v>
      </c>
      <c r="B178" s="185"/>
      <c r="C178" s="185"/>
      <c r="D178" s="185"/>
      <c r="E178" s="185"/>
      <c r="F178" s="185"/>
    </row>
    <row r="179" spans="1:6" x14ac:dyDescent="0.3">
      <c r="A179" s="2" t="s">
        <v>478</v>
      </c>
      <c r="B179" s="3" t="s">
        <v>479</v>
      </c>
      <c r="C179" s="31" t="e">
        <f>'Environmental Benefits (2)'!C17</f>
        <v>#DIV/0!</v>
      </c>
      <c r="D179" s="3" t="s">
        <v>480</v>
      </c>
      <c r="E179" s="167" t="s">
        <v>685</v>
      </c>
      <c r="F179" s="2" t="s">
        <v>449</v>
      </c>
    </row>
    <row r="180" spans="1:6" x14ac:dyDescent="0.3">
      <c r="A180" s="2" t="s">
        <v>481</v>
      </c>
      <c r="B180" s="3" t="s">
        <v>482</v>
      </c>
      <c r="C180" s="31" t="e">
        <f>'Environmental Benefits (2)'!C19</f>
        <v>#DIV/0!</v>
      </c>
      <c r="D180" s="3" t="s">
        <v>480</v>
      </c>
      <c r="E180" s="167" t="s">
        <v>685</v>
      </c>
      <c r="F180" s="2" t="s">
        <v>449</v>
      </c>
    </row>
    <row r="181" spans="1:6" x14ac:dyDescent="0.3">
      <c r="A181" s="2" t="s">
        <v>483</v>
      </c>
      <c r="B181" s="3" t="s">
        <v>484</v>
      </c>
      <c r="C181" s="31" t="e">
        <f>'Environmental Benefits (2)'!G17</f>
        <v>#DIV/0!</v>
      </c>
      <c r="D181" s="3" t="s">
        <v>485</v>
      </c>
      <c r="E181" s="167" t="s">
        <v>685</v>
      </c>
      <c r="F181" s="2" t="s">
        <v>449</v>
      </c>
    </row>
    <row r="182" spans="1:6" x14ac:dyDescent="0.3">
      <c r="A182" s="2" t="s">
        <v>486</v>
      </c>
      <c r="B182" s="3" t="s">
        <v>487</v>
      </c>
      <c r="C182" s="31" t="e">
        <f>'Environmental Benefits (2)'!F17</f>
        <v>#DIV/0!</v>
      </c>
      <c r="D182" s="3" t="s">
        <v>488</v>
      </c>
      <c r="E182" s="167" t="s">
        <v>685</v>
      </c>
      <c r="F182" s="2" t="s">
        <v>449</v>
      </c>
    </row>
  </sheetData>
  <mergeCells count="16">
    <mergeCell ref="A178:F178"/>
    <mergeCell ref="A143:F143"/>
    <mergeCell ref="A161:F161"/>
    <mergeCell ref="A166:F166"/>
    <mergeCell ref="A168:F168"/>
    <mergeCell ref="A174:F174"/>
    <mergeCell ref="A46:F46"/>
    <mergeCell ref="A86:F86"/>
    <mergeCell ref="A93:F93"/>
    <mergeCell ref="A129:F129"/>
    <mergeCell ref="A131:F131"/>
    <mergeCell ref="A1:F1"/>
    <mergeCell ref="A2:F2"/>
    <mergeCell ref="A4:F4"/>
    <mergeCell ref="A23:F23"/>
    <mergeCell ref="A37:F3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3593E-0901-40FD-B503-84FCD9D3CB2B}">
  <dimension ref="B2:D37"/>
  <sheetViews>
    <sheetView zoomScale="68" workbookViewId="0">
      <selection activeCell="H5" sqref="H5"/>
    </sheetView>
  </sheetViews>
  <sheetFormatPr defaultRowHeight="14.4" x14ac:dyDescent="0.3"/>
  <cols>
    <col min="2" max="2" width="9" customWidth="1"/>
    <col min="3" max="3" width="52" customWidth="1"/>
    <col min="4" max="4" width="36" customWidth="1"/>
  </cols>
  <sheetData>
    <row r="2" spans="2:4" ht="15" thickBot="1" x14ac:dyDescent="0.35"/>
    <row r="3" spans="2:4" x14ac:dyDescent="0.3">
      <c r="B3" s="175" t="s">
        <v>255</v>
      </c>
      <c r="C3" s="176" t="s">
        <v>256</v>
      </c>
      <c r="D3" s="177" t="s">
        <v>257</v>
      </c>
    </row>
    <row r="4" spans="2:4" x14ac:dyDescent="0.3">
      <c r="B4" s="178" t="s">
        <v>259</v>
      </c>
      <c r="C4" s="3" t="s">
        <v>260</v>
      </c>
      <c r="D4" s="179" t="s">
        <v>33</v>
      </c>
    </row>
    <row r="5" spans="2:4" x14ac:dyDescent="0.3">
      <c r="B5" s="178" t="s">
        <v>261</v>
      </c>
      <c r="C5" s="3" t="s">
        <v>262</v>
      </c>
      <c r="D5" s="179" t="s">
        <v>263</v>
      </c>
    </row>
    <row r="6" spans="2:4" x14ac:dyDescent="0.3">
      <c r="B6" s="178" t="s">
        <v>264</v>
      </c>
      <c r="C6" s="3" t="s">
        <v>265</v>
      </c>
      <c r="D6" s="179" t="s">
        <v>266</v>
      </c>
    </row>
    <row r="7" spans="2:4" x14ac:dyDescent="0.3">
      <c r="B7" s="178" t="s">
        <v>267</v>
      </c>
      <c r="C7" s="3" t="s">
        <v>268</v>
      </c>
      <c r="D7" s="179" t="s">
        <v>269</v>
      </c>
    </row>
    <row r="8" spans="2:4" x14ac:dyDescent="0.3">
      <c r="B8" s="178" t="s">
        <v>270</v>
      </c>
      <c r="C8" s="3" t="s">
        <v>271</v>
      </c>
      <c r="D8" s="179" t="s">
        <v>36</v>
      </c>
    </row>
    <row r="9" spans="2:4" x14ac:dyDescent="0.3">
      <c r="B9" s="178" t="s">
        <v>272</v>
      </c>
      <c r="C9" s="3" t="s">
        <v>273</v>
      </c>
      <c r="D9" s="179" t="s">
        <v>274</v>
      </c>
    </row>
    <row r="10" spans="2:4" x14ac:dyDescent="0.3">
      <c r="B10" s="178" t="s">
        <v>275</v>
      </c>
      <c r="C10" s="3" t="s">
        <v>276</v>
      </c>
      <c r="D10" s="179" t="s">
        <v>277</v>
      </c>
    </row>
    <row r="11" spans="2:4" x14ac:dyDescent="0.3">
      <c r="B11" s="178" t="s">
        <v>278</v>
      </c>
      <c r="C11" s="3" t="s">
        <v>279</v>
      </c>
      <c r="D11" s="179" t="s">
        <v>280</v>
      </c>
    </row>
    <row r="12" spans="2:4" x14ac:dyDescent="0.3">
      <c r="B12" s="178" t="s">
        <v>281</v>
      </c>
      <c r="C12" s="3" t="s">
        <v>282</v>
      </c>
      <c r="D12" s="179" t="s">
        <v>283</v>
      </c>
    </row>
    <row r="13" spans="2:4" x14ac:dyDescent="0.3">
      <c r="B13" s="178" t="s">
        <v>284</v>
      </c>
      <c r="C13" s="3" t="s">
        <v>285</v>
      </c>
      <c r="D13" s="179" t="s">
        <v>286</v>
      </c>
    </row>
    <row r="14" spans="2:4" x14ac:dyDescent="0.3">
      <c r="B14" s="178" t="s">
        <v>287</v>
      </c>
      <c r="C14" s="3" t="s">
        <v>288</v>
      </c>
      <c r="D14" s="179" t="s">
        <v>289</v>
      </c>
    </row>
    <row r="15" spans="2:4" x14ac:dyDescent="0.3">
      <c r="B15" s="178" t="s">
        <v>290</v>
      </c>
      <c r="C15" s="3" t="s">
        <v>291</v>
      </c>
      <c r="D15" s="179" t="s">
        <v>292</v>
      </c>
    </row>
    <row r="16" spans="2:4" x14ac:dyDescent="0.3">
      <c r="B16" s="178" t="s">
        <v>293</v>
      </c>
      <c r="C16" s="3" t="s">
        <v>294</v>
      </c>
      <c r="D16" s="179" t="s">
        <v>295</v>
      </c>
    </row>
    <row r="17" spans="2:4" x14ac:dyDescent="0.3">
      <c r="B17" s="178" t="s">
        <v>296</v>
      </c>
      <c r="C17" s="3" t="s">
        <v>297</v>
      </c>
      <c r="D17" s="179" t="s">
        <v>298</v>
      </c>
    </row>
    <row r="18" spans="2:4" x14ac:dyDescent="0.3">
      <c r="B18" s="178" t="s">
        <v>299</v>
      </c>
      <c r="C18" s="3" t="s">
        <v>300</v>
      </c>
      <c r="D18" s="179" t="s">
        <v>301</v>
      </c>
    </row>
    <row r="19" spans="2:4" x14ac:dyDescent="0.3">
      <c r="B19" s="178" t="s">
        <v>302</v>
      </c>
      <c r="C19" s="3" t="s">
        <v>303</v>
      </c>
      <c r="D19" s="179" t="s">
        <v>304</v>
      </c>
    </row>
    <row r="20" spans="2:4" x14ac:dyDescent="0.3">
      <c r="B20" s="178" t="s">
        <v>305</v>
      </c>
      <c r="C20" s="3" t="s">
        <v>306</v>
      </c>
      <c r="D20" s="179" t="s">
        <v>307</v>
      </c>
    </row>
    <row r="21" spans="2:4" x14ac:dyDescent="0.3">
      <c r="B21" s="178" t="s">
        <v>308</v>
      </c>
      <c r="C21" s="3" t="s">
        <v>309</v>
      </c>
      <c r="D21" s="179" t="s">
        <v>310</v>
      </c>
    </row>
    <row r="22" spans="2:4" x14ac:dyDescent="0.3">
      <c r="B22" s="178" t="s">
        <v>311</v>
      </c>
      <c r="C22" s="3" t="s">
        <v>312</v>
      </c>
      <c r="D22" s="179" t="s">
        <v>313</v>
      </c>
    </row>
    <row r="23" spans="2:4" x14ac:dyDescent="0.3">
      <c r="B23" s="178" t="s">
        <v>314</v>
      </c>
      <c r="C23" s="3" t="s">
        <v>315</v>
      </c>
      <c r="D23" s="179" t="s">
        <v>316</v>
      </c>
    </row>
    <row r="24" spans="2:4" x14ac:dyDescent="0.3">
      <c r="B24" s="178" t="s">
        <v>317</v>
      </c>
      <c r="C24" s="3" t="s">
        <v>318</v>
      </c>
      <c r="D24" s="179" t="s">
        <v>319</v>
      </c>
    </row>
    <row r="25" spans="2:4" x14ac:dyDescent="0.3">
      <c r="B25" s="178" t="s">
        <v>320</v>
      </c>
      <c r="C25" s="3" t="s">
        <v>321</v>
      </c>
      <c r="D25" s="179" t="s">
        <v>322</v>
      </c>
    </row>
    <row r="26" spans="2:4" x14ac:dyDescent="0.3">
      <c r="B26" s="178" t="s">
        <v>323</v>
      </c>
      <c r="C26" s="3" t="s">
        <v>324</v>
      </c>
      <c r="D26" s="179" t="s">
        <v>325</v>
      </c>
    </row>
    <row r="27" spans="2:4" x14ac:dyDescent="0.3">
      <c r="B27" s="178" t="s">
        <v>326</v>
      </c>
      <c r="C27" s="3" t="s">
        <v>327</v>
      </c>
      <c r="D27" s="179" t="s">
        <v>328</v>
      </c>
    </row>
    <row r="28" spans="2:4" x14ac:dyDescent="0.3">
      <c r="B28" s="178" t="s">
        <v>329</v>
      </c>
      <c r="C28" s="3" t="s">
        <v>330</v>
      </c>
      <c r="D28" s="179" t="s">
        <v>331</v>
      </c>
    </row>
    <row r="29" spans="2:4" x14ac:dyDescent="0.3">
      <c r="B29" s="178" t="s">
        <v>332</v>
      </c>
      <c r="C29" s="3" t="s">
        <v>333</v>
      </c>
      <c r="D29" s="179" t="s">
        <v>292</v>
      </c>
    </row>
    <row r="30" spans="2:4" x14ac:dyDescent="0.3">
      <c r="B30" s="178" t="s">
        <v>335</v>
      </c>
      <c r="C30" s="3" t="s">
        <v>336</v>
      </c>
      <c r="D30" s="179" t="s">
        <v>292</v>
      </c>
    </row>
    <row r="31" spans="2:4" x14ac:dyDescent="0.3">
      <c r="B31" s="178" t="s">
        <v>337</v>
      </c>
      <c r="C31" s="3" t="s">
        <v>338</v>
      </c>
      <c r="D31" s="179" t="s">
        <v>292</v>
      </c>
    </row>
    <row r="32" spans="2:4" x14ac:dyDescent="0.3">
      <c r="B32" s="178" t="s">
        <v>339</v>
      </c>
      <c r="C32" s="3" t="s">
        <v>340</v>
      </c>
      <c r="D32" s="179" t="s">
        <v>292</v>
      </c>
    </row>
    <row r="33" spans="2:4" x14ac:dyDescent="0.3">
      <c r="B33" s="178" t="s">
        <v>341</v>
      </c>
      <c r="C33" s="3" t="s">
        <v>342</v>
      </c>
      <c r="D33" s="179" t="s">
        <v>292</v>
      </c>
    </row>
    <row r="34" spans="2:4" x14ac:dyDescent="0.3">
      <c r="B34" s="178" t="s">
        <v>343</v>
      </c>
      <c r="C34" s="3" t="s">
        <v>344</v>
      </c>
      <c r="D34" s="179" t="s">
        <v>292</v>
      </c>
    </row>
    <row r="35" spans="2:4" x14ac:dyDescent="0.3">
      <c r="B35" s="178" t="s">
        <v>345</v>
      </c>
      <c r="C35" s="3" t="s">
        <v>346</v>
      </c>
      <c r="D35" s="179" t="s">
        <v>292</v>
      </c>
    </row>
    <row r="36" spans="2:4" x14ac:dyDescent="0.3">
      <c r="B36" s="178" t="s">
        <v>347</v>
      </c>
      <c r="C36" s="3" t="s">
        <v>348</v>
      </c>
      <c r="D36" s="179" t="s">
        <v>349</v>
      </c>
    </row>
    <row r="37" spans="2:4" ht="15" thickBot="1" x14ac:dyDescent="0.35">
      <c r="B37" s="180" t="s">
        <v>350</v>
      </c>
      <c r="C37" s="181" t="s">
        <v>351</v>
      </c>
      <c r="D37" s="182" t="s">
        <v>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9FC8-15F0-4424-84A9-A00071072DE1}">
  <sheetPr>
    <tabColor rgb="FF92D050"/>
  </sheetPr>
  <dimension ref="A2:R25"/>
  <sheetViews>
    <sheetView topLeftCell="A3" zoomScale="115" zoomScaleNormal="115" workbookViewId="0">
      <selection activeCell="C12" sqref="C12"/>
    </sheetView>
  </sheetViews>
  <sheetFormatPr defaultRowHeight="14.4" x14ac:dyDescent="0.3"/>
  <cols>
    <col min="1" max="1" width="8.88671875" style="29"/>
    <col min="2" max="2" width="41.88671875" style="29" customWidth="1"/>
    <col min="3" max="3" width="13.109375" style="29" bestFit="1" customWidth="1"/>
    <col min="4" max="7" width="15" style="29" customWidth="1"/>
    <col min="8" max="9" width="8.88671875" style="29"/>
    <col min="10" max="10" width="12.5546875" style="29" bestFit="1" customWidth="1"/>
    <col min="11" max="16384" width="8.88671875" style="29"/>
  </cols>
  <sheetData>
    <row r="2" spans="1:18" s="6" customFormat="1" ht="15.6" x14ac:dyDescent="0.3">
      <c r="A2" s="5"/>
      <c r="B2" s="187" t="s">
        <v>489</v>
      </c>
      <c r="C2" s="188"/>
      <c r="D2" s="18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s="6" customFormat="1" x14ac:dyDescent="0.3">
      <c r="A3" s="5"/>
      <c r="B3" s="7" t="s">
        <v>490</v>
      </c>
      <c r="C3" s="5"/>
      <c r="D3" s="5"/>
      <c r="E3" s="5"/>
      <c r="F3" s="5"/>
      <c r="G3" s="8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s="6" customFormat="1" x14ac:dyDescent="0.3">
      <c r="A4" s="5"/>
      <c r="B4" s="9" t="s">
        <v>491</v>
      </c>
      <c r="C4" s="10">
        <v>0.47</v>
      </c>
      <c r="D4" s="9" t="s">
        <v>492</v>
      </c>
      <c r="E4" s="5"/>
      <c r="F4" s="5"/>
      <c r="G4" s="8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s="6" customFormat="1" x14ac:dyDescent="0.3">
      <c r="A5" s="5"/>
      <c r="B5" s="9" t="s">
        <v>493</v>
      </c>
      <c r="C5" s="10">
        <v>0.97</v>
      </c>
      <c r="D5" s="9" t="s">
        <v>492</v>
      </c>
      <c r="E5" s="5"/>
      <c r="G5" s="11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s="6" customFormat="1" x14ac:dyDescent="0.3">
      <c r="B6" s="9" t="s">
        <v>494</v>
      </c>
      <c r="C6" s="10">
        <v>7.0000000000000001E-3</v>
      </c>
      <c r="D6" s="9" t="s">
        <v>492</v>
      </c>
      <c r="E6" s="5"/>
      <c r="F6" s="12"/>
      <c r="G6" s="13"/>
      <c r="H6" s="14"/>
      <c r="I6" s="5"/>
      <c r="J6" s="15"/>
      <c r="K6" s="5"/>
      <c r="L6" s="5"/>
      <c r="M6" s="5"/>
      <c r="N6" s="5"/>
      <c r="O6" s="5"/>
      <c r="P6" s="5"/>
      <c r="Q6" s="5"/>
      <c r="R6" s="5"/>
    </row>
    <row r="7" spans="1:18" s="6" customFormat="1" x14ac:dyDescent="0.3">
      <c r="B7" s="9" t="s">
        <v>495</v>
      </c>
      <c r="C7" s="10">
        <v>4.3E-3</v>
      </c>
      <c r="D7" s="9" t="s">
        <v>492</v>
      </c>
      <c r="E7" s="5"/>
      <c r="F7" s="5"/>
      <c r="G7" s="5"/>
      <c r="H7" s="5"/>
      <c r="I7" s="5"/>
      <c r="J7" s="15"/>
      <c r="K7" s="5"/>
      <c r="L7" s="5"/>
      <c r="M7" s="5"/>
      <c r="N7" s="5"/>
      <c r="O7" s="5"/>
      <c r="P7" s="5"/>
      <c r="Q7" s="5"/>
      <c r="R7" s="5"/>
    </row>
    <row r="8" spans="1:18" s="6" customFormat="1" x14ac:dyDescent="0.3">
      <c r="B8" s="9" t="s">
        <v>496</v>
      </c>
      <c r="C8" s="10">
        <v>2.2999999999999998</v>
      </c>
      <c r="D8" s="9" t="s">
        <v>497</v>
      </c>
      <c r="E8" s="5"/>
      <c r="F8" s="5"/>
      <c r="G8" s="5"/>
      <c r="H8" s="5"/>
      <c r="I8" s="5"/>
      <c r="J8" s="16"/>
      <c r="K8" s="5"/>
      <c r="L8" s="5"/>
      <c r="M8" s="5"/>
      <c r="N8" s="5"/>
      <c r="O8" s="5"/>
      <c r="P8" s="5"/>
    </row>
    <row r="9" spans="1:18" s="6" customFormat="1" x14ac:dyDescent="0.3">
      <c r="B9" s="9" t="s">
        <v>498</v>
      </c>
      <c r="C9" s="9">
        <f>48/2.20462</f>
        <v>21.772459652910708</v>
      </c>
      <c r="D9" s="9" t="s">
        <v>499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8" s="6" customFormat="1" x14ac:dyDescent="0.3">
      <c r="B10" s="9" t="s">
        <v>500</v>
      </c>
      <c r="C10" s="17">
        <f>'Proposal Inputs'!C5</f>
        <v>0</v>
      </c>
      <c r="D10" s="9" t="s">
        <v>501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8" s="6" customFormat="1" x14ac:dyDescent="0.3">
      <c r="B11" s="9" t="s">
        <v>502</v>
      </c>
      <c r="C11" s="18">
        <v>4</v>
      </c>
      <c r="D11" s="9" t="s">
        <v>503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8" s="6" customFormat="1" x14ac:dyDescent="0.3">
      <c r="B12" s="9" t="s">
        <v>504</v>
      </c>
      <c r="C12" s="19">
        <f>C11*365*C10</f>
        <v>0</v>
      </c>
      <c r="D12" s="9" t="s">
        <v>505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8" s="6" customFormat="1" x14ac:dyDescent="0.3">
      <c r="B13" s="9" t="s">
        <v>506</v>
      </c>
      <c r="C13" s="20" t="e">
        <f>C12/(C10*365*24)</f>
        <v>#DIV/0!</v>
      </c>
      <c r="D13" s="9" t="s">
        <v>507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8" s="6" customFormat="1" x14ac:dyDescent="0.3"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8" s="6" customFormat="1" x14ac:dyDescent="0.3">
      <c r="B15" s="7" t="s">
        <v>508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16"/>
      <c r="Q15" s="5"/>
      <c r="R15" s="5"/>
    </row>
    <row r="16" spans="1:18" s="21" customFormat="1" ht="28.8" x14ac:dyDescent="0.3">
      <c r="B16" s="22" t="s">
        <v>509</v>
      </c>
      <c r="C16" s="23" t="s">
        <v>510</v>
      </c>
      <c r="D16" s="23" t="s">
        <v>511</v>
      </c>
      <c r="E16" s="23" t="s">
        <v>512</v>
      </c>
      <c r="F16" s="23" t="s">
        <v>513</v>
      </c>
      <c r="G16" s="23" t="s">
        <v>514</v>
      </c>
      <c r="H16" s="24"/>
      <c r="I16" s="24"/>
      <c r="J16" s="24"/>
      <c r="K16" s="24"/>
      <c r="L16" s="24"/>
      <c r="M16" s="24"/>
      <c r="N16" s="24"/>
      <c r="O16" s="24"/>
      <c r="P16" s="24"/>
      <c r="Q16" s="24"/>
    </row>
    <row r="17" spans="2:18" s="6" customFormat="1" x14ac:dyDescent="0.3">
      <c r="B17" s="9" t="s">
        <v>515</v>
      </c>
      <c r="C17" s="25" t="e">
        <f>C10*C13*24*365*C4/10^3</f>
        <v>#DIV/0!</v>
      </c>
      <c r="D17" s="25" t="e">
        <f>C10*C13*24*365*C6/10^3</f>
        <v>#DIV/0!</v>
      </c>
      <c r="E17" s="25" t="e">
        <f>C10*C13*24*365*C7/10^3</f>
        <v>#DIV/0!</v>
      </c>
      <c r="F17" s="25" t="e">
        <f>C10*C13*24*365*C5/10^3</f>
        <v>#DIV/0!</v>
      </c>
      <c r="G17" s="25" t="e">
        <f>C10*C13*24*365*C8</f>
        <v>#DIV/0!</v>
      </c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2:18" s="6" customFormat="1" x14ac:dyDescent="0.3">
      <c r="C18" s="5"/>
      <c r="D18" s="5"/>
      <c r="E18" s="5"/>
      <c r="F18" s="5"/>
      <c r="G18" s="1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2:18" s="6" customFormat="1" ht="28.8" x14ac:dyDescent="0.3">
      <c r="B19" s="22" t="s">
        <v>516</v>
      </c>
      <c r="C19" s="26" t="e">
        <f>F17/C9*10^3</f>
        <v>#DIV/0!</v>
      </c>
      <c r="D19" s="27"/>
      <c r="E19" s="16"/>
      <c r="F19" s="8"/>
      <c r="G19" s="16"/>
      <c r="H19" s="5"/>
      <c r="I19" s="5"/>
      <c r="J19" s="5"/>
      <c r="K19" s="5"/>
      <c r="L19" s="5"/>
      <c r="M19" s="5"/>
      <c r="N19" s="5"/>
      <c r="O19" s="5"/>
      <c r="P19" s="5"/>
    </row>
    <row r="20" spans="2:18" s="6" customFormat="1" x14ac:dyDescent="0.3">
      <c r="B20" s="190" t="s">
        <v>520</v>
      </c>
      <c r="C20" s="190"/>
      <c r="D20" s="191"/>
      <c r="E20" s="5"/>
      <c r="F20" s="5"/>
      <c r="G20" s="16"/>
      <c r="H20" s="5"/>
      <c r="I20" s="5"/>
      <c r="J20" s="5"/>
      <c r="K20" s="5"/>
      <c r="L20" s="5"/>
      <c r="M20" s="5"/>
      <c r="N20" s="5"/>
      <c r="O20" s="5"/>
      <c r="P20" s="5"/>
    </row>
    <row r="21" spans="2:18" x14ac:dyDescent="0.3">
      <c r="B21" s="28" t="s">
        <v>517</v>
      </c>
    </row>
    <row r="22" spans="2:18" x14ac:dyDescent="0.3">
      <c r="B22" s="28" t="s">
        <v>518</v>
      </c>
    </row>
    <row r="23" spans="2:18" x14ac:dyDescent="0.3">
      <c r="B23" s="28" t="s">
        <v>519</v>
      </c>
    </row>
    <row r="25" spans="2:18" x14ac:dyDescent="0.3">
      <c r="C25" s="30"/>
      <c r="D25" s="30"/>
      <c r="E25" s="30"/>
    </row>
  </sheetData>
  <mergeCells count="2">
    <mergeCell ref="B2:D2"/>
    <mergeCell ref="B20:D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458BB-32A4-40C4-BA71-ADF996F76B7F}">
  <dimension ref="B1:AO43"/>
  <sheetViews>
    <sheetView showGridLines="0" zoomScale="70" zoomScaleNormal="70" workbookViewId="0">
      <selection activeCell="D7" sqref="D7"/>
    </sheetView>
  </sheetViews>
  <sheetFormatPr defaultColWidth="9" defaultRowHeight="14.4" outlineLevelCol="1" x14ac:dyDescent="0.3"/>
  <cols>
    <col min="1" max="2" width="3" style="32" customWidth="1"/>
    <col min="3" max="3" width="19.6640625" style="32" customWidth="1"/>
    <col min="4" max="4" width="9.6640625" style="32" customWidth="1"/>
    <col min="5" max="5" width="15" style="32" customWidth="1"/>
    <col min="6" max="6" width="4.6640625" style="32" customWidth="1"/>
    <col min="7" max="7" width="34.6640625" style="32" customWidth="1"/>
    <col min="8" max="8" width="12.21875" style="32" customWidth="1"/>
    <col min="9" max="9" width="19.6640625" style="32" customWidth="1"/>
    <col min="10" max="10" width="10" style="32" customWidth="1"/>
    <col min="11" max="11" width="2" style="32" bestFit="1" customWidth="1"/>
    <col min="12" max="12" width="9" style="32"/>
    <col min="13" max="13" width="11.44140625" style="32" bestFit="1" customWidth="1"/>
    <col min="14" max="15" width="9" style="32"/>
    <col min="16" max="16" width="12.109375" style="32" bestFit="1" customWidth="1"/>
    <col min="17" max="24" width="9" style="32"/>
    <col min="25" max="27" width="9" style="32" customWidth="1" outlineLevel="1"/>
    <col min="28" max="16384" width="9" style="32"/>
  </cols>
  <sheetData>
    <row r="1" spans="2:41" ht="9" customHeight="1" thickBot="1" x14ac:dyDescent="0.35"/>
    <row r="2" spans="2:41" ht="6.75" customHeight="1" thickBot="1" x14ac:dyDescent="0.35">
      <c r="B2" s="33"/>
      <c r="C2" s="34"/>
      <c r="D2" s="34"/>
      <c r="E2" s="34"/>
      <c r="F2" s="34"/>
      <c r="G2" s="34"/>
      <c r="H2" s="34"/>
      <c r="I2" s="34"/>
      <c r="J2" s="35"/>
    </row>
    <row r="3" spans="2:41" ht="18.75" customHeight="1" thickBot="1" x14ac:dyDescent="0.35">
      <c r="B3" s="36"/>
      <c r="C3" s="192" t="s">
        <v>523</v>
      </c>
      <c r="D3" s="192"/>
      <c r="E3" s="192"/>
      <c r="F3" s="37"/>
      <c r="G3" s="193" t="s">
        <v>524</v>
      </c>
      <c r="H3" s="194"/>
      <c r="I3" s="195"/>
      <c r="J3" s="38"/>
      <c r="Y3" s="39" t="s">
        <v>525</v>
      </c>
      <c r="Z3" s="32" t="s">
        <v>29</v>
      </c>
      <c r="AA3" s="32" t="s">
        <v>526</v>
      </c>
    </row>
    <row r="4" spans="2:41" s="41" customFormat="1" ht="15" thickBot="1" x14ac:dyDescent="0.35">
      <c r="B4" s="40"/>
      <c r="G4" s="42"/>
      <c r="H4" s="43"/>
      <c r="I4" s="44"/>
      <c r="J4" s="44"/>
      <c r="Y4" s="39" t="s">
        <v>527</v>
      </c>
      <c r="Z4" s="32" t="s">
        <v>528</v>
      </c>
      <c r="AA4" s="32" t="s">
        <v>529</v>
      </c>
    </row>
    <row r="5" spans="2:41" ht="20.25" customHeight="1" thickBot="1" x14ac:dyDescent="0.35">
      <c r="B5" s="36"/>
      <c r="C5" s="196" t="s">
        <v>530</v>
      </c>
      <c r="D5" s="196"/>
      <c r="E5" s="196"/>
      <c r="G5" s="45" t="s">
        <v>531</v>
      </c>
      <c r="H5" s="46" t="s">
        <v>532</v>
      </c>
      <c r="I5" s="47" t="s">
        <v>533</v>
      </c>
      <c r="J5" s="38"/>
    </row>
    <row r="6" spans="2:41" x14ac:dyDescent="0.3">
      <c r="B6" s="36"/>
      <c r="C6" s="48" t="s">
        <v>521</v>
      </c>
      <c r="D6" s="49">
        <v>500</v>
      </c>
      <c r="E6" s="50" t="s">
        <v>534</v>
      </c>
      <c r="G6" s="51" t="s">
        <v>535</v>
      </c>
      <c r="H6" s="52" t="s">
        <v>534</v>
      </c>
      <c r="I6" s="53">
        <f>Workings!D3</f>
        <v>500</v>
      </c>
      <c r="J6" s="54"/>
      <c r="L6" s="55"/>
    </row>
    <row r="7" spans="2:41" ht="28.8" x14ac:dyDescent="0.3">
      <c r="B7" s="36"/>
      <c r="C7" s="48" t="s">
        <v>536</v>
      </c>
      <c r="D7" s="49">
        <v>43.95005149090909</v>
      </c>
      <c r="E7" s="50" t="s">
        <v>537</v>
      </c>
      <c r="G7" s="56" t="s">
        <v>538</v>
      </c>
      <c r="H7" s="50" t="s">
        <v>539</v>
      </c>
      <c r="I7" s="57">
        <f>Workings!D4/10^5</f>
        <v>239.308030368</v>
      </c>
      <c r="J7" s="54"/>
      <c r="K7" s="58"/>
      <c r="L7" s="55"/>
      <c r="Y7" s="39" t="s">
        <v>540</v>
      </c>
    </row>
    <row r="8" spans="2:41" x14ac:dyDescent="0.3">
      <c r="B8" s="36"/>
      <c r="C8" s="48" t="s">
        <v>541</v>
      </c>
      <c r="D8" s="59">
        <f>D7*8.9%</f>
        <v>3.9115545826909095</v>
      </c>
      <c r="E8" s="50" t="s">
        <v>542</v>
      </c>
      <c r="G8" s="56"/>
      <c r="H8" s="50"/>
      <c r="I8" s="60"/>
      <c r="J8" s="61"/>
      <c r="L8" s="39" t="s">
        <v>543</v>
      </c>
      <c r="Y8" s="32" t="s">
        <v>544</v>
      </c>
      <c r="Z8" s="32" t="s">
        <v>545</v>
      </c>
    </row>
    <row r="9" spans="2:41" ht="28.8" x14ac:dyDescent="0.3">
      <c r="B9" s="36"/>
      <c r="C9" s="48" t="s">
        <v>546</v>
      </c>
      <c r="D9" s="59">
        <f>D7+D8</f>
        <v>47.861606073600001</v>
      </c>
      <c r="E9" s="50" t="s">
        <v>537</v>
      </c>
      <c r="G9" s="56" t="s">
        <v>547</v>
      </c>
      <c r="H9" s="50" t="s">
        <v>539</v>
      </c>
      <c r="I9" s="60">
        <f>Workings!D6/10^5</f>
        <v>19.557772913454549</v>
      </c>
      <c r="J9" s="61"/>
      <c r="K9" s="32">
        <v>1</v>
      </c>
      <c r="L9" s="39" t="s">
        <v>548</v>
      </c>
      <c r="Y9" s="62">
        <f>30%*1.12*1.04</f>
        <v>0.34944000000000003</v>
      </c>
      <c r="Z9" s="62">
        <f>22%*1.12*1.04</f>
        <v>0.25625600000000004</v>
      </c>
    </row>
    <row r="10" spans="2:41" ht="17.25" customHeight="1" x14ac:dyDescent="0.3">
      <c r="B10" s="36"/>
      <c r="C10" s="48" t="s">
        <v>549</v>
      </c>
      <c r="D10" s="63">
        <v>25</v>
      </c>
      <c r="E10" s="50" t="s">
        <v>550</v>
      </c>
      <c r="G10" s="64" t="s">
        <v>551</v>
      </c>
      <c r="H10" s="50" t="s">
        <v>539</v>
      </c>
      <c r="I10" s="65">
        <f>I7-I8-I9</f>
        <v>219.75025745454545</v>
      </c>
      <c r="J10" s="66"/>
      <c r="K10" s="32">
        <v>2</v>
      </c>
      <c r="L10" s="39" t="s">
        <v>552</v>
      </c>
    </row>
    <row r="11" spans="2:41" ht="28.8" x14ac:dyDescent="0.3">
      <c r="B11" s="36"/>
      <c r="C11" s="48" t="s">
        <v>553</v>
      </c>
      <c r="D11" s="63">
        <v>5</v>
      </c>
      <c r="E11" s="50" t="s">
        <v>550</v>
      </c>
      <c r="G11" s="56" t="s">
        <v>554</v>
      </c>
      <c r="H11" s="50" t="s">
        <v>555</v>
      </c>
      <c r="I11" s="60">
        <f>Workings!D8/10^5</f>
        <v>3.25</v>
      </c>
      <c r="J11" s="61"/>
      <c r="K11" s="32">
        <v>3</v>
      </c>
      <c r="L11" s="39" t="s">
        <v>556</v>
      </c>
    </row>
    <row r="12" spans="2:41" ht="28.8" x14ac:dyDescent="0.3">
      <c r="B12" s="36"/>
      <c r="C12" s="48" t="s">
        <v>557</v>
      </c>
      <c r="D12" s="67">
        <v>650</v>
      </c>
      <c r="E12" s="50" t="s">
        <v>558</v>
      </c>
      <c r="G12" s="56" t="s">
        <v>559</v>
      </c>
      <c r="H12" s="50" t="s">
        <v>560</v>
      </c>
      <c r="I12" s="57">
        <f>Workings!D12</f>
        <v>657000</v>
      </c>
      <c r="J12" s="54"/>
      <c r="L12" s="55"/>
      <c r="AO12" s="32" t="s">
        <v>561</v>
      </c>
    </row>
    <row r="13" spans="2:41" x14ac:dyDescent="0.3">
      <c r="B13" s="36"/>
      <c r="C13" s="48" t="s">
        <v>562</v>
      </c>
      <c r="D13" s="68">
        <v>0.05</v>
      </c>
      <c r="E13" s="50" t="s">
        <v>563</v>
      </c>
      <c r="G13" s="56" t="s">
        <v>564</v>
      </c>
      <c r="H13" s="50" t="s">
        <v>565</v>
      </c>
      <c r="I13" s="69">
        <f>Workings!D13</f>
        <v>7.08</v>
      </c>
      <c r="J13" s="70"/>
      <c r="L13" s="55"/>
    </row>
    <row r="14" spans="2:41" ht="28.8" x14ac:dyDescent="0.3">
      <c r="B14" s="36"/>
      <c r="C14" s="48" t="s">
        <v>566</v>
      </c>
      <c r="D14" s="49">
        <v>3.6</v>
      </c>
      <c r="E14" s="50" t="s">
        <v>567</v>
      </c>
      <c r="G14" s="56" t="s">
        <v>568</v>
      </c>
      <c r="H14" s="50" t="s">
        <v>563</v>
      </c>
      <c r="I14" s="71">
        <f>Workings!D14</f>
        <v>0.02</v>
      </c>
      <c r="J14" s="72"/>
      <c r="L14" s="55"/>
    </row>
    <row r="15" spans="2:41" ht="16.5" customHeight="1" x14ac:dyDescent="0.3">
      <c r="B15" s="36"/>
      <c r="C15" s="48" t="s">
        <v>569</v>
      </c>
      <c r="D15" s="73">
        <v>2E-3</v>
      </c>
      <c r="E15" s="50" t="s">
        <v>570</v>
      </c>
      <c r="G15" s="56" t="s">
        <v>571</v>
      </c>
      <c r="H15" s="50" t="s">
        <v>539</v>
      </c>
      <c r="I15" s="60">
        <f>Workings!D15/10^5</f>
        <v>50.964648612144188</v>
      </c>
      <c r="J15" s="61"/>
      <c r="L15" s="55"/>
    </row>
    <row r="16" spans="2:41" x14ac:dyDescent="0.3">
      <c r="B16" s="36"/>
      <c r="C16" s="48" t="s">
        <v>572</v>
      </c>
      <c r="D16" s="74">
        <v>0.01</v>
      </c>
      <c r="E16" s="50" t="s">
        <v>573</v>
      </c>
      <c r="G16" s="64" t="s">
        <v>574</v>
      </c>
      <c r="H16" s="75" t="s">
        <v>550</v>
      </c>
      <c r="I16" s="65">
        <f>Workings!D16</f>
        <v>5.137559277007556</v>
      </c>
      <c r="J16" s="66"/>
      <c r="L16" s="55"/>
    </row>
    <row r="17" spans="2:16" x14ac:dyDescent="0.3">
      <c r="B17" s="36"/>
      <c r="C17" s="48" t="s">
        <v>547</v>
      </c>
      <c r="D17" s="76" t="s">
        <v>29</v>
      </c>
      <c r="E17" s="48"/>
      <c r="G17" s="56" t="s">
        <v>575</v>
      </c>
      <c r="H17" s="50" t="s">
        <v>550</v>
      </c>
      <c r="I17" s="57">
        <f>Workings!D17</f>
        <v>25</v>
      </c>
      <c r="J17" s="54"/>
      <c r="L17" s="55"/>
      <c r="P17" s="77"/>
    </row>
    <row r="18" spans="2:16" x14ac:dyDescent="0.3">
      <c r="B18" s="36"/>
      <c r="G18" s="56" t="s">
        <v>576</v>
      </c>
      <c r="H18" s="50" t="s">
        <v>550</v>
      </c>
      <c r="I18" s="57">
        <f>Workings!D18</f>
        <v>5</v>
      </c>
      <c r="J18" s="54"/>
      <c r="L18" s="55"/>
    </row>
    <row r="19" spans="2:16" ht="18" customHeight="1" x14ac:dyDescent="0.3">
      <c r="B19" s="36"/>
      <c r="C19" s="48" t="s">
        <v>577</v>
      </c>
      <c r="D19" s="76" t="s">
        <v>527</v>
      </c>
      <c r="G19" s="56" t="s">
        <v>578</v>
      </c>
      <c r="H19" s="50" t="s">
        <v>539</v>
      </c>
      <c r="I19" s="78">
        <f>Workings!D19/10^5</f>
        <v>697.97713167095037</v>
      </c>
      <c r="J19" s="79"/>
      <c r="L19" s="55"/>
    </row>
    <row r="20" spans="2:16" ht="28.8" x14ac:dyDescent="0.3">
      <c r="B20" s="36"/>
      <c r="C20" s="48" t="s">
        <v>579</v>
      </c>
      <c r="D20" s="67" t="str">
        <f>IF(D30="No","Yes","No")</f>
        <v>No</v>
      </c>
      <c r="G20" s="56" t="s">
        <v>580</v>
      </c>
      <c r="H20" s="50" t="s">
        <v>581</v>
      </c>
      <c r="I20" s="60">
        <f>Workings!D20/10^5</f>
        <v>152.42400000000001</v>
      </c>
      <c r="J20" s="61"/>
      <c r="L20" s="55"/>
    </row>
    <row r="21" spans="2:16" ht="28.8" x14ac:dyDescent="0.3">
      <c r="B21" s="36"/>
      <c r="C21" s="48" t="s">
        <v>582</v>
      </c>
      <c r="D21" s="67" t="s">
        <v>526</v>
      </c>
      <c r="G21" s="64" t="s">
        <v>583</v>
      </c>
      <c r="H21" s="75" t="s">
        <v>507</v>
      </c>
      <c r="I21" s="80">
        <f>Workings!D22</f>
        <v>0.17679782136468813</v>
      </c>
      <c r="J21" s="81"/>
      <c r="L21" s="55"/>
    </row>
    <row r="22" spans="2:16" x14ac:dyDescent="0.3">
      <c r="B22" s="36"/>
      <c r="G22" s="64" t="s">
        <v>584</v>
      </c>
      <c r="H22" s="75" t="s">
        <v>507</v>
      </c>
      <c r="I22" s="80">
        <f>Workings!D23</f>
        <v>0.3580267312711769</v>
      </c>
      <c r="J22" s="81"/>
      <c r="L22" s="55"/>
    </row>
    <row r="23" spans="2:16" ht="15.75" customHeight="1" thickBot="1" x14ac:dyDescent="0.35">
      <c r="B23" s="36"/>
      <c r="C23" s="82" t="s">
        <v>585</v>
      </c>
      <c r="E23" s="83"/>
      <c r="G23" s="84" t="s">
        <v>586</v>
      </c>
      <c r="H23" s="85" t="s">
        <v>587</v>
      </c>
      <c r="I23" s="86">
        <f>Workings!D21</f>
        <v>3.8853245799401361</v>
      </c>
      <c r="J23" s="87"/>
      <c r="L23" s="55"/>
    </row>
    <row r="24" spans="2:16" ht="15" customHeight="1" x14ac:dyDescent="0.3">
      <c r="B24" s="36"/>
      <c r="C24" s="48" t="s">
        <v>588</v>
      </c>
      <c r="D24" s="88">
        <v>0</v>
      </c>
      <c r="E24" s="50" t="s">
        <v>563</v>
      </c>
      <c r="G24" s="197" t="s">
        <v>589</v>
      </c>
      <c r="H24" s="197"/>
      <c r="I24" s="197"/>
      <c r="J24" s="38"/>
    </row>
    <row r="25" spans="2:16" x14ac:dyDescent="0.3">
      <c r="B25" s="36"/>
      <c r="C25" s="48" t="s">
        <v>590</v>
      </c>
      <c r="D25" s="68">
        <v>6.0000000000000001E-3</v>
      </c>
      <c r="E25" s="50" t="s">
        <v>563</v>
      </c>
      <c r="G25" s="198"/>
      <c r="H25" s="198"/>
      <c r="I25" s="198"/>
      <c r="J25" s="38"/>
    </row>
    <row r="26" spans="2:16" x14ac:dyDescent="0.3">
      <c r="B26" s="36"/>
      <c r="C26" s="48" t="s">
        <v>591</v>
      </c>
      <c r="D26" s="68">
        <v>6.0000000000000001E-3</v>
      </c>
      <c r="E26" s="50" t="s">
        <v>563</v>
      </c>
      <c r="G26" s="89"/>
      <c r="H26" s="89"/>
      <c r="I26" s="89"/>
      <c r="J26" s="38"/>
    </row>
    <row r="27" spans="2:16" x14ac:dyDescent="0.3">
      <c r="B27" s="36"/>
      <c r="C27" s="48" t="s">
        <v>592</v>
      </c>
      <c r="D27" s="68">
        <v>6.0000000000000001E-3</v>
      </c>
      <c r="E27" s="50" t="s">
        <v>563</v>
      </c>
      <c r="G27" s="89"/>
      <c r="H27" s="89"/>
      <c r="I27" s="89"/>
      <c r="J27" s="38"/>
    </row>
    <row r="28" spans="2:16" ht="15" customHeight="1" x14ac:dyDescent="0.3">
      <c r="B28" s="36"/>
      <c r="D28" s="90"/>
      <c r="E28" s="83"/>
      <c r="J28" s="38"/>
    </row>
    <row r="29" spans="2:16" x14ac:dyDescent="0.3">
      <c r="B29" s="36"/>
      <c r="C29" s="43" t="s">
        <v>593</v>
      </c>
      <c r="D29" s="41"/>
      <c r="E29" s="83"/>
      <c r="J29" s="38"/>
    </row>
    <row r="30" spans="2:16" x14ac:dyDescent="0.3">
      <c r="B30" s="36"/>
      <c r="C30" s="48" t="s">
        <v>594</v>
      </c>
      <c r="D30" s="48" t="s">
        <v>29</v>
      </c>
      <c r="E30" s="48"/>
      <c r="J30" s="38"/>
    </row>
    <row r="31" spans="2:16" x14ac:dyDescent="0.3">
      <c r="B31" s="36"/>
      <c r="C31" s="48" t="s">
        <v>595</v>
      </c>
      <c r="D31" s="88">
        <v>0.4</v>
      </c>
      <c r="E31" s="50" t="s">
        <v>563</v>
      </c>
      <c r="J31" s="72"/>
    </row>
    <row r="32" spans="2:16" x14ac:dyDescent="0.3">
      <c r="B32" s="36"/>
      <c r="C32" s="48" t="s">
        <v>596</v>
      </c>
      <c r="D32" s="91">
        <f>IF(D30="No",Y9,Z9)</f>
        <v>0.25625600000000004</v>
      </c>
      <c r="E32" s="50" t="s">
        <v>507</v>
      </c>
      <c r="J32" s="92"/>
      <c r="L32" s="93"/>
    </row>
    <row r="33" spans="2:14" x14ac:dyDescent="0.3">
      <c r="B33" s="36"/>
      <c r="C33" s="48" t="s">
        <v>597</v>
      </c>
      <c r="D33" s="88">
        <v>0.12</v>
      </c>
      <c r="E33" s="50" t="s">
        <v>507</v>
      </c>
      <c r="J33" s="94"/>
      <c r="L33" s="93"/>
    </row>
    <row r="34" spans="2:14" x14ac:dyDescent="0.3">
      <c r="B34" s="36"/>
      <c r="C34" s="43" t="s">
        <v>598</v>
      </c>
      <c r="E34" s="83"/>
      <c r="J34" s="38"/>
      <c r="L34" s="93"/>
      <c r="N34" s="93"/>
    </row>
    <row r="35" spans="2:14" x14ac:dyDescent="0.3">
      <c r="B35" s="36"/>
      <c r="C35" s="48" t="s">
        <v>599</v>
      </c>
      <c r="D35" s="49">
        <f>8.5-1.42</f>
        <v>7.08</v>
      </c>
      <c r="E35" s="50" t="s">
        <v>600</v>
      </c>
      <c r="J35" s="38"/>
    </row>
    <row r="36" spans="2:14" x14ac:dyDescent="0.3">
      <c r="B36" s="36"/>
      <c r="C36" s="48" t="s">
        <v>601</v>
      </c>
      <c r="D36" s="88">
        <v>0.02</v>
      </c>
      <c r="E36" s="50" t="s">
        <v>563</v>
      </c>
      <c r="J36" s="38"/>
    </row>
    <row r="37" spans="2:14" x14ac:dyDescent="0.3">
      <c r="B37" s="36"/>
      <c r="D37" s="95"/>
      <c r="E37" s="83"/>
      <c r="J37" s="38"/>
    </row>
    <row r="38" spans="2:14" x14ac:dyDescent="0.3">
      <c r="B38" s="36"/>
      <c r="C38" s="43" t="s">
        <v>602</v>
      </c>
      <c r="J38" s="38"/>
    </row>
    <row r="39" spans="2:14" x14ac:dyDescent="0.3">
      <c r="B39" s="36"/>
      <c r="C39" s="48" t="s">
        <v>603</v>
      </c>
      <c r="D39" s="74">
        <v>0.7</v>
      </c>
      <c r="E39" s="50" t="s">
        <v>507</v>
      </c>
      <c r="J39" s="38"/>
    </row>
    <row r="40" spans="2:14" x14ac:dyDescent="0.3">
      <c r="B40" s="36"/>
      <c r="C40" s="48" t="s">
        <v>604</v>
      </c>
      <c r="D40" s="96">
        <v>0.1</v>
      </c>
      <c r="E40" s="50" t="s">
        <v>507</v>
      </c>
      <c r="J40" s="38"/>
    </row>
    <row r="41" spans="2:14" x14ac:dyDescent="0.3">
      <c r="B41" s="36"/>
      <c r="C41" s="48" t="s">
        <v>605</v>
      </c>
      <c r="D41" s="48">
        <v>10</v>
      </c>
      <c r="E41" s="50" t="s">
        <v>606</v>
      </c>
      <c r="J41" s="38"/>
    </row>
    <row r="42" spans="2:14" ht="15" thickBot="1" x14ac:dyDescent="0.35">
      <c r="B42" s="97"/>
      <c r="C42" s="98"/>
      <c r="D42" s="98"/>
      <c r="E42" s="98"/>
      <c r="F42" s="98"/>
      <c r="G42" s="98"/>
      <c r="H42" s="98"/>
      <c r="I42" s="98"/>
      <c r="J42" s="99"/>
    </row>
    <row r="43" spans="2:14" ht="15" thickTop="1" x14ac:dyDescent="0.3"/>
  </sheetData>
  <mergeCells count="4">
    <mergeCell ref="C3:E3"/>
    <mergeCell ref="G3:I3"/>
    <mergeCell ref="C5:E5"/>
    <mergeCell ref="G24:I25"/>
  </mergeCells>
  <dataValidations count="3">
    <dataValidation type="list" allowBlank="1" showInputMessage="1" showErrorMessage="1" sqref="D21" xr:uid="{767BF509-290D-485C-B6CA-102CF89A6949}">
      <formula1>$AA$3:$AA$4</formula1>
    </dataValidation>
    <dataValidation type="list" allowBlank="1" showInputMessage="1" showErrorMessage="1" sqref="D30 D17" xr:uid="{E5DD0D3F-73A9-4043-BD78-96ACB8622ACB}">
      <formula1>$Z$3:$Z$4</formula1>
    </dataValidation>
    <dataValidation type="list" allowBlank="1" showInputMessage="1" showErrorMessage="1" sqref="D19" xr:uid="{4BB7266B-165D-4479-B2D0-2AC81ED11C87}">
      <formula1>$Y$3:$Y$4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0CF93-BA73-4539-9B32-2B550DE91E93}">
  <dimension ref="A1:AB63"/>
  <sheetViews>
    <sheetView zoomScale="70" zoomScaleNormal="70" workbookViewId="0">
      <selection activeCell="D12" sqref="D12"/>
    </sheetView>
  </sheetViews>
  <sheetFormatPr defaultColWidth="9" defaultRowHeight="14.4" outlineLevelRow="1" x14ac:dyDescent="0.3"/>
  <cols>
    <col min="1" max="1" width="3.6640625" style="32" customWidth="1"/>
    <col min="2" max="2" width="33.44140625" style="32" customWidth="1"/>
    <col min="3" max="3" width="17.6640625" style="32" customWidth="1"/>
    <col min="4" max="4" width="18.109375" style="32" customWidth="1"/>
    <col min="5" max="5" width="14.88671875" style="32" customWidth="1"/>
    <col min="6" max="6" width="11.6640625" style="32" customWidth="1"/>
    <col min="7" max="7" width="15.44140625" style="32" customWidth="1"/>
    <col min="8" max="8" width="14.77734375" style="32" customWidth="1"/>
    <col min="9" max="9" width="15.77734375" style="32" customWidth="1"/>
    <col min="10" max="11" width="14" style="32" customWidth="1"/>
    <col min="12" max="12" width="15.109375" style="32" customWidth="1"/>
    <col min="13" max="13" width="15.44140625" style="32" customWidth="1"/>
    <col min="14" max="14" width="14.44140625" style="32" bestFit="1" customWidth="1"/>
    <col min="15" max="15" width="15.6640625" style="32" customWidth="1"/>
    <col min="16" max="16" width="13" style="32" customWidth="1"/>
    <col min="17" max="17" width="20.33203125" style="32" customWidth="1"/>
    <col min="18" max="18" width="17.5546875" style="32" customWidth="1"/>
    <col min="19" max="19" width="16.88671875" style="32" customWidth="1"/>
    <col min="20" max="20" width="15.88671875" style="32" customWidth="1"/>
    <col min="21" max="21" width="13.88671875" style="32" customWidth="1"/>
    <col min="22" max="22" width="14.6640625" style="32" customWidth="1"/>
    <col min="23" max="23" width="16.21875" style="32" customWidth="1"/>
    <col min="24" max="24" width="15.109375" style="32" customWidth="1"/>
    <col min="25" max="25" width="16" style="32" customWidth="1"/>
    <col min="26" max="26" width="16.5546875" style="32" customWidth="1"/>
    <col min="27" max="27" width="16.88671875" style="32" customWidth="1"/>
    <col min="28" max="28" width="11.33203125" style="32" bestFit="1" customWidth="1"/>
    <col min="29" max="16384" width="9" style="32"/>
  </cols>
  <sheetData>
    <row r="1" spans="2:24" x14ac:dyDescent="0.3">
      <c r="E1" s="100"/>
      <c r="F1" s="100"/>
    </row>
    <row r="2" spans="2:24" ht="28.8" x14ac:dyDescent="0.3">
      <c r="B2" s="101" t="s">
        <v>531</v>
      </c>
      <c r="C2" s="101" t="s">
        <v>532</v>
      </c>
      <c r="D2" s="101" t="s">
        <v>607</v>
      </c>
      <c r="F2" s="200" t="s">
        <v>608</v>
      </c>
      <c r="G2" s="201"/>
      <c r="H2" s="201"/>
      <c r="I2" s="201"/>
      <c r="J2" s="202"/>
      <c r="L2" s="200" t="s">
        <v>609</v>
      </c>
      <c r="M2" s="201"/>
      <c r="N2" s="201"/>
      <c r="O2" s="201"/>
      <c r="P2" s="201"/>
      <c r="R2" s="102" t="s">
        <v>610</v>
      </c>
      <c r="S2" s="103"/>
      <c r="T2" s="103"/>
      <c r="U2" s="103"/>
      <c r="V2" s="103"/>
      <c r="W2" s="103"/>
      <c r="X2" s="104"/>
    </row>
    <row r="3" spans="2:24" ht="18.75" customHeight="1" x14ac:dyDescent="0.3">
      <c r="B3" s="48" t="s">
        <v>611</v>
      </c>
      <c r="C3" s="48" t="s">
        <v>534</v>
      </c>
      <c r="D3" s="48">
        <f>'Inputs and Output'!D6</f>
        <v>500</v>
      </c>
      <c r="E3" s="105"/>
      <c r="F3" s="106"/>
      <c r="G3" s="107" t="s">
        <v>612</v>
      </c>
      <c r="H3" s="108" t="s">
        <v>613</v>
      </c>
      <c r="I3" s="109" t="s">
        <v>614</v>
      </c>
      <c r="J3" s="109" t="s">
        <v>593</v>
      </c>
      <c r="L3" s="106"/>
      <c r="M3" s="107" t="s">
        <v>612</v>
      </c>
      <c r="N3" s="108" t="s">
        <v>613</v>
      </c>
      <c r="O3" s="109" t="s">
        <v>615</v>
      </c>
      <c r="R3" s="107" t="s">
        <v>550</v>
      </c>
      <c r="S3" s="107" t="s">
        <v>612</v>
      </c>
      <c r="T3" s="107" t="s">
        <v>616</v>
      </c>
      <c r="U3" s="108" t="s">
        <v>617</v>
      </c>
      <c r="V3" s="109" t="s">
        <v>618</v>
      </c>
      <c r="W3" s="109" t="s">
        <v>619</v>
      </c>
      <c r="X3" s="110" t="s">
        <v>620</v>
      </c>
    </row>
    <row r="4" spans="2:24" x14ac:dyDescent="0.3">
      <c r="B4" s="48" t="s">
        <v>621</v>
      </c>
      <c r="C4" s="48" t="s">
        <v>622</v>
      </c>
      <c r="D4" s="111">
        <f>D3*'Inputs and Output'!D9*1000</f>
        <v>23930803.036800001</v>
      </c>
      <c r="E4" s="105"/>
      <c r="F4" s="112" t="s">
        <v>588</v>
      </c>
      <c r="G4" s="113">
        <f>IF('Inputs and Output'!D17="Yes",'Inputs and Output'!D6*'Inputs and Output'!D7*1000,'Inputs and Output'!D6*'Inputs and Output'!D9*1000)</f>
        <v>21975025.745454546</v>
      </c>
      <c r="H4" s="114">
        <f>IF('Inputs and Output'!D21="Oct-Mar",G4*('Inputs and Output'!$D$31+IF('Inputs and Output'!D20="Yes",20%,0))*1/2,G4*('Inputs and Output'!$D$31+IF('Inputs and Output'!D20="Yes",20%,0)))</f>
        <v>8790010.2981818188</v>
      </c>
      <c r="I4" s="114">
        <f>G4-H4</f>
        <v>13185015.447272727</v>
      </c>
      <c r="J4" s="114">
        <f>H4*'Inputs and Output'!$D$32</f>
        <v>2252492.8789708805</v>
      </c>
      <c r="L4" s="112" t="s">
        <v>588</v>
      </c>
      <c r="M4" s="113">
        <f>G4</f>
        <v>21975025.745454546</v>
      </c>
      <c r="N4" s="113">
        <f t="shared" ref="N4:N29" si="0">M4*$D$11</f>
        <v>2480980.4066618183</v>
      </c>
      <c r="O4" s="114">
        <f t="shared" ref="O4:O29" si="1">M4-N4</f>
        <v>19494045.338792726</v>
      </c>
      <c r="R4" s="85">
        <v>0</v>
      </c>
      <c r="S4" s="115">
        <v>0</v>
      </c>
      <c r="T4" s="115"/>
      <c r="U4" s="115"/>
      <c r="V4" s="115"/>
      <c r="W4" s="115">
        <f>D4*'Inputs and Output'!D39</f>
        <v>16751562.12576</v>
      </c>
      <c r="X4" s="85">
        <f>IF(R4&gt;'Inputs and Output'!$D$41,0,1)</f>
        <v>1</v>
      </c>
    </row>
    <row r="5" spans="2:24" ht="28.8" x14ac:dyDescent="0.3">
      <c r="B5" s="48" t="s">
        <v>623</v>
      </c>
      <c r="C5" s="48" t="s">
        <v>622</v>
      </c>
      <c r="D5" s="111"/>
      <c r="E5" s="105"/>
      <c r="F5" s="116" t="s">
        <v>590</v>
      </c>
      <c r="G5" s="113">
        <f>I4</f>
        <v>13185015.447272727</v>
      </c>
      <c r="H5" s="114">
        <f>IF('Inputs and Output'!D21="Oct-Mar",(G5*'Inputs and Output'!$D$31)+(Workings!G4*10%),(G5*'Inputs and Output'!$D$31))</f>
        <v>5274006.1789090913</v>
      </c>
      <c r="I5" s="114">
        <f>G5-H5</f>
        <v>7911009.268363636</v>
      </c>
      <c r="J5" s="114">
        <f>H5*'Inputs and Output'!$D$32</f>
        <v>1351495.7273825284</v>
      </c>
      <c r="L5" s="116" t="s">
        <v>590</v>
      </c>
      <c r="M5" s="113">
        <f t="shared" ref="M5:M29" si="2">O4</f>
        <v>19494045.338792726</v>
      </c>
      <c r="N5" s="113">
        <f t="shared" si="0"/>
        <v>2200877.7187496987</v>
      </c>
      <c r="O5" s="114">
        <f t="shared" si="1"/>
        <v>17293167.620043028</v>
      </c>
      <c r="R5" s="117">
        <v>1</v>
      </c>
      <c r="S5" s="118">
        <f>W4</f>
        <v>16751562.12576</v>
      </c>
      <c r="T5" s="118">
        <f>PMT('Inputs and Output'!D40,'Inputs and Output'!D41,-Workings!$W$4)</f>
        <v>2726239.5930557372</v>
      </c>
      <c r="U5" s="118">
        <f>S5*'Inputs and Output'!$D$40</f>
        <v>1675156.212576</v>
      </c>
      <c r="V5" s="118">
        <f>T5-U5</f>
        <v>1051083.3804797372</v>
      </c>
      <c r="W5" s="118">
        <f>S5-V5</f>
        <v>15700478.745280262</v>
      </c>
      <c r="X5" s="117">
        <f>IF(R5&gt;'Inputs and Output'!$D$41,0,1)</f>
        <v>1</v>
      </c>
    </row>
    <row r="6" spans="2:24" x14ac:dyDescent="0.3">
      <c r="B6" s="48" t="s">
        <v>547</v>
      </c>
      <c r="C6" s="48" t="s">
        <v>624</v>
      </c>
      <c r="D6" s="111">
        <f>IF('Inputs and Output'!$D$17="Yes",'Inputs and Output'!D6*'Inputs and Output'!D8*1000,0)</f>
        <v>1955777.2913454548</v>
      </c>
      <c r="E6" s="105"/>
      <c r="F6" s="116" t="s">
        <v>625</v>
      </c>
      <c r="G6" s="113">
        <f t="shared" ref="G6:G29" si="3">I5</f>
        <v>7911009.268363636</v>
      </c>
      <c r="H6" s="114">
        <f>G6*'Inputs and Output'!$D$31</f>
        <v>3164403.7073454545</v>
      </c>
      <c r="I6" s="114">
        <f t="shared" ref="I6:I29" si="4">G6-H6</f>
        <v>4746605.561018182</v>
      </c>
      <c r="J6" s="114">
        <f>H6*'Inputs and Output'!$D$32</f>
        <v>810897.43642951688</v>
      </c>
      <c r="L6" s="116" t="s">
        <v>625</v>
      </c>
      <c r="M6" s="113">
        <f t="shared" si="2"/>
        <v>17293167.620043028</v>
      </c>
      <c r="N6" s="113">
        <f t="shared" si="0"/>
        <v>1952398.6243028578</v>
      </c>
      <c r="O6" s="114">
        <f t="shared" si="1"/>
        <v>15340768.99574017</v>
      </c>
      <c r="R6" s="117">
        <v>2</v>
      </c>
      <c r="S6" s="118">
        <f t="shared" ref="S6:S29" si="5">W5</f>
        <v>15700478.745280262</v>
      </c>
      <c r="T6" s="118">
        <f>T5*X6</f>
        <v>2726239.5930557372</v>
      </c>
      <c r="U6" s="118">
        <f>S6*'Inputs and Output'!$D$40</f>
        <v>1570047.8745280262</v>
      </c>
      <c r="V6" s="118">
        <f>T6-U6</f>
        <v>1156191.718527711</v>
      </c>
      <c r="W6" s="118">
        <f>S6-V6</f>
        <v>14544287.02675255</v>
      </c>
      <c r="X6" s="117">
        <f>IF(R6&gt;'Inputs and Output'!$D$41,0,1)</f>
        <v>1</v>
      </c>
    </row>
    <row r="7" spans="2:24" x14ac:dyDescent="0.3">
      <c r="B7" s="110" t="s">
        <v>551</v>
      </c>
      <c r="C7" s="110" t="s">
        <v>622</v>
      </c>
      <c r="D7" s="119">
        <f>D4-D5-D6</f>
        <v>21975025.745454546</v>
      </c>
      <c r="E7" s="105"/>
      <c r="F7" s="116" t="s">
        <v>626</v>
      </c>
      <c r="G7" s="113">
        <f t="shared" si="3"/>
        <v>4746605.561018182</v>
      </c>
      <c r="H7" s="114">
        <f>G7*'Inputs and Output'!$D$31</f>
        <v>1898642.2244072729</v>
      </c>
      <c r="I7" s="114">
        <f t="shared" si="4"/>
        <v>2847963.3366109091</v>
      </c>
      <c r="J7" s="114">
        <f>H7*'Inputs and Output'!$D$32</f>
        <v>486538.46185771021</v>
      </c>
      <c r="L7" s="116" t="s">
        <v>626</v>
      </c>
      <c r="M7" s="113">
        <f t="shared" si="2"/>
        <v>15340768.99574017</v>
      </c>
      <c r="N7" s="113">
        <f t="shared" si="0"/>
        <v>1731972.8196190652</v>
      </c>
      <c r="O7" s="114">
        <f t="shared" si="1"/>
        <v>13608796.176121105</v>
      </c>
      <c r="R7" s="117">
        <v>3</v>
      </c>
      <c r="S7" s="118">
        <f t="shared" si="5"/>
        <v>14544287.02675255</v>
      </c>
      <c r="T7" s="118">
        <f t="shared" ref="T7:T29" si="6">T6*X7</f>
        <v>2726239.5930557372</v>
      </c>
      <c r="U7" s="118">
        <f>S7*'Inputs and Output'!$D$40</f>
        <v>1454428.702675255</v>
      </c>
      <c r="V7" s="118">
        <f t="shared" ref="V7:V29" si="7">T7-U7</f>
        <v>1271810.8903804822</v>
      </c>
      <c r="W7" s="118">
        <f t="shared" ref="W7:W29" si="8">S7-V7</f>
        <v>13272476.136372067</v>
      </c>
      <c r="X7" s="117">
        <f>IF(R7&gt;'Inputs and Output'!$D$41,0,1)</f>
        <v>1</v>
      </c>
    </row>
    <row r="8" spans="2:24" x14ac:dyDescent="0.3">
      <c r="B8" s="48" t="s">
        <v>627</v>
      </c>
      <c r="C8" s="48" t="s">
        <v>628</v>
      </c>
      <c r="D8" s="111">
        <f>D3*'Inputs and Output'!D12</f>
        <v>325000</v>
      </c>
      <c r="E8" s="120"/>
      <c r="F8" s="116" t="s">
        <v>629</v>
      </c>
      <c r="G8" s="113">
        <f t="shared" si="3"/>
        <v>2847963.3366109091</v>
      </c>
      <c r="H8" s="114">
        <f>G8*'Inputs and Output'!$D$31</f>
        <v>1139185.3346443637</v>
      </c>
      <c r="I8" s="114">
        <f t="shared" si="4"/>
        <v>1708778.0019665454</v>
      </c>
      <c r="J8" s="114">
        <f>H8*'Inputs and Output'!$D$32</f>
        <v>291923.07711462612</v>
      </c>
      <c r="L8" s="116" t="s">
        <v>629</v>
      </c>
      <c r="M8" s="113">
        <f t="shared" si="2"/>
        <v>13608796.176121105</v>
      </c>
      <c r="N8" s="113">
        <f t="shared" si="0"/>
        <v>1536433.0882840727</v>
      </c>
      <c r="O8" s="114">
        <f t="shared" si="1"/>
        <v>12072363.087837031</v>
      </c>
      <c r="R8" s="117">
        <v>4</v>
      </c>
      <c r="S8" s="118">
        <f t="shared" si="5"/>
        <v>13272476.136372067</v>
      </c>
      <c r="T8" s="118">
        <f t="shared" si="6"/>
        <v>2726239.5930557372</v>
      </c>
      <c r="U8" s="118">
        <f>S8*'Inputs and Output'!$D$40</f>
        <v>1327247.6136372068</v>
      </c>
      <c r="V8" s="118">
        <f t="shared" si="7"/>
        <v>1398991.9794185304</v>
      </c>
      <c r="W8" s="118">
        <f t="shared" si="8"/>
        <v>11873484.156953536</v>
      </c>
      <c r="X8" s="117">
        <f>IF(R8&gt;'Inputs and Output'!$D$41,0,1)</f>
        <v>1</v>
      </c>
    </row>
    <row r="9" spans="2:24" x14ac:dyDescent="0.3">
      <c r="B9" s="48" t="s">
        <v>569</v>
      </c>
      <c r="C9" s="48" t="s">
        <v>570</v>
      </c>
      <c r="D9" s="73">
        <f>'Inputs and Output'!D15</f>
        <v>2E-3</v>
      </c>
      <c r="E9" s="121"/>
      <c r="F9" s="116" t="s">
        <v>630</v>
      </c>
      <c r="G9" s="113">
        <f t="shared" si="3"/>
        <v>1708778.0019665454</v>
      </c>
      <c r="H9" s="114">
        <f>G9*'Inputs and Output'!$D$31</f>
        <v>683511.20078661817</v>
      </c>
      <c r="I9" s="114">
        <f t="shared" si="4"/>
        <v>1025266.8011799272</v>
      </c>
      <c r="J9" s="114">
        <f>H9*'Inputs and Output'!$D$32</f>
        <v>175153.84626877564</v>
      </c>
      <c r="L9" s="116" t="s">
        <v>630</v>
      </c>
      <c r="M9" s="113">
        <f t="shared" si="2"/>
        <v>12072363.087837031</v>
      </c>
      <c r="N9" s="113">
        <f t="shared" si="0"/>
        <v>1362969.7926168009</v>
      </c>
      <c r="O9" s="114">
        <f t="shared" si="1"/>
        <v>10709393.29522023</v>
      </c>
      <c r="R9" s="117">
        <v>5</v>
      </c>
      <c r="S9" s="118">
        <f t="shared" si="5"/>
        <v>11873484.156953536</v>
      </c>
      <c r="T9" s="118">
        <f t="shared" si="6"/>
        <v>2726239.5930557372</v>
      </c>
      <c r="U9" s="118">
        <f>S9*'Inputs and Output'!$D$40</f>
        <v>1187348.4156953536</v>
      </c>
      <c r="V9" s="118">
        <f t="shared" si="7"/>
        <v>1538891.1773603836</v>
      </c>
      <c r="W9" s="118">
        <f t="shared" si="8"/>
        <v>10334592.979593152</v>
      </c>
      <c r="X9" s="117">
        <f>IF(R9&gt;'Inputs and Output'!$D$41,0,1)</f>
        <v>1</v>
      </c>
    </row>
    <row r="10" spans="2:24" x14ac:dyDescent="0.3">
      <c r="B10" s="48" t="s">
        <v>572</v>
      </c>
      <c r="C10" s="48" t="s">
        <v>631</v>
      </c>
      <c r="D10" s="73">
        <f>'Inputs and Output'!D16</f>
        <v>0.01</v>
      </c>
      <c r="E10" s="121"/>
      <c r="F10" s="116" t="s">
        <v>632</v>
      </c>
      <c r="G10" s="113">
        <f t="shared" si="3"/>
        <v>1025266.8011799272</v>
      </c>
      <c r="H10" s="114">
        <f>G10*'Inputs and Output'!$D$31</f>
        <v>410106.72047197091</v>
      </c>
      <c r="I10" s="114">
        <f t="shared" si="4"/>
        <v>615160.08070795634</v>
      </c>
      <c r="J10" s="114">
        <f>H10*'Inputs and Output'!$D$32</f>
        <v>105092.30776126539</v>
      </c>
      <c r="L10" s="116" t="s">
        <v>632</v>
      </c>
      <c r="M10" s="113">
        <f t="shared" si="2"/>
        <v>10709393.29522023</v>
      </c>
      <c r="N10" s="113">
        <f t="shared" si="0"/>
        <v>1209090.5030303639</v>
      </c>
      <c r="O10" s="114">
        <f t="shared" si="1"/>
        <v>9500302.7921898663</v>
      </c>
      <c r="R10" s="117">
        <v>6</v>
      </c>
      <c r="S10" s="118">
        <f t="shared" si="5"/>
        <v>10334592.979593152</v>
      </c>
      <c r="T10" s="118">
        <f t="shared" si="6"/>
        <v>2726239.5930557372</v>
      </c>
      <c r="U10" s="118">
        <f>S10*'Inputs and Output'!$D$40</f>
        <v>1033459.2979593152</v>
      </c>
      <c r="V10" s="118">
        <f t="shared" si="7"/>
        <v>1692780.2950964221</v>
      </c>
      <c r="W10" s="118">
        <f t="shared" si="8"/>
        <v>8641812.6844967306</v>
      </c>
      <c r="X10" s="117">
        <f>IF(R10&gt;'Inputs and Output'!$D$41,0,1)</f>
        <v>1</v>
      </c>
    </row>
    <row r="11" spans="2:24" x14ac:dyDescent="0.3">
      <c r="B11" s="48" t="s">
        <v>633</v>
      </c>
      <c r="C11" s="48"/>
      <c r="D11" s="122">
        <v>0.1129</v>
      </c>
      <c r="E11" s="105"/>
      <c r="F11" s="116" t="s">
        <v>634</v>
      </c>
      <c r="G11" s="113">
        <f t="shared" si="3"/>
        <v>615160.08070795634</v>
      </c>
      <c r="H11" s="114">
        <f>G11*'Inputs and Output'!$D$31</f>
        <v>246064.03228318255</v>
      </c>
      <c r="I11" s="114">
        <f t="shared" si="4"/>
        <v>369096.04842477379</v>
      </c>
      <c r="J11" s="114">
        <f>H11*'Inputs and Output'!$D$32</f>
        <v>63055.384656759234</v>
      </c>
      <c r="L11" s="116" t="s">
        <v>634</v>
      </c>
      <c r="M11" s="113">
        <f t="shared" si="2"/>
        <v>9500302.7921898663</v>
      </c>
      <c r="N11" s="113">
        <f t="shared" si="0"/>
        <v>1072584.1852382359</v>
      </c>
      <c r="O11" s="114">
        <f t="shared" si="1"/>
        <v>8427718.6069516297</v>
      </c>
      <c r="R11" s="117">
        <v>7</v>
      </c>
      <c r="S11" s="118">
        <f t="shared" si="5"/>
        <v>8641812.6844967306</v>
      </c>
      <c r="T11" s="118">
        <f t="shared" si="6"/>
        <v>2726239.5930557372</v>
      </c>
      <c r="U11" s="118">
        <f>S11*'Inputs and Output'!$D$40</f>
        <v>864181.26844967308</v>
      </c>
      <c r="V11" s="118">
        <f t="shared" si="7"/>
        <v>1862058.3246060642</v>
      </c>
      <c r="W11" s="118">
        <f t="shared" si="8"/>
        <v>6779754.3598906659</v>
      </c>
      <c r="X11" s="117">
        <f>IF(R11&gt;'Inputs and Output'!$D$41,0,1)</f>
        <v>1</v>
      </c>
    </row>
    <row r="12" spans="2:24" x14ac:dyDescent="0.3">
      <c r="B12" s="48" t="s">
        <v>635</v>
      </c>
      <c r="C12" s="48" t="s">
        <v>636</v>
      </c>
      <c r="D12" s="111">
        <f>D3*'Inputs and Output'!$D$14*365</f>
        <v>657000</v>
      </c>
      <c r="E12" s="123"/>
      <c r="F12" s="116" t="s">
        <v>637</v>
      </c>
      <c r="G12" s="113">
        <f>I11</f>
        <v>369096.04842477379</v>
      </c>
      <c r="H12" s="114">
        <f>G12*'Inputs and Output'!$D$31</f>
        <v>147638.41936990953</v>
      </c>
      <c r="I12" s="114">
        <f t="shared" si="4"/>
        <v>221457.62905486426</v>
      </c>
      <c r="J12" s="114">
        <f>H12*'Inputs and Output'!$D$32</f>
        <v>37833.23079405554</v>
      </c>
      <c r="L12" s="116" t="s">
        <v>637</v>
      </c>
      <c r="M12" s="113">
        <f t="shared" si="2"/>
        <v>8427718.6069516297</v>
      </c>
      <c r="N12" s="113">
        <f t="shared" si="0"/>
        <v>951489.43072483898</v>
      </c>
      <c r="O12" s="114">
        <f t="shared" si="1"/>
        <v>7476229.176226791</v>
      </c>
      <c r="R12" s="117">
        <v>8</v>
      </c>
      <c r="S12" s="118">
        <f t="shared" si="5"/>
        <v>6779754.3598906659</v>
      </c>
      <c r="T12" s="118">
        <f t="shared" si="6"/>
        <v>2726239.5930557372</v>
      </c>
      <c r="U12" s="118">
        <f>S12*'Inputs and Output'!$D$40</f>
        <v>677975.43598906661</v>
      </c>
      <c r="V12" s="118">
        <f t="shared" si="7"/>
        <v>2048264.1570666707</v>
      </c>
      <c r="W12" s="118">
        <f t="shared" si="8"/>
        <v>4731490.2028239947</v>
      </c>
      <c r="X12" s="117">
        <f>IF(R12&gt;'Inputs and Output'!$D$41,0,1)</f>
        <v>1</v>
      </c>
    </row>
    <row r="13" spans="2:24" x14ac:dyDescent="0.3">
      <c r="B13" s="48" t="s">
        <v>564</v>
      </c>
      <c r="C13" s="48" t="s">
        <v>565</v>
      </c>
      <c r="D13" s="124">
        <f>'Inputs and Output'!D35</f>
        <v>7.08</v>
      </c>
      <c r="E13" s="55"/>
      <c r="F13" s="116" t="s">
        <v>638</v>
      </c>
      <c r="G13" s="113">
        <f t="shared" si="3"/>
        <v>221457.62905486426</v>
      </c>
      <c r="H13" s="114">
        <f>G13*'Inputs and Output'!$D$31</f>
        <v>88583.051621945706</v>
      </c>
      <c r="I13" s="114">
        <f t="shared" si="4"/>
        <v>132874.57743291854</v>
      </c>
      <c r="J13" s="114">
        <f>H13*'Inputs and Output'!$D$32</f>
        <v>22699.938476433323</v>
      </c>
      <c r="L13" s="116" t="s">
        <v>638</v>
      </c>
      <c r="M13" s="113">
        <f t="shared" si="2"/>
        <v>7476229.176226791</v>
      </c>
      <c r="N13" s="113">
        <f t="shared" si="0"/>
        <v>844066.27399600472</v>
      </c>
      <c r="O13" s="114">
        <f t="shared" si="1"/>
        <v>6632162.9022307862</v>
      </c>
      <c r="R13" s="117">
        <v>9</v>
      </c>
      <c r="S13" s="118">
        <f t="shared" si="5"/>
        <v>4731490.2028239947</v>
      </c>
      <c r="T13" s="118">
        <f t="shared" si="6"/>
        <v>2726239.5930557372</v>
      </c>
      <c r="U13" s="118">
        <f>S13*'Inputs and Output'!$D$40</f>
        <v>473149.02028239949</v>
      </c>
      <c r="V13" s="118">
        <f t="shared" si="7"/>
        <v>2253090.5727733378</v>
      </c>
      <c r="W13" s="118">
        <f t="shared" si="8"/>
        <v>2478399.6300506569</v>
      </c>
      <c r="X13" s="117">
        <f>IF(R13&gt;'Inputs and Output'!$D$41,0,1)</f>
        <v>1</v>
      </c>
    </row>
    <row r="14" spans="2:24" x14ac:dyDescent="0.3">
      <c r="B14" s="48" t="s">
        <v>568</v>
      </c>
      <c r="C14" s="48" t="s">
        <v>563</v>
      </c>
      <c r="D14" s="74">
        <f>'Inputs and Output'!D36</f>
        <v>0.02</v>
      </c>
      <c r="E14" s="120"/>
      <c r="F14" s="116" t="s">
        <v>639</v>
      </c>
      <c r="G14" s="113">
        <f t="shared" si="3"/>
        <v>132874.57743291854</v>
      </c>
      <c r="H14" s="114">
        <f>G14*'Inputs and Output'!$D$31</f>
        <v>53149.830973167416</v>
      </c>
      <c r="I14" s="114">
        <f t="shared" si="4"/>
        <v>79724.746459751128</v>
      </c>
      <c r="J14" s="114">
        <f>H14*'Inputs and Output'!$D$32</f>
        <v>13619.963085859992</v>
      </c>
      <c r="L14" s="116" t="s">
        <v>639</v>
      </c>
      <c r="M14" s="113">
        <f t="shared" si="2"/>
        <v>6632162.9022307862</v>
      </c>
      <c r="N14" s="113">
        <f t="shared" si="0"/>
        <v>748771.19166185579</v>
      </c>
      <c r="O14" s="114">
        <f t="shared" si="1"/>
        <v>5883391.71056893</v>
      </c>
      <c r="R14" s="117">
        <v>10</v>
      </c>
      <c r="S14" s="118">
        <f t="shared" si="5"/>
        <v>2478399.6300506569</v>
      </c>
      <c r="T14" s="118">
        <f t="shared" si="6"/>
        <v>2726239.5930557372</v>
      </c>
      <c r="U14" s="118">
        <f>S14*'Inputs and Output'!$D$40</f>
        <v>247839.96300506569</v>
      </c>
      <c r="V14" s="118">
        <f t="shared" si="7"/>
        <v>2478399.6300506713</v>
      </c>
      <c r="W14" s="118">
        <f t="shared" si="8"/>
        <v>-1.4435499906539917E-8</v>
      </c>
      <c r="X14" s="117">
        <f>IF(R14&gt;'Inputs and Output'!$D$41,0,1)</f>
        <v>1</v>
      </c>
    </row>
    <row r="15" spans="2:24" x14ac:dyDescent="0.3">
      <c r="B15" s="48" t="s">
        <v>571</v>
      </c>
      <c r="C15" s="48" t="s">
        <v>640</v>
      </c>
      <c r="D15" s="125">
        <f>R36</f>
        <v>5096464.8612144189</v>
      </c>
      <c r="E15" s="105"/>
      <c r="F15" s="116" t="s">
        <v>641</v>
      </c>
      <c r="G15" s="113">
        <f t="shared" si="3"/>
        <v>79724.746459751128</v>
      </c>
      <c r="H15" s="114">
        <f>G15*'Inputs and Output'!$D$31</f>
        <v>31889.898583900453</v>
      </c>
      <c r="I15" s="114">
        <f t="shared" si="4"/>
        <v>47834.847875850675</v>
      </c>
      <c r="J15" s="114">
        <f>H15*'Inputs and Output'!$D$32</f>
        <v>8171.977851515996</v>
      </c>
      <c r="L15" s="116" t="s">
        <v>641</v>
      </c>
      <c r="M15" s="113">
        <f t="shared" si="2"/>
        <v>5883391.71056893</v>
      </c>
      <c r="N15" s="113">
        <f t="shared" si="0"/>
        <v>664234.92412323225</v>
      </c>
      <c r="O15" s="114">
        <f t="shared" si="1"/>
        <v>5219156.7864456978</v>
      </c>
      <c r="R15" s="117">
        <v>11</v>
      </c>
      <c r="S15" s="118">
        <f t="shared" si="5"/>
        <v>-1.4435499906539917E-8</v>
      </c>
      <c r="T15" s="118">
        <f t="shared" si="6"/>
        <v>0</v>
      </c>
      <c r="U15" s="118">
        <f>S15*'Inputs and Output'!$D$40</f>
        <v>-1.4435499906539917E-9</v>
      </c>
      <c r="V15" s="118">
        <f t="shared" si="7"/>
        <v>1.4435499906539917E-9</v>
      </c>
      <c r="W15" s="118">
        <f t="shared" si="8"/>
        <v>-1.5879049897193909E-8</v>
      </c>
      <c r="X15" s="117">
        <f>IF(R15&gt;'Inputs and Output'!$D$41,0,1)</f>
        <v>0</v>
      </c>
    </row>
    <row r="16" spans="2:24" x14ac:dyDescent="0.3">
      <c r="B16" s="110" t="s">
        <v>574</v>
      </c>
      <c r="C16" s="110" t="s">
        <v>550</v>
      </c>
      <c r="D16" s="126">
        <f>MIN(AB36:AB60)</f>
        <v>5.137559277007556</v>
      </c>
      <c r="E16" s="105"/>
      <c r="F16" s="116" t="s">
        <v>642</v>
      </c>
      <c r="G16" s="113">
        <f t="shared" si="3"/>
        <v>47834.847875850675</v>
      </c>
      <c r="H16" s="114">
        <f>G16*'Inputs and Output'!$D$31</f>
        <v>19133.939150340269</v>
      </c>
      <c r="I16" s="114">
        <f t="shared" si="4"/>
        <v>28700.908725510406</v>
      </c>
      <c r="J16" s="114">
        <f>H16*'Inputs and Output'!$D$32</f>
        <v>4903.1867109095965</v>
      </c>
      <c r="L16" s="116" t="s">
        <v>642</v>
      </c>
      <c r="M16" s="113">
        <f t="shared" si="2"/>
        <v>5219156.7864456978</v>
      </c>
      <c r="N16" s="113">
        <f t="shared" si="0"/>
        <v>589242.80118971923</v>
      </c>
      <c r="O16" s="114">
        <f t="shared" si="1"/>
        <v>4629913.985255979</v>
      </c>
      <c r="R16" s="117">
        <v>12</v>
      </c>
      <c r="S16" s="118">
        <f t="shared" si="5"/>
        <v>-1.5879049897193909E-8</v>
      </c>
      <c r="T16" s="118">
        <f t="shared" si="6"/>
        <v>0</v>
      </c>
      <c r="U16" s="118">
        <f>S16*'Inputs and Output'!$D$40</f>
        <v>-1.5879049897193909E-9</v>
      </c>
      <c r="V16" s="118">
        <f t="shared" si="7"/>
        <v>1.5879049897193909E-9</v>
      </c>
      <c r="W16" s="118">
        <f t="shared" si="8"/>
        <v>-1.7466954886913302E-8</v>
      </c>
      <c r="X16" s="117">
        <f>IF(R16&gt;'Inputs and Output'!$D$41,0,1)</f>
        <v>0</v>
      </c>
    </row>
    <row r="17" spans="2:24" ht="20.25" customHeight="1" x14ac:dyDescent="0.3">
      <c r="B17" s="48" t="s">
        <v>575</v>
      </c>
      <c r="C17" s="48" t="s">
        <v>550</v>
      </c>
      <c r="D17" s="48">
        <f>'Inputs and Output'!D10</f>
        <v>25</v>
      </c>
      <c r="E17" s="55"/>
      <c r="F17" s="116" t="s">
        <v>643</v>
      </c>
      <c r="G17" s="113">
        <f t="shared" si="3"/>
        <v>28700.908725510406</v>
      </c>
      <c r="H17" s="114">
        <f>G17*'Inputs and Output'!$D$31</f>
        <v>11480.363490204163</v>
      </c>
      <c r="I17" s="114">
        <f t="shared" si="4"/>
        <v>17220.545235306243</v>
      </c>
      <c r="J17" s="114">
        <f>H17*'Inputs and Output'!$D$32</f>
        <v>2941.9120265457586</v>
      </c>
      <c r="L17" s="116" t="s">
        <v>643</v>
      </c>
      <c r="M17" s="113">
        <f t="shared" si="2"/>
        <v>4629913.985255979</v>
      </c>
      <c r="N17" s="113">
        <f t="shared" si="0"/>
        <v>522717.28893540002</v>
      </c>
      <c r="O17" s="114">
        <f t="shared" si="1"/>
        <v>4107196.6963205789</v>
      </c>
      <c r="R17" s="117">
        <v>13</v>
      </c>
      <c r="S17" s="118">
        <f t="shared" si="5"/>
        <v>-1.7466954886913302E-8</v>
      </c>
      <c r="T17" s="118">
        <f t="shared" si="6"/>
        <v>0</v>
      </c>
      <c r="U17" s="118">
        <f>S17*'Inputs and Output'!$D$40</f>
        <v>-1.7466954886913303E-9</v>
      </c>
      <c r="V17" s="118">
        <f t="shared" si="7"/>
        <v>1.7466954886913303E-9</v>
      </c>
      <c r="W17" s="118">
        <f t="shared" si="8"/>
        <v>-1.9213650375604631E-8</v>
      </c>
      <c r="X17" s="117">
        <f>IF(R17&gt;'Inputs and Output'!$D$41,0,1)</f>
        <v>0</v>
      </c>
    </row>
    <row r="18" spans="2:24" x14ac:dyDescent="0.3">
      <c r="B18" s="48" t="s">
        <v>576</v>
      </c>
      <c r="C18" s="48" t="s">
        <v>550</v>
      </c>
      <c r="D18" s="48">
        <f>'Inputs and Output'!D11</f>
        <v>5</v>
      </c>
      <c r="E18" s="55"/>
      <c r="F18" s="116" t="s">
        <v>644</v>
      </c>
      <c r="G18" s="113">
        <f t="shared" si="3"/>
        <v>17220.545235306243</v>
      </c>
      <c r="H18" s="114">
        <f>G18*'Inputs and Output'!$D$31</f>
        <v>6888.2180941224979</v>
      </c>
      <c r="I18" s="114">
        <f t="shared" si="4"/>
        <v>10332.327141183745</v>
      </c>
      <c r="J18" s="114">
        <f>H18*'Inputs and Output'!$D$32</f>
        <v>1765.1472159274551</v>
      </c>
      <c r="L18" s="116" t="s">
        <v>644</v>
      </c>
      <c r="M18" s="113">
        <f t="shared" si="2"/>
        <v>4107196.6963205789</v>
      </c>
      <c r="N18" s="113">
        <f t="shared" si="0"/>
        <v>463702.50701459334</v>
      </c>
      <c r="O18" s="114">
        <f t="shared" si="1"/>
        <v>3643494.1893059853</v>
      </c>
      <c r="R18" s="117">
        <v>14</v>
      </c>
      <c r="S18" s="118">
        <f t="shared" si="5"/>
        <v>-1.9213650375604631E-8</v>
      </c>
      <c r="T18" s="118">
        <f t="shared" si="6"/>
        <v>0</v>
      </c>
      <c r="U18" s="118">
        <f>S18*'Inputs and Output'!$D$40</f>
        <v>-1.921365037560463E-9</v>
      </c>
      <c r="V18" s="118">
        <f t="shared" si="7"/>
        <v>1.921365037560463E-9</v>
      </c>
      <c r="W18" s="118">
        <f t="shared" si="8"/>
        <v>-2.1135015413165094E-8</v>
      </c>
      <c r="X18" s="117">
        <f>IF(R18&gt;'Inputs and Output'!$D$41,0,1)</f>
        <v>0</v>
      </c>
    </row>
    <row r="19" spans="2:24" x14ac:dyDescent="0.3">
      <c r="B19" s="48" t="s">
        <v>578</v>
      </c>
      <c r="C19" s="48" t="s">
        <v>624</v>
      </c>
      <c r="D19" s="125">
        <f>R61</f>
        <v>69797713.167095035</v>
      </c>
      <c r="E19" s="127"/>
      <c r="F19" s="116" t="s">
        <v>645</v>
      </c>
      <c r="G19" s="113">
        <f t="shared" si="3"/>
        <v>10332.327141183745</v>
      </c>
      <c r="H19" s="114">
        <f>G19*'Inputs and Output'!$D$31</f>
        <v>4132.9308564734984</v>
      </c>
      <c r="I19" s="114">
        <f t="shared" si="4"/>
        <v>6199.3962847102466</v>
      </c>
      <c r="J19" s="114">
        <f>H19*'Inputs and Output'!$D$32</f>
        <v>1059.0883295564729</v>
      </c>
      <c r="L19" s="116" t="s">
        <v>645</v>
      </c>
      <c r="M19" s="113">
        <f t="shared" si="2"/>
        <v>3643494.1893059853</v>
      </c>
      <c r="N19" s="113">
        <f t="shared" si="0"/>
        <v>411350.49397264572</v>
      </c>
      <c r="O19" s="114">
        <f t="shared" si="1"/>
        <v>3232143.6953333397</v>
      </c>
      <c r="R19" s="117">
        <v>15</v>
      </c>
      <c r="S19" s="118">
        <f t="shared" si="5"/>
        <v>-2.1135015413165094E-8</v>
      </c>
      <c r="T19" s="118">
        <f t="shared" si="6"/>
        <v>0</v>
      </c>
      <c r="U19" s="118">
        <f>S19*'Inputs and Output'!$D$40</f>
        <v>-2.1135015413165097E-9</v>
      </c>
      <c r="V19" s="118">
        <f t="shared" si="7"/>
        <v>2.1135015413165097E-9</v>
      </c>
      <c r="W19" s="118">
        <f t="shared" si="8"/>
        <v>-2.3248516954481604E-8</v>
      </c>
      <c r="X19" s="117">
        <f>IF(R19&gt;'Inputs and Output'!$D$41,0,1)</f>
        <v>0</v>
      </c>
    </row>
    <row r="20" spans="2:24" ht="28.8" outlineLevel="1" x14ac:dyDescent="0.3">
      <c r="B20" s="48" t="s">
        <v>580</v>
      </c>
      <c r="C20" s="48" t="s">
        <v>646</v>
      </c>
      <c r="D20" s="125">
        <f>E61</f>
        <v>15242400</v>
      </c>
      <c r="E20" s="127"/>
      <c r="F20" s="116" t="s">
        <v>647</v>
      </c>
      <c r="G20" s="113">
        <f t="shared" si="3"/>
        <v>6199.3962847102466</v>
      </c>
      <c r="H20" s="114">
        <f>G20*'Inputs and Output'!$D$31</f>
        <v>2479.7585138840986</v>
      </c>
      <c r="I20" s="114">
        <f t="shared" si="4"/>
        <v>3719.637770826148</v>
      </c>
      <c r="J20" s="114">
        <f>H20*'Inputs and Output'!$D$32</f>
        <v>635.45299773388365</v>
      </c>
      <c r="L20" s="116" t="s">
        <v>647</v>
      </c>
      <c r="M20" s="113">
        <f t="shared" si="2"/>
        <v>3232143.6953333397</v>
      </c>
      <c r="N20" s="113">
        <f t="shared" si="0"/>
        <v>364909.02320313407</v>
      </c>
      <c r="O20" s="114">
        <f t="shared" si="1"/>
        <v>2867234.6721302057</v>
      </c>
      <c r="R20" s="117">
        <v>16</v>
      </c>
      <c r="S20" s="118">
        <f t="shared" si="5"/>
        <v>-2.3248516954481604E-8</v>
      </c>
      <c r="T20" s="118">
        <f t="shared" si="6"/>
        <v>0</v>
      </c>
      <c r="U20" s="118">
        <f>S20*'Inputs and Output'!$D$40</f>
        <v>-2.3248516954481608E-9</v>
      </c>
      <c r="V20" s="118">
        <f t="shared" si="7"/>
        <v>2.3248516954481608E-9</v>
      </c>
      <c r="W20" s="118">
        <f t="shared" si="8"/>
        <v>-2.5573368649929765E-8</v>
      </c>
      <c r="X20" s="117">
        <f>IF(R20&gt;'Inputs and Output'!$D$41,0,1)</f>
        <v>0</v>
      </c>
    </row>
    <row r="21" spans="2:24" outlineLevel="1" x14ac:dyDescent="0.3">
      <c r="B21" s="48" t="s">
        <v>648</v>
      </c>
      <c r="C21" s="48" t="s">
        <v>649</v>
      </c>
      <c r="D21" s="128">
        <f>NPV('Inputs and Output'!D33,Workings!X35:X60)/NPV('Inputs and Output'!D33,Workings!E36:E60)</f>
        <v>3.8853245799401361</v>
      </c>
      <c r="E21" s="123"/>
      <c r="F21" s="116" t="s">
        <v>650</v>
      </c>
      <c r="G21" s="113">
        <f t="shared" si="3"/>
        <v>3719.637770826148</v>
      </c>
      <c r="H21" s="114">
        <f>G21*'Inputs and Output'!$D$31</f>
        <v>1487.8551083304592</v>
      </c>
      <c r="I21" s="114">
        <f t="shared" si="4"/>
        <v>2231.7826624956888</v>
      </c>
      <c r="J21" s="114">
        <f>H21*'Inputs and Output'!$D$32</f>
        <v>381.27179864033019</v>
      </c>
      <c r="L21" s="116" t="s">
        <v>650</v>
      </c>
      <c r="M21" s="113">
        <f t="shared" si="2"/>
        <v>2867234.6721302057</v>
      </c>
      <c r="N21" s="113">
        <f t="shared" si="0"/>
        <v>323710.79448350024</v>
      </c>
      <c r="O21" s="114">
        <f t="shared" si="1"/>
        <v>2543523.8776467056</v>
      </c>
      <c r="R21" s="117">
        <v>17</v>
      </c>
      <c r="S21" s="118">
        <f t="shared" si="5"/>
        <v>-2.5573368649929765E-8</v>
      </c>
      <c r="T21" s="118">
        <f t="shared" si="6"/>
        <v>0</v>
      </c>
      <c r="U21" s="118">
        <f>S21*'Inputs and Output'!$D$40</f>
        <v>-2.5573368649929766E-9</v>
      </c>
      <c r="V21" s="118">
        <f t="shared" si="7"/>
        <v>2.5573368649929766E-9</v>
      </c>
      <c r="W21" s="118">
        <f t="shared" si="8"/>
        <v>-2.8130705514922741E-8</v>
      </c>
      <c r="X21" s="117">
        <f>IF(R21&gt;'Inputs and Output'!$D$41,0,1)</f>
        <v>0</v>
      </c>
    </row>
    <row r="22" spans="2:24" outlineLevel="1" x14ac:dyDescent="0.3">
      <c r="B22" s="110" t="s">
        <v>651</v>
      </c>
      <c r="C22" s="110" t="s">
        <v>507</v>
      </c>
      <c r="D22" s="129">
        <f>IRR(Y35:Y60)</f>
        <v>0.17679782136468813</v>
      </c>
      <c r="F22" s="116" t="s">
        <v>652</v>
      </c>
      <c r="G22" s="113">
        <f t="shared" si="3"/>
        <v>2231.7826624956888</v>
      </c>
      <c r="H22" s="114">
        <f>G22*'Inputs and Output'!$D$31</f>
        <v>892.71306499827551</v>
      </c>
      <c r="I22" s="114">
        <f t="shared" si="4"/>
        <v>1339.0695974974133</v>
      </c>
      <c r="J22" s="114">
        <f>H22*'Inputs and Output'!$D$32</f>
        <v>228.76307918419812</v>
      </c>
      <c r="L22" s="116" t="s">
        <v>652</v>
      </c>
      <c r="M22" s="113">
        <f t="shared" si="2"/>
        <v>2543523.8776467056</v>
      </c>
      <c r="N22" s="113">
        <f t="shared" si="0"/>
        <v>287163.84578631306</v>
      </c>
      <c r="O22" s="114">
        <f t="shared" si="1"/>
        <v>2256360.0318603925</v>
      </c>
      <c r="R22" s="117">
        <v>18</v>
      </c>
      <c r="S22" s="118">
        <f t="shared" si="5"/>
        <v>-2.8130705514922741E-8</v>
      </c>
      <c r="T22" s="118">
        <f t="shared" si="6"/>
        <v>0</v>
      </c>
      <c r="U22" s="118">
        <f>S22*'Inputs and Output'!$D$40</f>
        <v>-2.8130705514922742E-9</v>
      </c>
      <c r="V22" s="118">
        <f t="shared" si="7"/>
        <v>2.8130705514922742E-9</v>
      </c>
      <c r="W22" s="118">
        <f t="shared" si="8"/>
        <v>-3.0943776066415017E-8</v>
      </c>
      <c r="X22" s="117">
        <f>IF(R22&gt;'Inputs and Output'!$D$41,0,1)</f>
        <v>0</v>
      </c>
    </row>
    <row r="23" spans="2:24" outlineLevel="1" x14ac:dyDescent="0.3">
      <c r="B23" s="110" t="s">
        <v>653</v>
      </c>
      <c r="C23" s="110" t="s">
        <v>507</v>
      </c>
      <c r="D23" s="129">
        <f>IRR(R35:R60)</f>
        <v>0.3580267312711769</v>
      </c>
      <c r="F23" s="116" t="s">
        <v>654</v>
      </c>
      <c r="G23" s="113">
        <f t="shared" si="3"/>
        <v>1339.0695974974133</v>
      </c>
      <c r="H23" s="114">
        <f>G23*'Inputs and Output'!$D$31</f>
        <v>535.62783899896533</v>
      </c>
      <c r="I23" s="114">
        <f t="shared" si="4"/>
        <v>803.44175849844794</v>
      </c>
      <c r="J23" s="114">
        <f>H23*'Inputs and Output'!$D$32</f>
        <v>137.25784751051887</v>
      </c>
      <c r="L23" s="116" t="s">
        <v>654</v>
      </c>
      <c r="M23" s="113">
        <f t="shared" si="2"/>
        <v>2256360.0318603925</v>
      </c>
      <c r="N23" s="113">
        <f t="shared" si="0"/>
        <v>254743.04759703833</v>
      </c>
      <c r="O23" s="114">
        <f t="shared" si="1"/>
        <v>2001616.9842633542</v>
      </c>
      <c r="R23" s="117">
        <v>19</v>
      </c>
      <c r="S23" s="118">
        <f t="shared" si="5"/>
        <v>-3.0943776066415017E-8</v>
      </c>
      <c r="T23" s="118">
        <f t="shared" si="6"/>
        <v>0</v>
      </c>
      <c r="U23" s="118">
        <f>S23*'Inputs and Output'!$D$40</f>
        <v>-3.0943776066415017E-9</v>
      </c>
      <c r="V23" s="118">
        <f t="shared" si="7"/>
        <v>3.0943776066415017E-9</v>
      </c>
      <c r="W23" s="118">
        <f t="shared" si="8"/>
        <v>-3.4038153673056518E-8</v>
      </c>
      <c r="X23" s="117">
        <f>IF(R23&gt;'Inputs and Output'!$D$41,0,1)</f>
        <v>0</v>
      </c>
    </row>
    <row r="24" spans="2:24" outlineLevel="1" x14ac:dyDescent="0.3">
      <c r="B24" s="130"/>
      <c r="F24" s="116" t="s">
        <v>655</v>
      </c>
      <c r="G24" s="113">
        <f t="shared" si="3"/>
        <v>803.44175849844794</v>
      </c>
      <c r="H24" s="114">
        <f>G24*'Inputs and Output'!$D$31</f>
        <v>321.37670339937921</v>
      </c>
      <c r="I24" s="114">
        <f t="shared" si="4"/>
        <v>482.06505509906873</v>
      </c>
      <c r="J24" s="114">
        <f>H24*'Inputs and Output'!$D$32</f>
        <v>82.354708506311326</v>
      </c>
      <c r="L24" s="116" t="s">
        <v>655</v>
      </c>
      <c r="M24" s="113">
        <f t="shared" si="2"/>
        <v>2001616.9842633542</v>
      </c>
      <c r="N24" s="113">
        <f t="shared" si="0"/>
        <v>225982.55752333268</v>
      </c>
      <c r="O24" s="114">
        <f t="shared" si="1"/>
        <v>1775634.4267400214</v>
      </c>
      <c r="R24" s="117">
        <v>20</v>
      </c>
      <c r="S24" s="118">
        <f t="shared" si="5"/>
        <v>-3.4038153673056518E-8</v>
      </c>
      <c r="T24" s="118">
        <f t="shared" si="6"/>
        <v>0</v>
      </c>
      <c r="U24" s="118">
        <f>S24*'Inputs and Output'!$D$40</f>
        <v>-3.4038153673056521E-9</v>
      </c>
      <c r="V24" s="118">
        <f t="shared" si="7"/>
        <v>3.4038153673056521E-9</v>
      </c>
      <c r="W24" s="118">
        <f t="shared" si="8"/>
        <v>-3.7441969040362171E-8</v>
      </c>
      <c r="X24" s="117">
        <f>IF(R24&gt;'Inputs and Output'!$D$41,0,1)</f>
        <v>0</v>
      </c>
    </row>
    <row r="25" spans="2:24" outlineLevel="1" x14ac:dyDescent="0.3">
      <c r="C25" s="127"/>
      <c r="F25" s="116" t="s">
        <v>656</v>
      </c>
      <c r="G25" s="113">
        <f t="shared" si="3"/>
        <v>482.06505509906873</v>
      </c>
      <c r="H25" s="114">
        <f>G25*'Inputs and Output'!$D$31</f>
        <v>192.8260220396275</v>
      </c>
      <c r="I25" s="114">
        <f t="shared" si="4"/>
        <v>289.23903305944123</v>
      </c>
      <c r="J25" s="114">
        <f>H25*'Inputs and Output'!$D$32</f>
        <v>49.412825103786794</v>
      </c>
      <c r="L25" s="116" t="s">
        <v>656</v>
      </c>
      <c r="M25" s="113">
        <f t="shared" si="2"/>
        <v>1775634.4267400214</v>
      </c>
      <c r="N25" s="113">
        <f t="shared" si="0"/>
        <v>200469.12677894841</v>
      </c>
      <c r="O25" s="114">
        <f t="shared" si="1"/>
        <v>1575165.2999610731</v>
      </c>
      <c r="R25" s="117">
        <v>21</v>
      </c>
      <c r="S25" s="118">
        <f t="shared" si="5"/>
        <v>-3.7441969040362171E-8</v>
      </c>
      <c r="T25" s="118">
        <f t="shared" si="6"/>
        <v>0</v>
      </c>
      <c r="U25" s="118">
        <f>S25*'Inputs and Output'!$D$40</f>
        <v>-3.7441969040362173E-9</v>
      </c>
      <c r="V25" s="118">
        <f t="shared" si="7"/>
        <v>3.7441969040362173E-9</v>
      </c>
      <c r="W25" s="118">
        <f t="shared" si="8"/>
        <v>-4.1186165944398391E-8</v>
      </c>
      <c r="X25" s="117">
        <f>IF(R25&gt;'Inputs and Output'!$D$41,0,1)</f>
        <v>0</v>
      </c>
    </row>
    <row r="26" spans="2:24" outlineLevel="1" x14ac:dyDescent="0.3">
      <c r="C26" s="123"/>
      <c r="F26" s="116" t="s">
        <v>657</v>
      </c>
      <c r="G26" s="113">
        <f t="shared" si="3"/>
        <v>289.23903305944123</v>
      </c>
      <c r="H26" s="114">
        <f>G26*'Inputs and Output'!$D$31</f>
        <v>115.69561322377649</v>
      </c>
      <c r="I26" s="114">
        <f t="shared" si="4"/>
        <v>173.54341983566474</v>
      </c>
      <c r="J26" s="114">
        <f>H26*'Inputs and Output'!$D$32</f>
        <v>29.647695062272074</v>
      </c>
      <c r="L26" s="116" t="s">
        <v>657</v>
      </c>
      <c r="M26" s="113">
        <f t="shared" si="2"/>
        <v>1575165.2999610731</v>
      </c>
      <c r="N26" s="113">
        <f t="shared" si="0"/>
        <v>177836.16236560515</v>
      </c>
      <c r="O26" s="114">
        <f t="shared" si="1"/>
        <v>1397329.137595468</v>
      </c>
      <c r="R26" s="117">
        <v>22</v>
      </c>
      <c r="S26" s="118">
        <f t="shared" si="5"/>
        <v>-4.1186165944398391E-8</v>
      </c>
      <c r="T26" s="118">
        <f t="shared" si="6"/>
        <v>0</v>
      </c>
      <c r="U26" s="118">
        <f>S26*'Inputs and Output'!$D$40</f>
        <v>-4.1186165944398389E-9</v>
      </c>
      <c r="V26" s="118">
        <f t="shared" si="7"/>
        <v>4.1186165944398389E-9</v>
      </c>
      <c r="W26" s="118">
        <f t="shared" si="8"/>
        <v>-4.5304782538838227E-8</v>
      </c>
      <c r="X26" s="117">
        <f>IF(R26&gt;'Inputs and Output'!$D$41,0,1)</f>
        <v>0</v>
      </c>
    </row>
    <row r="27" spans="2:24" outlineLevel="1" x14ac:dyDescent="0.3">
      <c r="C27" s="123"/>
      <c r="F27" s="116" t="s">
        <v>658</v>
      </c>
      <c r="G27" s="113">
        <f t="shared" si="3"/>
        <v>173.54341983566474</v>
      </c>
      <c r="H27" s="114">
        <f>G27*'Inputs and Output'!$D$31</f>
        <v>69.417367934265897</v>
      </c>
      <c r="I27" s="114">
        <f t="shared" si="4"/>
        <v>104.12605190139884</v>
      </c>
      <c r="J27" s="114">
        <f>H27*'Inputs and Output'!$D$32</f>
        <v>17.788617037363245</v>
      </c>
      <c r="L27" s="116" t="s">
        <v>658</v>
      </c>
      <c r="M27" s="113">
        <f t="shared" si="2"/>
        <v>1397329.137595468</v>
      </c>
      <c r="N27" s="113">
        <f t="shared" si="0"/>
        <v>157758.45963452832</v>
      </c>
      <c r="O27" s="114">
        <f t="shared" si="1"/>
        <v>1239570.6779609397</v>
      </c>
      <c r="R27" s="117">
        <v>23</v>
      </c>
      <c r="S27" s="118">
        <f t="shared" si="5"/>
        <v>-4.5304782538838227E-8</v>
      </c>
      <c r="T27" s="118">
        <f t="shared" si="6"/>
        <v>0</v>
      </c>
      <c r="U27" s="118">
        <f>S27*'Inputs and Output'!$D$40</f>
        <v>-4.5304782538838232E-9</v>
      </c>
      <c r="V27" s="118">
        <f t="shared" si="7"/>
        <v>4.5304782538838232E-9</v>
      </c>
      <c r="W27" s="118">
        <f t="shared" si="8"/>
        <v>-4.9835260792722048E-8</v>
      </c>
      <c r="X27" s="117">
        <f>IF(R27&gt;'Inputs and Output'!$D$41,0,1)</f>
        <v>0</v>
      </c>
    </row>
    <row r="28" spans="2:24" outlineLevel="1" x14ac:dyDescent="0.3">
      <c r="C28" s="123"/>
      <c r="F28" s="116" t="s">
        <v>659</v>
      </c>
      <c r="G28" s="113">
        <f t="shared" si="3"/>
        <v>104.12605190139884</v>
      </c>
      <c r="H28" s="114">
        <f>G28*'Inputs and Output'!$D$31</f>
        <v>41.650420760559541</v>
      </c>
      <c r="I28" s="114">
        <f t="shared" si="4"/>
        <v>62.475631140839297</v>
      </c>
      <c r="J28" s="114">
        <f>H28*'Inputs and Output'!$D$32</f>
        <v>10.673170222417948</v>
      </c>
      <c r="L28" s="116" t="s">
        <v>659</v>
      </c>
      <c r="M28" s="113">
        <f t="shared" si="2"/>
        <v>1239570.6779609397</v>
      </c>
      <c r="N28" s="113">
        <f t="shared" si="0"/>
        <v>139947.52954179011</v>
      </c>
      <c r="O28" s="114">
        <f t="shared" si="1"/>
        <v>1099623.1484191497</v>
      </c>
      <c r="R28" s="117">
        <v>24</v>
      </c>
      <c r="S28" s="118">
        <f t="shared" si="5"/>
        <v>-4.9835260792722048E-8</v>
      </c>
      <c r="T28" s="118">
        <f t="shared" si="6"/>
        <v>0</v>
      </c>
      <c r="U28" s="118">
        <f>S28*'Inputs and Output'!$D$40</f>
        <v>-4.9835260792722051E-9</v>
      </c>
      <c r="V28" s="118">
        <f t="shared" si="7"/>
        <v>4.9835260792722051E-9</v>
      </c>
      <c r="W28" s="118">
        <f t="shared" si="8"/>
        <v>-5.4818786871994254E-8</v>
      </c>
      <c r="X28" s="117">
        <f>IF(R28&gt;'Inputs and Output'!$D$41,0,1)</f>
        <v>0</v>
      </c>
    </row>
    <row r="29" spans="2:24" x14ac:dyDescent="0.3">
      <c r="C29" s="123"/>
      <c r="F29" s="131" t="s">
        <v>660</v>
      </c>
      <c r="G29" s="132">
        <f t="shared" si="3"/>
        <v>62.475631140839297</v>
      </c>
      <c r="H29" s="133">
        <f>G29*'Inputs and Output'!$D$31</f>
        <v>24.990252456335721</v>
      </c>
      <c r="I29" s="133">
        <f t="shared" si="4"/>
        <v>37.485378684503573</v>
      </c>
      <c r="J29" s="133">
        <f>H29*'Inputs and Output'!$D$32</f>
        <v>6.4039021334507673</v>
      </c>
      <c r="L29" s="131" t="s">
        <v>660</v>
      </c>
      <c r="M29" s="132">
        <f t="shared" si="2"/>
        <v>1099623.1484191497</v>
      </c>
      <c r="N29" s="132">
        <f t="shared" si="0"/>
        <v>124147.45345652199</v>
      </c>
      <c r="O29" s="133">
        <f t="shared" si="1"/>
        <v>975475.69496262772</v>
      </c>
      <c r="R29" s="134">
        <v>25</v>
      </c>
      <c r="S29" s="135">
        <f t="shared" si="5"/>
        <v>-5.4818786871994254E-8</v>
      </c>
      <c r="T29" s="135">
        <f t="shared" si="6"/>
        <v>0</v>
      </c>
      <c r="U29" s="135">
        <f>S29*'Inputs and Output'!$D$40</f>
        <v>-5.4818786871994256E-9</v>
      </c>
      <c r="V29" s="135">
        <f t="shared" si="7"/>
        <v>5.4818786871994256E-9</v>
      </c>
      <c r="W29" s="135">
        <f t="shared" si="8"/>
        <v>-6.0300665559193676E-8</v>
      </c>
      <c r="X29" s="134">
        <f>IF(R29&gt;'Inputs and Output'!$D$41,0,1)</f>
        <v>0</v>
      </c>
    </row>
    <row r="30" spans="2:24" x14ac:dyDescent="0.3">
      <c r="C30" s="123"/>
      <c r="F30" s="55"/>
      <c r="H30" s="121"/>
    </row>
    <row r="31" spans="2:24" ht="15" thickBot="1" x14ac:dyDescent="0.35">
      <c r="C31" s="127"/>
      <c r="F31" s="136" t="s">
        <v>623</v>
      </c>
      <c r="G31" s="137"/>
      <c r="H31" s="138"/>
      <c r="I31" s="137"/>
      <c r="J31" s="139">
        <f>J4</f>
        <v>2252492.8789708805</v>
      </c>
      <c r="Q31" s="105"/>
    </row>
    <row r="32" spans="2:24" ht="18.75" customHeight="1" thickBot="1" x14ac:dyDescent="0.35">
      <c r="C32" s="140"/>
      <c r="F32" s="141"/>
      <c r="G32" s="142"/>
      <c r="H32" s="143"/>
      <c r="I32" s="142"/>
      <c r="J32" s="144"/>
      <c r="O32" s="55"/>
      <c r="Q32" s="145"/>
      <c r="V32" s="39"/>
    </row>
    <row r="33" spans="1:28" ht="14.4" customHeight="1" x14ac:dyDescent="0.3">
      <c r="C33" s="127"/>
      <c r="F33" s="146"/>
      <c r="G33" s="146"/>
      <c r="H33" s="146"/>
      <c r="I33" s="203" t="s">
        <v>661</v>
      </c>
      <c r="J33" s="204"/>
      <c r="K33" s="205"/>
      <c r="L33" s="206" t="s">
        <v>662</v>
      </c>
      <c r="M33" s="207"/>
      <c r="N33" s="207"/>
      <c r="O33" s="207"/>
      <c r="P33" s="208"/>
      <c r="R33" s="209" t="s">
        <v>663</v>
      </c>
      <c r="S33" s="209"/>
      <c r="T33" s="209"/>
      <c r="U33" s="210"/>
      <c r="V33" s="199" t="s">
        <v>664</v>
      </c>
      <c r="W33" s="199"/>
      <c r="X33" s="199"/>
      <c r="Y33" s="199"/>
      <c r="Z33" s="199"/>
      <c r="AA33" s="199"/>
      <c r="AB33" s="199"/>
    </row>
    <row r="34" spans="1:28" ht="28.8" x14ac:dyDescent="0.3">
      <c r="B34" s="59" t="s">
        <v>665</v>
      </c>
      <c r="C34" s="147" t="s">
        <v>666</v>
      </c>
      <c r="D34" s="147" t="s">
        <v>667</v>
      </c>
      <c r="E34" s="147" t="s">
        <v>668</v>
      </c>
      <c r="F34" s="147" t="s">
        <v>669</v>
      </c>
      <c r="G34" s="139" t="s">
        <v>670</v>
      </c>
      <c r="H34" s="139" t="s">
        <v>671</v>
      </c>
      <c r="I34" s="147" t="s">
        <v>672</v>
      </c>
      <c r="J34" s="147" t="s">
        <v>569</v>
      </c>
      <c r="K34" s="147" t="s">
        <v>673</v>
      </c>
      <c r="L34" s="48" t="s">
        <v>674</v>
      </c>
      <c r="M34" s="48" t="s">
        <v>675</v>
      </c>
      <c r="N34" s="48" t="s">
        <v>676</v>
      </c>
      <c r="O34" s="147" t="s">
        <v>677</v>
      </c>
      <c r="P34" s="48" t="s">
        <v>678</v>
      </c>
      <c r="Q34" s="147" t="s">
        <v>679</v>
      </c>
      <c r="R34" s="147" t="s">
        <v>680</v>
      </c>
      <c r="S34" s="147" t="s">
        <v>681</v>
      </c>
      <c r="T34" s="106" t="s">
        <v>620</v>
      </c>
      <c r="U34" s="48" t="s">
        <v>574</v>
      </c>
      <c r="V34" s="148" t="s">
        <v>675</v>
      </c>
      <c r="W34" s="149" t="s">
        <v>676</v>
      </c>
      <c r="X34" s="148" t="s">
        <v>679</v>
      </c>
      <c r="Y34" s="149" t="s">
        <v>680</v>
      </c>
      <c r="Z34" s="148" t="s">
        <v>681</v>
      </c>
      <c r="AA34" s="150" t="s">
        <v>620</v>
      </c>
      <c r="AB34" s="148" t="s">
        <v>574</v>
      </c>
    </row>
    <row r="35" spans="1:28" x14ac:dyDescent="0.3">
      <c r="A35" s="151"/>
      <c r="B35" s="152">
        <v>0</v>
      </c>
      <c r="C35" s="153"/>
      <c r="D35" s="153"/>
      <c r="E35" s="153"/>
      <c r="F35" s="153"/>
      <c r="G35" s="114"/>
      <c r="I35" s="153"/>
      <c r="J35" s="153"/>
      <c r="K35" s="153"/>
      <c r="O35" s="153"/>
      <c r="P35" s="85"/>
      <c r="Q35" s="114">
        <f>D4*(1-'Inputs and Output'!D39)</f>
        <v>7179240.9110400015</v>
      </c>
      <c r="R35" s="121">
        <f>H35-Q35</f>
        <v>-7179240.9110400015</v>
      </c>
      <c r="S35" s="114">
        <f>R35</f>
        <v>-7179240.9110400015</v>
      </c>
      <c r="U35" s="117"/>
      <c r="V35" s="113"/>
      <c r="W35" s="55"/>
      <c r="X35" s="113">
        <f>D4</f>
        <v>23930803.036800001</v>
      </c>
      <c r="Y35" s="121">
        <f>H35-X35</f>
        <v>-23930803.036800001</v>
      </c>
      <c r="Z35" s="113">
        <f>Y35</f>
        <v>-23930803.036800001</v>
      </c>
      <c r="AB35" s="117" t="str">
        <f t="shared" ref="AB35:AB38" si="9">IF(AA34="",IF(AA35="","",B35-AA35/Y35),"")</f>
        <v/>
      </c>
    </row>
    <row r="36" spans="1:28" x14ac:dyDescent="0.3">
      <c r="A36" s="151"/>
      <c r="B36" s="117">
        <v>1</v>
      </c>
      <c r="C36" s="154">
        <f>'Inputs and Output'!D24</f>
        <v>0</v>
      </c>
      <c r="D36" s="155">
        <f>C36</f>
        <v>0</v>
      </c>
      <c r="E36" s="114">
        <f>D12</f>
        <v>657000</v>
      </c>
      <c r="F36" s="156">
        <f>D13</f>
        <v>7.08</v>
      </c>
      <c r="G36" s="114">
        <f>E36*F36</f>
        <v>4651560</v>
      </c>
      <c r="H36" s="55">
        <f>G36*(1-'Inputs and Output'!$D$32)</f>
        <v>3459569.8406399996</v>
      </c>
      <c r="I36" s="114">
        <f>D8</f>
        <v>325000</v>
      </c>
      <c r="J36" s="114">
        <f>M4*$D$9</f>
        <v>43950.051490909093</v>
      </c>
      <c r="K36" s="114"/>
      <c r="L36" s="55">
        <f>U5</f>
        <v>1675156.212576</v>
      </c>
      <c r="M36" s="55">
        <f>SUM(I36:L36)</f>
        <v>2044106.264066909</v>
      </c>
      <c r="N36" s="55">
        <f>M36*'Inputs and Output'!$D$32</f>
        <v>523814.49480472988</v>
      </c>
      <c r="O36" s="157">
        <f>J4</f>
        <v>2252492.8789708805</v>
      </c>
      <c r="P36" s="113">
        <f>D6</f>
        <v>1955777.2913454548</v>
      </c>
      <c r="Q36" s="157">
        <f>M36-N36-O36-P36</f>
        <v>-2687978.401054156</v>
      </c>
      <c r="R36" s="121">
        <f t="shared" ref="R36:R60" si="10">H36-Q36-V5</f>
        <v>5096464.8612144189</v>
      </c>
      <c r="S36" s="114">
        <f>S35+R36</f>
        <v>-2082776.0498255827</v>
      </c>
      <c r="T36" s="158" t="str">
        <f t="shared" ref="T36:T60" si="11">IF(S36&lt;0,"",S36)</f>
        <v/>
      </c>
      <c r="U36" s="117" t="str">
        <f t="shared" ref="U36" si="12">IF(T35="",IF(T36="","",B36-T36/R36),"")</f>
        <v/>
      </c>
      <c r="V36" s="113">
        <f>SUM(I36:K36)</f>
        <v>368950.05149090907</v>
      </c>
      <c r="W36" s="55">
        <f>V36*'Inputs and Output'!$D$32</f>
        <v>94545.664394854408</v>
      </c>
      <c r="X36" s="113">
        <f>V36-W36-O36-P36</f>
        <v>-3933865.7832202809</v>
      </c>
      <c r="Y36" s="121">
        <f t="shared" ref="Y36:Y60" si="13">H36-X36</f>
        <v>7393435.623860281</v>
      </c>
      <c r="Z36" s="113">
        <f>Z35+Y36</f>
        <v>-16537367.41293972</v>
      </c>
      <c r="AA36" s="158" t="str">
        <f t="shared" ref="AA36:AA60" si="14">IF(Z36&lt;0,"",Z36)</f>
        <v/>
      </c>
      <c r="AB36" s="117" t="str">
        <f t="shared" si="9"/>
        <v/>
      </c>
    </row>
    <row r="37" spans="1:28" x14ac:dyDescent="0.3">
      <c r="A37" s="151"/>
      <c r="B37" s="117">
        <v>2</v>
      </c>
      <c r="C37" s="154">
        <f>'Inputs and Output'!D25</f>
        <v>6.0000000000000001E-3</v>
      </c>
      <c r="D37" s="159">
        <f>D36+C37</f>
        <v>6.0000000000000001E-3</v>
      </c>
      <c r="E37" s="114">
        <f t="shared" ref="E37:E60" si="15">$E$36*(1-D37)</f>
        <v>653058</v>
      </c>
      <c r="F37" s="156">
        <f t="shared" ref="F37:F60" si="16">F36*(1+$D$14)</f>
        <v>7.2216000000000005</v>
      </c>
      <c r="G37" s="114">
        <f t="shared" ref="G37:G60" si="17">E37*F37</f>
        <v>4716123.6528000003</v>
      </c>
      <c r="H37" s="55">
        <f>G37*(1-'Inputs and Output'!$D$32)</f>
        <v>3507588.670028083</v>
      </c>
      <c r="I37" s="157">
        <f>$I$36*((1+'Inputs and Output'!$D$13)^(Workings!B37-1))</f>
        <v>341250</v>
      </c>
      <c r="J37" s="114">
        <f t="shared" ref="J37:J60" si="18">M5*$D$9</f>
        <v>38988.090677585453</v>
      </c>
      <c r="K37" s="157"/>
      <c r="L37" s="55">
        <f t="shared" ref="L37:L60" si="19">U6</f>
        <v>1570047.8745280262</v>
      </c>
      <c r="M37" s="55">
        <f t="shared" ref="M37:M60" si="20">SUM(I37:L37)</f>
        <v>1950285.9652056117</v>
      </c>
      <c r="N37" s="55">
        <f>M37*'Inputs and Output'!$D$32</f>
        <v>499772.48029972927</v>
      </c>
      <c r="O37" s="157">
        <f t="shared" ref="O37:O60" si="21">J5</f>
        <v>1351495.7273825284</v>
      </c>
      <c r="P37" s="117"/>
      <c r="Q37" s="157">
        <f t="shared" ref="Q37:Q60" si="22">M37-N37-O37</f>
        <v>99017.75752335391</v>
      </c>
      <c r="R37" s="121">
        <f t="shared" si="10"/>
        <v>2252379.1939770179</v>
      </c>
      <c r="S37" s="114">
        <f t="shared" ref="S37:S60" si="23">S36+R37</f>
        <v>169603.14415143523</v>
      </c>
      <c r="T37" s="158">
        <f t="shared" si="11"/>
        <v>169603.14415143523</v>
      </c>
      <c r="U37" s="160">
        <f>IF(T36="",IF(T37="","",B37-T37/R37),"")</f>
        <v>1.9247004480395828</v>
      </c>
      <c r="V37" s="113">
        <f t="shared" ref="V37:V60" si="24">SUM(I37:K37)</f>
        <v>380238.09067758545</v>
      </c>
      <c r="W37" s="55">
        <f>V37*'Inputs and Output'!$D$32</f>
        <v>97438.292164675353</v>
      </c>
      <c r="X37" s="113">
        <f t="shared" ref="X37:X60" si="25">V37-W37-O37-P37</f>
        <v>-1068695.9288696183</v>
      </c>
      <c r="Y37" s="121">
        <f t="shared" si="13"/>
        <v>4576284.5988977011</v>
      </c>
      <c r="Z37" s="113">
        <f t="shared" ref="Z37:Z60" si="26">Z36+Y37</f>
        <v>-11961082.814042019</v>
      </c>
      <c r="AA37" s="158" t="str">
        <f t="shared" si="14"/>
        <v/>
      </c>
      <c r="AB37" s="117" t="str">
        <f t="shared" si="9"/>
        <v/>
      </c>
    </row>
    <row r="38" spans="1:28" x14ac:dyDescent="0.3">
      <c r="A38" s="151"/>
      <c r="B38" s="117">
        <v>3</v>
      </c>
      <c r="C38" s="161">
        <f>'Inputs and Output'!D26</f>
        <v>6.0000000000000001E-3</v>
      </c>
      <c r="D38" s="159">
        <f t="shared" ref="D38:D60" si="27">D37+C38</f>
        <v>1.2E-2</v>
      </c>
      <c r="E38" s="114">
        <f t="shared" si="15"/>
        <v>649116</v>
      </c>
      <c r="F38" s="156">
        <f t="shared" si="16"/>
        <v>7.3660320000000006</v>
      </c>
      <c r="G38" s="114">
        <f t="shared" si="17"/>
        <v>4781409.2277120007</v>
      </c>
      <c r="H38" s="55">
        <f>G38*(1-'Inputs and Output'!$D$32)</f>
        <v>3556144.4246554342</v>
      </c>
      <c r="I38" s="157">
        <f>$I$36*((1+'Inputs and Output'!$D$13)^(Workings!B38-1))</f>
        <v>358312.5</v>
      </c>
      <c r="J38" s="114">
        <f t="shared" si="18"/>
        <v>34586.33524008606</v>
      </c>
      <c r="K38" s="157"/>
      <c r="L38" s="55">
        <f t="shared" si="19"/>
        <v>1454428.702675255</v>
      </c>
      <c r="M38" s="55">
        <f t="shared" si="20"/>
        <v>1847327.5379153411</v>
      </c>
      <c r="N38" s="55">
        <f>M38*'Inputs and Output'!$D$32</f>
        <v>473388.7655560337</v>
      </c>
      <c r="O38" s="157">
        <f t="shared" si="21"/>
        <v>810897.43642951688</v>
      </c>
      <c r="P38" s="117"/>
      <c r="Q38" s="157">
        <f t="shared" si="22"/>
        <v>563041.33592979051</v>
      </c>
      <c r="R38" s="121">
        <f t="shared" si="10"/>
        <v>1721292.1983451615</v>
      </c>
      <c r="S38" s="114">
        <f t="shared" si="23"/>
        <v>1890895.3424965967</v>
      </c>
      <c r="T38" s="158">
        <f t="shared" si="11"/>
        <v>1890895.3424965967</v>
      </c>
      <c r="U38" s="117" t="str">
        <f t="shared" ref="U38:U60" si="28">IF(T37="",IF(T38="","",B38-T38/R38),"")</f>
        <v/>
      </c>
      <c r="V38" s="113">
        <f t="shared" si="24"/>
        <v>392898.83524008607</v>
      </c>
      <c r="W38" s="55">
        <f>V38*'Inputs and Output'!$D$32</f>
        <v>100682.68392328352</v>
      </c>
      <c r="X38" s="113">
        <f t="shared" si="25"/>
        <v>-518681.28511271434</v>
      </c>
      <c r="Y38" s="121">
        <f t="shared" si="13"/>
        <v>4074825.7097681486</v>
      </c>
      <c r="Z38" s="113">
        <f t="shared" si="26"/>
        <v>-7886257.1042738706</v>
      </c>
      <c r="AA38" s="158" t="str">
        <f t="shared" si="14"/>
        <v/>
      </c>
      <c r="AB38" s="117" t="str">
        <f t="shared" si="9"/>
        <v/>
      </c>
    </row>
    <row r="39" spans="1:28" x14ac:dyDescent="0.3">
      <c r="A39" s="151"/>
      <c r="B39" s="117">
        <v>4</v>
      </c>
      <c r="C39" s="162">
        <f>C38</f>
        <v>6.0000000000000001E-3</v>
      </c>
      <c r="D39" s="159">
        <f t="shared" si="27"/>
        <v>1.8000000000000002E-2</v>
      </c>
      <c r="E39" s="114">
        <f t="shared" si="15"/>
        <v>645174</v>
      </c>
      <c r="F39" s="156">
        <f t="shared" si="16"/>
        <v>7.5133526400000008</v>
      </c>
      <c r="G39" s="114">
        <f t="shared" si="17"/>
        <v>4847419.7761593601</v>
      </c>
      <c r="H39" s="55">
        <f>G39*(1-'Inputs and Output'!$D$32)</f>
        <v>3605239.3739998671</v>
      </c>
      <c r="I39" s="157">
        <f>$I$36*((1+'Inputs and Output'!$D$13)^(Workings!B39-1))</f>
        <v>376228.12500000006</v>
      </c>
      <c r="J39" s="114">
        <f t="shared" si="18"/>
        <v>30681.537991480342</v>
      </c>
      <c r="K39" s="157"/>
      <c r="L39" s="55">
        <f t="shared" si="19"/>
        <v>1327247.6136372068</v>
      </c>
      <c r="M39" s="55">
        <f t="shared" si="20"/>
        <v>1734157.2766286873</v>
      </c>
      <c r="N39" s="55">
        <f>M39*'Inputs and Output'!$D$32</f>
        <v>444388.20707976096</v>
      </c>
      <c r="O39" s="157">
        <f t="shared" si="21"/>
        <v>486538.46185771021</v>
      </c>
      <c r="P39" s="117"/>
      <c r="Q39" s="157">
        <f t="shared" si="22"/>
        <v>803230.60769121605</v>
      </c>
      <c r="R39" s="121">
        <f t="shared" si="10"/>
        <v>1403016.7868901209</v>
      </c>
      <c r="S39" s="114">
        <f t="shared" si="23"/>
        <v>3293912.1293867175</v>
      </c>
      <c r="T39" s="158">
        <f t="shared" si="11"/>
        <v>3293912.1293867175</v>
      </c>
      <c r="U39" s="163" t="str">
        <f t="shared" si="28"/>
        <v/>
      </c>
      <c r="V39" s="113">
        <f t="shared" si="24"/>
        <v>406909.66299148038</v>
      </c>
      <c r="W39" s="55">
        <f>V39*'Inputs and Output'!$D$32</f>
        <v>104273.04259954482</v>
      </c>
      <c r="X39" s="113">
        <f t="shared" si="25"/>
        <v>-183901.84146577463</v>
      </c>
      <c r="Y39" s="121">
        <f t="shared" si="13"/>
        <v>3789141.2154656416</v>
      </c>
      <c r="Z39" s="113">
        <f t="shared" si="26"/>
        <v>-4097115.888808229</v>
      </c>
      <c r="AA39" s="158" t="str">
        <f t="shared" si="14"/>
        <v/>
      </c>
      <c r="AB39" s="160" t="str">
        <f>IF(AA38="",IF(AA39="","",B39-AA39/Y39),"")</f>
        <v/>
      </c>
    </row>
    <row r="40" spans="1:28" x14ac:dyDescent="0.3">
      <c r="A40" s="151"/>
      <c r="B40" s="117">
        <v>5</v>
      </c>
      <c r="C40" s="162">
        <f t="shared" ref="C40:C47" si="29">C39</f>
        <v>6.0000000000000001E-3</v>
      </c>
      <c r="D40" s="159">
        <f t="shared" si="27"/>
        <v>2.4E-2</v>
      </c>
      <c r="E40" s="114">
        <f t="shared" si="15"/>
        <v>641232</v>
      </c>
      <c r="F40" s="156">
        <f t="shared" si="16"/>
        <v>7.6636196928000011</v>
      </c>
      <c r="G40" s="114">
        <f t="shared" si="17"/>
        <v>4914158.1828535302</v>
      </c>
      <c r="H40" s="55">
        <f>G40*(1-'Inputs and Output'!$D$32)</f>
        <v>3654875.6635482158</v>
      </c>
      <c r="I40" s="157">
        <f>$I$36*((1+'Inputs and Output'!$D$13)^(Workings!B40-1))</f>
        <v>395039.53125</v>
      </c>
      <c r="J40" s="114">
        <f t="shared" si="18"/>
        <v>27217.592352242209</v>
      </c>
      <c r="K40" s="157"/>
      <c r="L40" s="55">
        <f t="shared" si="19"/>
        <v>1187348.4156953536</v>
      </c>
      <c r="M40" s="55">
        <f t="shared" si="20"/>
        <v>1609605.5392975959</v>
      </c>
      <c r="N40" s="55">
        <f>M40*'Inputs and Output'!$D$32</f>
        <v>412471.07707824477</v>
      </c>
      <c r="O40" s="157">
        <f t="shared" si="21"/>
        <v>291923.07711462612</v>
      </c>
      <c r="P40" s="117"/>
      <c r="Q40" s="157">
        <f t="shared" si="22"/>
        <v>905211.3851047249</v>
      </c>
      <c r="R40" s="121">
        <f t="shared" si="10"/>
        <v>1210773.1010831075</v>
      </c>
      <c r="S40" s="114">
        <f t="shared" si="23"/>
        <v>4504685.2304698247</v>
      </c>
      <c r="T40" s="158">
        <f t="shared" si="11"/>
        <v>4504685.2304698247</v>
      </c>
      <c r="U40" s="117" t="str">
        <f t="shared" si="28"/>
        <v/>
      </c>
      <c r="V40" s="113">
        <f t="shared" si="24"/>
        <v>422257.12360224221</v>
      </c>
      <c r="W40" s="55">
        <f>V40*'Inputs and Output'!$D$32</f>
        <v>108205.92146581619</v>
      </c>
      <c r="X40" s="113">
        <f t="shared" si="25"/>
        <v>22128.125021799875</v>
      </c>
      <c r="Y40" s="121">
        <f t="shared" si="13"/>
        <v>3632747.5385264158</v>
      </c>
      <c r="Z40" s="113">
        <f t="shared" si="26"/>
        <v>-464368.35028181318</v>
      </c>
      <c r="AA40" s="158" t="str">
        <f t="shared" si="14"/>
        <v/>
      </c>
      <c r="AB40" s="117" t="str">
        <f t="shared" ref="AB40:AB60" si="30">IF(AA39="",IF(AA40="","",B40-AA40/Y40),"")</f>
        <v/>
      </c>
    </row>
    <row r="41" spans="1:28" x14ac:dyDescent="0.3">
      <c r="A41" s="151"/>
      <c r="B41" s="117">
        <v>6</v>
      </c>
      <c r="C41" s="162">
        <f t="shared" si="29"/>
        <v>6.0000000000000001E-3</v>
      </c>
      <c r="D41" s="159">
        <f t="shared" si="27"/>
        <v>0.03</v>
      </c>
      <c r="E41" s="114">
        <f t="shared" si="15"/>
        <v>637290</v>
      </c>
      <c r="F41" s="156">
        <f t="shared" si="16"/>
        <v>7.8168920866560017</v>
      </c>
      <c r="G41" s="114">
        <f t="shared" si="17"/>
        <v>4981627.1579050031</v>
      </c>
      <c r="H41" s="55">
        <f>G41*(1-'Inputs and Output'!$D$32)</f>
        <v>3705055.3089288985</v>
      </c>
      <c r="I41" s="157">
        <f>$I$36*((1+'Inputs and Output'!$D$13)^(Workings!B41-1))</f>
        <v>414791.50781250006</v>
      </c>
      <c r="J41" s="114">
        <f t="shared" si="18"/>
        <v>24144.726175674063</v>
      </c>
      <c r="K41" s="157">
        <f t="shared" ref="K41:K60" si="31">$D$4*$D$10</f>
        <v>239308.03036800001</v>
      </c>
      <c r="L41" s="55">
        <f t="shared" si="19"/>
        <v>1033459.2979593152</v>
      </c>
      <c r="M41" s="55">
        <f t="shared" si="20"/>
        <v>1711703.5623154894</v>
      </c>
      <c r="N41" s="55">
        <f>M41*'Inputs and Output'!$D$32</f>
        <v>438634.30806471809</v>
      </c>
      <c r="O41" s="157">
        <f t="shared" si="21"/>
        <v>175153.84626877564</v>
      </c>
      <c r="P41" s="117"/>
      <c r="Q41" s="157">
        <f t="shared" si="22"/>
        <v>1097915.4079819957</v>
      </c>
      <c r="R41" s="121">
        <f t="shared" si="10"/>
        <v>914359.60585048096</v>
      </c>
      <c r="S41" s="114">
        <f t="shared" si="23"/>
        <v>5419044.8363203052</v>
      </c>
      <c r="T41" s="158">
        <f t="shared" si="11"/>
        <v>5419044.8363203052</v>
      </c>
      <c r="U41" s="117" t="str">
        <f t="shared" si="28"/>
        <v/>
      </c>
      <c r="V41" s="113">
        <f t="shared" si="24"/>
        <v>678244.26435617416</v>
      </c>
      <c r="W41" s="55">
        <f>V41*'Inputs and Output'!$D$32</f>
        <v>173804.16220685578</v>
      </c>
      <c r="X41" s="113">
        <f t="shared" si="25"/>
        <v>329286.25588054274</v>
      </c>
      <c r="Y41" s="121">
        <f t="shared" si="13"/>
        <v>3375769.053048356</v>
      </c>
      <c r="Z41" s="113">
        <f t="shared" si="26"/>
        <v>2911400.7027665428</v>
      </c>
      <c r="AA41" s="158">
        <f t="shared" si="14"/>
        <v>2911400.7027665428</v>
      </c>
      <c r="AB41" s="117">
        <f t="shared" si="30"/>
        <v>5.137559277007556</v>
      </c>
    </row>
    <row r="42" spans="1:28" x14ac:dyDescent="0.3">
      <c r="A42" s="151"/>
      <c r="B42" s="117">
        <v>7</v>
      </c>
      <c r="C42" s="162">
        <f t="shared" si="29"/>
        <v>6.0000000000000001E-3</v>
      </c>
      <c r="D42" s="159">
        <f t="shared" si="27"/>
        <v>3.5999999999999997E-2</v>
      </c>
      <c r="E42" s="114">
        <f t="shared" si="15"/>
        <v>633348</v>
      </c>
      <c r="F42" s="156">
        <f t="shared" si="16"/>
        <v>7.9732299283891219</v>
      </c>
      <c r="G42" s="114">
        <f t="shared" si="17"/>
        <v>5049829.2286853939</v>
      </c>
      <c r="H42" s="55">
        <f>G42*(1-'Inputs and Output'!$D$32)</f>
        <v>3755780.1898593893</v>
      </c>
      <c r="I42" s="157">
        <f>$I$36*((1+'Inputs and Output'!$D$13)^(Workings!B42-1))</f>
        <v>435531.08320312499</v>
      </c>
      <c r="J42" s="114">
        <f t="shared" si="18"/>
        <v>21418.786590440461</v>
      </c>
      <c r="K42" s="157">
        <f t="shared" si="31"/>
        <v>239308.03036800001</v>
      </c>
      <c r="L42" s="55">
        <f t="shared" si="19"/>
        <v>864181.26844967308</v>
      </c>
      <c r="M42" s="55">
        <f t="shared" si="20"/>
        <v>1560439.1686112387</v>
      </c>
      <c r="N42" s="55">
        <f>M42*'Inputs and Output'!$D$32</f>
        <v>399871.89959164168</v>
      </c>
      <c r="O42" s="157">
        <f t="shared" si="21"/>
        <v>105092.30776126539</v>
      </c>
      <c r="P42" s="117"/>
      <c r="Q42" s="157">
        <f t="shared" si="22"/>
        <v>1055474.9612583315</v>
      </c>
      <c r="R42" s="121">
        <f t="shared" si="10"/>
        <v>838246.90399499377</v>
      </c>
      <c r="S42" s="114">
        <f t="shared" si="23"/>
        <v>6257291.7403152995</v>
      </c>
      <c r="T42" s="158">
        <f t="shared" si="11"/>
        <v>6257291.7403152995</v>
      </c>
      <c r="U42" s="117" t="str">
        <f t="shared" si="28"/>
        <v/>
      </c>
      <c r="V42" s="113">
        <f t="shared" si="24"/>
        <v>696257.90016156551</v>
      </c>
      <c r="W42" s="55">
        <f>V42*'Inputs and Output'!$D$32</f>
        <v>178420.26446380216</v>
      </c>
      <c r="X42" s="113">
        <f t="shared" si="25"/>
        <v>412745.32793649798</v>
      </c>
      <c r="Y42" s="121">
        <f t="shared" si="13"/>
        <v>3343034.8619228913</v>
      </c>
      <c r="Z42" s="113">
        <f t="shared" si="26"/>
        <v>6254435.5646894341</v>
      </c>
      <c r="AA42" s="158">
        <f t="shared" si="14"/>
        <v>6254435.5646894341</v>
      </c>
      <c r="AB42" s="117" t="str">
        <f t="shared" si="30"/>
        <v/>
      </c>
    </row>
    <row r="43" spans="1:28" x14ac:dyDescent="0.3">
      <c r="A43" s="151"/>
      <c r="B43" s="117">
        <v>8</v>
      </c>
      <c r="C43" s="162">
        <f t="shared" si="29"/>
        <v>6.0000000000000001E-3</v>
      </c>
      <c r="D43" s="159">
        <f t="shared" si="27"/>
        <v>4.1999999999999996E-2</v>
      </c>
      <c r="E43" s="114">
        <f t="shared" si="15"/>
        <v>629406</v>
      </c>
      <c r="F43" s="156">
        <f t="shared" si="16"/>
        <v>8.1326945269569038</v>
      </c>
      <c r="G43" s="114">
        <f t="shared" si="17"/>
        <v>5118766.7314338367</v>
      </c>
      <c r="H43" s="55">
        <f>G43*(1-'Inputs and Output'!$D$32)</f>
        <v>3807052.0439035273</v>
      </c>
      <c r="I43" s="157">
        <f>$I$36*((1+'Inputs and Output'!$D$13)^(Workings!B43-1))</f>
        <v>457307.63736328133</v>
      </c>
      <c r="J43" s="114">
        <f t="shared" si="18"/>
        <v>19000.605584379733</v>
      </c>
      <c r="K43" s="157">
        <f t="shared" si="31"/>
        <v>239308.03036800001</v>
      </c>
      <c r="L43" s="55">
        <f t="shared" si="19"/>
        <v>677975.43598906661</v>
      </c>
      <c r="M43" s="55">
        <f t="shared" si="20"/>
        <v>1393591.7093047276</v>
      </c>
      <c r="N43" s="55">
        <f>M43*'Inputs and Output'!$D$32</f>
        <v>357116.23705959233</v>
      </c>
      <c r="O43" s="157">
        <f t="shared" si="21"/>
        <v>63055.384656759234</v>
      </c>
      <c r="P43" s="117"/>
      <c r="Q43" s="157">
        <f t="shared" si="22"/>
        <v>973420.08758837613</v>
      </c>
      <c r="R43" s="121">
        <f t="shared" si="10"/>
        <v>785367.7992484807</v>
      </c>
      <c r="S43" s="114">
        <f t="shared" si="23"/>
        <v>7042659.5395637807</v>
      </c>
      <c r="T43" s="158">
        <f t="shared" si="11"/>
        <v>7042659.5395637807</v>
      </c>
      <c r="U43" s="117" t="str">
        <f t="shared" si="28"/>
        <v/>
      </c>
      <c r="V43" s="113">
        <f t="shared" si="24"/>
        <v>715616.27331566112</v>
      </c>
      <c r="W43" s="55">
        <f>V43*'Inputs and Output'!$D$32</f>
        <v>183380.96373477808</v>
      </c>
      <c r="X43" s="113">
        <f t="shared" si="25"/>
        <v>469179.9249241238</v>
      </c>
      <c r="Y43" s="121">
        <f t="shared" si="13"/>
        <v>3337872.1189794037</v>
      </c>
      <c r="Z43" s="113">
        <f t="shared" si="26"/>
        <v>9592307.683668837</v>
      </c>
      <c r="AA43" s="158">
        <f t="shared" si="14"/>
        <v>9592307.683668837</v>
      </c>
      <c r="AB43" s="117" t="str">
        <f t="shared" si="30"/>
        <v/>
      </c>
    </row>
    <row r="44" spans="1:28" x14ac:dyDescent="0.3">
      <c r="A44" s="151"/>
      <c r="B44" s="117">
        <v>9</v>
      </c>
      <c r="C44" s="162">
        <f t="shared" si="29"/>
        <v>6.0000000000000001E-3</v>
      </c>
      <c r="D44" s="159">
        <f t="shared" si="27"/>
        <v>4.7999999999999994E-2</v>
      </c>
      <c r="E44" s="114">
        <f t="shared" si="15"/>
        <v>625464</v>
      </c>
      <c r="F44" s="156">
        <f t="shared" si="16"/>
        <v>8.2953484174960419</v>
      </c>
      <c r="G44" s="114">
        <f t="shared" si="17"/>
        <v>5188441.8026007442</v>
      </c>
      <c r="H44" s="55">
        <f>G44*(1-'Inputs and Output'!$D$32)</f>
        <v>3858872.4600334875</v>
      </c>
      <c r="I44" s="157">
        <f>$I$36*((1+'Inputs and Output'!$D$13)^(Workings!B44-1))</f>
        <v>480173.01923144533</v>
      </c>
      <c r="J44" s="114">
        <f t="shared" si="18"/>
        <v>16855.43721390326</v>
      </c>
      <c r="K44" s="157">
        <f t="shared" si="31"/>
        <v>239308.03036800001</v>
      </c>
      <c r="L44" s="55">
        <f t="shared" si="19"/>
        <v>473149.02028239949</v>
      </c>
      <c r="M44" s="55">
        <f t="shared" si="20"/>
        <v>1209485.5070957481</v>
      </c>
      <c r="N44" s="55">
        <f>M44*'Inputs and Output'!$D$32</f>
        <v>309937.91810632806</v>
      </c>
      <c r="O44" s="157">
        <f t="shared" si="21"/>
        <v>37833.23079405554</v>
      </c>
      <c r="P44" s="117"/>
      <c r="Q44" s="157">
        <f t="shared" si="22"/>
        <v>861714.35819536459</v>
      </c>
      <c r="R44" s="121">
        <f t="shared" si="10"/>
        <v>744067.52906478522</v>
      </c>
      <c r="S44" s="114">
        <f t="shared" si="23"/>
        <v>7786727.0686285663</v>
      </c>
      <c r="T44" s="158">
        <f t="shared" si="11"/>
        <v>7786727.0686285663</v>
      </c>
      <c r="U44" s="117" t="str">
        <f t="shared" si="28"/>
        <v/>
      </c>
      <c r="V44" s="113">
        <f t="shared" si="24"/>
        <v>736336.4868133486</v>
      </c>
      <c r="W44" s="55">
        <f>V44*'Inputs and Output'!$D$32</f>
        <v>188690.6427648415</v>
      </c>
      <c r="X44" s="113">
        <f t="shared" si="25"/>
        <v>509812.61325445148</v>
      </c>
      <c r="Y44" s="121">
        <f t="shared" si="13"/>
        <v>3349059.8467790359</v>
      </c>
      <c r="Z44" s="113">
        <f t="shared" si="26"/>
        <v>12941367.530447872</v>
      </c>
      <c r="AA44" s="158">
        <f t="shared" si="14"/>
        <v>12941367.530447872</v>
      </c>
      <c r="AB44" s="117" t="str">
        <f t="shared" si="30"/>
        <v/>
      </c>
    </row>
    <row r="45" spans="1:28" x14ac:dyDescent="0.3">
      <c r="A45" s="151"/>
      <c r="B45" s="117">
        <v>10</v>
      </c>
      <c r="C45" s="162">
        <f t="shared" si="29"/>
        <v>6.0000000000000001E-3</v>
      </c>
      <c r="D45" s="159">
        <f t="shared" si="27"/>
        <v>5.3999999999999992E-2</v>
      </c>
      <c r="E45" s="114">
        <f t="shared" si="15"/>
        <v>621522</v>
      </c>
      <c r="F45" s="156">
        <f t="shared" si="16"/>
        <v>8.4612553858459627</v>
      </c>
      <c r="G45" s="114">
        <f t="shared" si="17"/>
        <v>5258856.3699217541</v>
      </c>
      <c r="H45" s="55">
        <f>G45*(1-'Inputs and Output'!$D$32)</f>
        <v>3911242.8719910849</v>
      </c>
      <c r="I45" s="157">
        <f>$I$36*((1+'Inputs and Output'!$D$13)^(Workings!B45-1))</f>
        <v>504181.67019301764</v>
      </c>
      <c r="J45" s="114">
        <f t="shared" si="18"/>
        <v>14952.458352453583</v>
      </c>
      <c r="K45" s="157">
        <f t="shared" si="31"/>
        <v>239308.03036800001</v>
      </c>
      <c r="L45" s="55">
        <f t="shared" si="19"/>
        <v>247839.96300506569</v>
      </c>
      <c r="M45" s="55">
        <f t="shared" si="20"/>
        <v>1006282.121918537</v>
      </c>
      <c r="N45" s="55">
        <f>M45*'Inputs and Output'!$D$32</f>
        <v>257865.83143435666</v>
      </c>
      <c r="O45" s="157">
        <f t="shared" si="21"/>
        <v>22699.938476433323</v>
      </c>
      <c r="P45" s="117"/>
      <c r="Q45" s="157">
        <f t="shared" si="22"/>
        <v>725716.35200774705</v>
      </c>
      <c r="R45" s="121">
        <f t="shared" si="10"/>
        <v>707126.88993266644</v>
      </c>
      <c r="S45" s="114">
        <f t="shared" si="23"/>
        <v>8493853.9585612323</v>
      </c>
      <c r="T45" s="158">
        <f t="shared" si="11"/>
        <v>8493853.9585612323</v>
      </c>
      <c r="U45" s="117" t="str">
        <f t="shared" si="28"/>
        <v/>
      </c>
      <c r="V45" s="113">
        <f t="shared" si="24"/>
        <v>758442.15891347127</v>
      </c>
      <c r="W45" s="55">
        <f>V45*'Inputs and Output'!$D$32</f>
        <v>194355.35387453053</v>
      </c>
      <c r="X45" s="113">
        <f t="shared" si="25"/>
        <v>541386.86656250746</v>
      </c>
      <c r="Y45" s="121">
        <f t="shared" si="13"/>
        <v>3369856.0054285773</v>
      </c>
      <c r="Z45" s="113">
        <f t="shared" si="26"/>
        <v>16311223.535876449</v>
      </c>
      <c r="AA45" s="158">
        <f t="shared" si="14"/>
        <v>16311223.535876449</v>
      </c>
      <c r="AB45" s="117" t="str">
        <f t="shared" si="30"/>
        <v/>
      </c>
    </row>
    <row r="46" spans="1:28" x14ac:dyDescent="0.3">
      <c r="A46" s="151"/>
      <c r="B46" s="117">
        <v>11</v>
      </c>
      <c r="C46" s="162">
        <f t="shared" si="29"/>
        <v>6.0000000000000001E-3</v>
      </c>
      <c r="D46" s="159">
        <f t="shared" si="27"/>
        <v>5.9999999999999991E-2</v>
      </c>
      <c r="E46" s="114">
        <f t="shared" si="15"/>
        <v>617580</v>
      </c>
      <c r="F46" s="156">
        <f t="shared" si="16"/>
        <v>8.6304804935628816</v>
      </c>
      <c r="G46" s="114">
        <f t="shared" si="17"/>
        <v>5330012.1432145648</v>
      </c>
      <c r="H46" s="55">
        <f>G46*(1-'Inputs and Output'!$D$32)</f>
        <v>3964164.5514429729</v>
      </c>
      <c r="I46" s="157">
        <f>$I$36*((1+'Inputs and Output'!$D$13)^(Workings!B46-1))</f>
        <v>529390.75370266847</v>
      </c>
      <c r="J46" s="114">
        <f t="shared" si="18"/>
        <v>13264.325804461572</v>
      </c>
      <c r="K46" s="157">
        <f t="shared" si="31"/>
        <v>239308.03036800001</v>
      </c>
      <c r="L46" s="55">
        <f t="shared" si="19"/>
        <v>-1.4435499906539917E-9</v>
      </c>
      <c r="M46" s="55">
        <f t="shared" si="20"/>
        <v>781963.10987512872</v>
      </c>
      <c r="N46" s="55">
        <f>M46*'Inputs and Output'!$D$32</f>
        <v>200382.73868416101</v>
      </c>
      <c r="O46" s="157">
        <f t="shared" si="21"/>
        <v>13619.963085859992</v>
      </c>
      <c r="P46" s="117"/>
      <c r="Q46" s="157">
        <f t="shared" si="22"/>
        <v>567960.40810510772</v>
      </c>
      <c r="R46" s="121">
        <f t="shared" si="10"/>
        <v>3396204.143337864</v>
      </c>
      <c r="S46" s="114">
        <f t="shared" si="23"/>
        <v>11890058.101899097</v>
      </c>
      <c r="T46" s="158">
        <f t="shared" si="11"/>
        <v>11890058.101899097</v>
      </c>
      <c r="U46" s="117" t="str">
        <f t="shared" si="28"/>
        <v/>
      </c>
      <c r="V46" s="113">
        <f t="shared" si="24"/>
        <v>781963.10987513012</v>
      </c>
      <c r="W46" s="55">
        <f>V46*'Inputs and Output'!$D$32</f>
        <v>200382.73868416136</v>
      </c>
      <c r="X46" s="113">
        <f t="shared" si="25"/>
        <v>567960.40810510877</v>
      </c>
      <c r="Y46" s="121">
        <f t="shared" si="13"/>
        <v>3396204.143337864</v>
      </c>
      <c r="Z46" s="113">
        <f t="shared" si="26"/>
        <v>19707427.679214314</v>
      </c>
      <c r="AA46" s="158">
        <f t="shared" si="14"/>
        <v>19707427.679214314</v>
      </c>
      <c r="AB46" s="117" t="str">
        <f t="shared" si="30"/>
        <v/>
      </c>
    </row>
    <row r="47" spans="1:28" x14ac:dyDescent="0.3">
      <c r="A47" s="151"/>
      <c r="B47" s="117">
        <v>12</v>
      </c>
      <c r="C47" s="162">
        <f t="shared" si="29"/>
        <v>6.0000000000000001E-3</v>
      </c>
      <c r="D47" s="159">
        <f t="shared" si="27"/>
        <v>6.5999999999999989E-2</v>
      </c>
      <c r="E47" s="114">
        <f t="shared" si="15"/>
        <v>613638</v>
      </c>
      <c r="F47" s="156">
        <f t="shared" si="16"/>
        <v>8.8030901034341387</v>
      </c>
      <c r="G47" s="114">
        <f t="shared" si="17"/>
        <v>5401910.6048911177</v>
      </c>
      <c r="H47" s="55">
        <f>G47*(1-'Inputs and Output'!$D$32)</f>
        <v>4017638.6009241394</v>
      </c>
      <c r="I47" s="157">
        <f>$I$36*((1+'Inputs and Output'!$D$13)^(Workings!B47-1))</f>
        <v>555860.29138780199</v>
      </c>
      <c r="J47" s="114">
        <f t="shared" si="18"/>
        <v>11766.783421137859</v>
      </c>
      <c r="K47" s="157">
        <f t="shared" si="31"/>
        <v>239308.03036800001</v>
      </c>
      <c r="L47" s="55">
        <f t="shared" si="19"/>
        <v>-1.5879049897193909E-9</v>
      </c>
      <c r="M47" s="55">
        <f t="shared" si="20"/>
        <v>806935.10517693823</v>
      </c>
      <c r="N47" s="55">
        <f>M47*'Inputs and Output'!$D$32</f>
        <v>206781.96231222153</v>
      </c>
      <c r="O47" s="157">
        <f t="shared" si="21"/>
        <v>8171.977851515996</v>
      </c>
      <c r="P47" s="117"/>
      <c r="Q47" s="157">
        <f t="shared" si="22"/>
        <v>591981.16501320072</v>
      </c>
      <c r="R47" s="121">
        <f t="shared" si="10"/>
        <v>3425657.4359109374</v>
      </c>
      <c r="S47" s="114">
        <f t="shared" si="23"/>
        <v>15315715.537810035</v>
      </c>
      <c r="T47" s="158">
        <f t="shared" si="11"/>
        <v>15315715.537810035</v>
      </c>
      <c r="U47" s="117" t="str">
        <f t="shared" si="28"/>
        <v/>
      </c>
      <c r="V47" s="113">
        <f t="shared" si="24"/>
        <v>806935.10517693986</v>
      </c>
      <c r="W47" s="55">
        <f>V47*'Inputs and Output'!$D$32</f>
        <v>206781.96231222193</v>
      </c>
      <c r="X47" s="113">
        <f t="shared" si="25"/>
        <v>591981.16501320188</v>
      </c>
      <c r="Y47" s="121">
        <f t="shared" si="13"/>
        <v>3425657.4359109374</v>
      </c>
      <c r="Z47" s="113">
        <f t="shared" si="26"/>
        <v>23133085.11512525</v>
      </c>
      <c r="AA47" s="158">
        <f t="shared" si="14"/>
        <v>23133085.11512525</v>
      </c>
      <c r="AB47" s="117" t="str">
        <f t="shared" si="30"/>
        <v/>
      </c>
    </row>
    <row r="48" spans="1:28" x14ac:dyDescent="0.3">
      <c r="A48" s="151"/>
      <c r="B48" s="117">
        <v>13</v>
      </c>
      <c r="C48" s="162">
        <f>C47</f>
        <v>6.0000000000000001E-3</v>
      </c>
      <c r="D48" s="159">
        <f t="shared" si="27"/>
        <v>7.1999999999999995E-2</v>
      </c>
      <c r="E48" s="114">
        <f t="shared" si="15"/>
        <v>609696</v>
      </c>
      <c r="F48" s="156">
        <f t="shared" si="16"/>
        <v>8.9791519055028211</v>
      </c>
      <c r="G48" s="114">
        <f t="shared" si="17"/>
        <v>5474553.0001774477</v>
      </c>
      <c r="H48" s="55">
        <f>G48*(1-'Inputs and Output'!$D$32)</f>
        <v>4071665.9465639754</v>
      </c>
      <c r="I48" s="157">
        <f>$I$36*((1+'Inputs and Output'!$D$13)^(Workings!B48-1))</f>
        <v>583653.30595719197</v>
      </c>
      <c r="J48" s="114">
        <f t="shared" si="18"/>
        <v>10438.313572891395</v>
      </c>
      <c r="K48" s="157">
        <f t="shared" si="31"/>
        <v>239308.03036800001</v>
      </c>
      <c r="L48" s="55">
        <f t="shared" si="19"/>
        <v>-1.7466954886913303E-9</v>
      </c>
      <c r="M48" s="55">
        <f t="shared" si="20"/>
        <v>833399.64989808167</v>
      </c>
      <c r="N48" s="55">
        <f>M48*'Inputs and Output'!$D$32</f>
        <v>213563.66068428286</v>
      </c>
      <c r="O48" s="157">
        <f t="shared" si="21"/>
        <v>4903.1867109095965</v>
      </c>
      <c r="P48" s="117"/>
      <c r="Q48" s="157">
        <f t="shared" si="22"/>
        <v>614932.80250288919</v>
      </c>
      <c r="R48" s="121">
        <f t="shared" si="10"/>
        <v>3456733.1440610844</v>
      </c>
      <c r="S48" s="114">
        <f t="shared" si="23"/>
        <v>18772448.68187112</v>
      </c>
      <c r="T48" s="158">
        <f t="shared" si="11"/>
        <v>18772448.68187112</v>
      </c>
      <c r="U48" s="117" t="str">
        <f t="shared" si="28"/>
        <v/>
      </c>
      <c r="V48" s="113">
        <f t="shared" si="24"/>
        <v>833399.64989808341</v>
      </c>
      <c r="W48" s="55">
        <f>V48*'Inputs and Output'!$D$32</f>
        <v>213563.6606842833</v>
      </c>
      <c r="X48" s="113">
        <f t="shared" si="25"/>
        <v>614932.80250289047</v>
      </c>
      <c r="Y48" s="121">
        <f t="shared" si="13"/>
        <v>3456733.1440610848</v>
      </c>
      <c r="Z48" s="113">
        <f t="shared" si="26"/>
        <v>26589818.259186335</v>
      </c>
      <c r="AA48" s="158">
        <f t="shared" si="14"/>
        <v>26589818.259186335</v>
      </c>
      <c r="AB48" s="117" t="str">
        <f t="shared" si="30"/>
        <v/>
      </c>
    </row>
    <row r="49" spans="1:28" x14ac:dyDescent="0.3">
      <c r="A49" s="151"/>
      <c r="B49" s="117">
        <v>14</v>
      </c>
      <c r="C49" s="162">
        <f t="shared" ref="C49:C60" si="32">C48</f>
        <v>6.0000000000000001E-3</v>
      </c>
      <c r="D49" s="159">
        <f t="shared" si="27"/>
        <v>7.8E-2</v>
      </c>
      <c r="E49" s="114">
        <f t="shared" si="15"/>
        <v>605754</v>
      </c>
      <c r="F49" s="156">
        <f t="shared" si="16"/>
        <v>9.1587349436128775</v>
      </c>
      <c r="G49" s="114">
        <f t="shared" si="17"/>
        <v>5547940.3270332748</v>
      </c>
      <c r="H49" s="55">
        <f>G49*(1-'Inputs and Output'!$D$32)</f>
        <v>4126247.3305890355</v>
      </c>
      <c r="I49" s="157">
        <f>$I$36*((1+'Inputs and Output'!$D$13)^(Workings!B49-1))</f>
        <v>612835.97125505167</v>
      </c>
      <c r="J49" s="114">
        <f t="shared" si="18"/>
        <v>9259.8279705119585</v>
      </c>
      <c r="K49" s="157">
        <f t="shared" si="31"/>
        <v>239308.03036800001</v>
      </c>
      <c r="L49" s="55">
        <f t="shared" si="19"/>
        <v>-1.921365037560463E-9</v>
      </c>
      <c r="M49" s="55">
        <f t="shared" si="20"/>
        <v>861403.82959356171</v>
      </c>
      <c r="N49" s="55">
        <f>M49*'Inputs and Output'!$D$32</f>
        <v>220739.8997563278</v>
      </c>
      <c r="O49" s="157">
        <f t="shared" si="21"/>
        <v>2941.9120265457586</v>
      </c>
      <c r="P49" s="117"/>
      <c r="Q49" s="157">
        <f t="shared" si="22"/>
        <v>637722.01781068812</v>
      </c>
      <c r="R49" s="121">
        <f t="shared" si="10"/>
        <v>3488525.3127783453</v>
      </c>
      <c r="S49" s="114">
        <f t="shared" si="23"/>
        <v>22260973.994649466</v>
      </c>
      <c r="T49" s="158">
        <f t="shared" si="11"/>
        <v>22260973.994649466</v>
      </c>
      <c r="U49" s="117" t="str">
        <f t="shared" si="28"/>
        <v/>
      </c>
      <c r="V49" s="113">
        <f t="shared" si="24"/>
        <v>861403.82959356369</v>
      </c>
      <c r="W49" s="55">
        <f>V49*'Inputs and Output'!$D$32</f>
        <v>220739.89975632829</v>
      </c>
      <c r="X49" s="113">
        <f t="shared" si="25"/>
        <v>637722.01781068963</v>
      </c>
      <c r="Y49" s="121">
        <f t="shared" si="13"/>
        <v>3488525.3127783458</v>
      </c>
      <c r="Z49" s="113">
        <f t="shared" si="26"/>
        <v>30078343.571964681</v>
      </c>
      <c r="AA49" s="158">
        <f t="shared" si="14"/>
        <v>30078343.571964681</v>
      </c>
      <c r="AB49" s="117" t="str">
        <f t="shared" si="30"/>
        <v/>
      </c>
    </row>
    <row r="50" spans="1:28" x14ac:dyDescent="0.3">
      <c r="A50" s="151"/>
      <c r="B50" s="117">
        <v>15</v>
      </c>
      <c r="C50" s="162">
        <f t="shared" si="32"/>
        <v>6.0000000000000001E-3</v>
      </c>
      <c r="D50" s="159">
        <f t="shared" si="27"/>
        <v>8.4000000000000005E-2</v>
      </c>
      <c r="E50" s="114">
        <f t="shared" si="15"/>
        <v>601812</v>
      </c>
      <c r="F50" s="156">
        <f t="shared" si="16"/>
        <v>9.3419096424851347</v>
      </c>
      <c r="G50" s="114">
        <f t="shared" si="17"/>
        <v>5622073.3257632637</v>
      </c>
      <c r="H50" s="55">
        <f>G50*(1-'Inputs and Output'!$D$32)</f>
        <v>4181383.3035964728</v>
      </c>
      <c r="I50" s="157">
        <f>$I$36*((1+'Inputs and Output'!$D$13)^(Workings!B50-1))</f>
        <v>643477.7698178041</v>
      </c>
      <c r="J50" s="114">
        <f t="shared" si="18"/>
        <v>8214.3933926411573</v>
      </c>
      <c r="K50" s="157">
        <f t="shared" si="31"/>
        <v>239308.03036800001</v>
      </c>
      <c r="L50" s="55">
        <f t="shared" si="19"/>
        <v>-2.1135015413165097E-9</v>
      </c>
      <c r="M50" s="55">
        <f t="shared" si="20"/>
        <v>891000.19357844326</v>
      </c>
      <c r="N50" s="55">
        <f>M50*'Inputs and Output'!$D$32</f>
        <v>228324.1456056376</v>
      </c>
      <c r="O50" s="157">
        <f t="shared" si="21"/>
        <v>1765.1472159274551</v>
      </c>
      <c r="P50" s="117"/>
      <c r="Q50" s="157">
        <f t="shared" si="22"/>
        <v>660910.9007568782</v>
      </c>
      <c r="R50" s="121">
        <f t="shared" si="10"/>
        <v>3520472.4028395922</v>
      </c>
      <c r="S50" s="114">
        <f t="shared" si="23"/>
        <v>25781446.39748906</v>
      </c>
      <c r="T50" s="158">
        <f t="shared" si="11"/>
        <v>25781446.39748906</v>
      </c>
      <c r="U50" s="117" t="str">
        <f t="shared" si="28"/>
        <v/>
      </c>
      <c r="V50" s="113">
        <f t="shared" si="24"/>
        <v>891000.19357844535</v>
      </c>
      <c r="W50" s="55">
        <f>V50*'Inputs and Output'!$D$32</f>
        <v>228324.14560563813</v>
      </c>
      <c r="X50" s="113">
        <f t="shared" si="25"/>
        <v>660910.90075687971</v>
      </c>
      <c r="Y50" s="121">
        <f t="shared" si="13"/>
        <v>3520472.4028395931</v>
      </c>
      <c r="Z50" s="113">
        <f t="shared" si="26"/>
        <v>33598815.974804275</v>
      </c>
      <c r="AA50" s="158">
        <f t="shared" si="14"/>
        <v>33598815.974804275</v>
      </c>
      <c r="AB50" s="117" t="str">
        <f t="shared" si="30"/>
        <v/>
      </c>
    </row>
    <row r="51" spans="1:28" x14ac:dyDescent="0.3">
      <c r="A51" s="151"/>
      <c r="B51" s="117">
        <v>16</v>
      </c>
      <c r="C51" s="162">
        <f t="shared" si="32"/>
        <v>6.0000000000000001E-3</v>
      </c>
      <c r="D51" s="159">
        <f t="shared" si="27"/>
        <v>9.0000000000000011E-2</v>
      </c>
      <c r="E51" s="114">
        <f t="shared" si="15"/>
        <v>597870</v>
      </c>
      <c r="F51" s="156">
        <f t="shared" si="16"/>
        <v>9.5287478353348369</v>
      </c>
      <c r="G51" s="114">
        <f t="shared" si="17"/>
        <v>5696952.4683116386</v>
      </c>
      <c r="H51" s="55">
        <f>G51*(1-'Inputs and Output'!$D$32)</f>
        <v>4237074.216591971</v>
      </c>
      <c r="I51" s="157">
        <f>$I$36*((1+'Inputs and Output'!$D$13)^(Workings!B51-1))</f>
        <v>675651.6583086946</v>
      </c>
      <c r="J51" s="114">
        <f t="shared" si="18"/>
        <v>7286.9883786119708</v>
      </c>
      <c r="K51" s="157">
        <f t="shared" si="31"/>
        <v>239308.03036800001</v>
      </c>
      <c r="L51" s="55">
        <f t="shared" si="19"/>
        <v>-2.3248516954481608E-9</v>
      </c>
      <c r="M51" s="55">
        <f t="shared" si="20"/>
        <v>922246.67705530429</v>
      </c>
      <c r="N51" s="55">
        <f>M51*'Inputs and Output'!$D$32</f>
        <v>236331.2444754841</v>
      </c>
      <c r="O51" s="157">
        <f t="shared" si="21"/>
        <v>1059.0883295564729</v>
      </c>
      <c r="P51" s="117"/>
      <c r="Q51" s="157">
        <f t="shared" si="22"/>
        <v>684856.34425026365</v>
      </c>
      <c r="R51" s="121">
        <f t="shared" si="10"/>
        <v>3552217.872341705</v>
      </c>
      <c r="S51" s="114">
        <f t="shared" si="23"/>
        <v>29333664.269830763</v>
      </c>
      <c r="T51" s="158">
        <f t="shared" si="11"/>
        <v>29333664.269830763</v>
      </c>
      <c r="U51" s="117" t="str">
        <f t="shared" si="28"/>
        <v/>
      </c>
      <c r="V51" s="113">
        <f t="shared" si="24"/>
        <v>922246.67705530662</v>
      </c>
      <c r="W51" s="55">
        <f>V51*'Inputs and Output'!$D$32</f>
        <v>236331.24447548468</v>
      </c>
      <c r="X51" s="113">
        <f t="shared" si="25"/>
        <v>684856.34425026539</v>
      </c>
      <c r="Y51" s="121">
        <f t="shared" si="13"/>
        <v>3552217.8723417055</v>
      </c>
      <c r="Z51" s="113">
        <f t="shared" si="26"/>
        <v>37151033.847145982</v>
      </c>
      <c r="AA51" s="158">
        <f t="shared" si="14"/>
        <v>37151033.847145982</v>
      </c>
      <c r="AB51" s="117" t="str">
        <f t="shared" si="30"/>
        <v/>
      </c>
    </row>
    <row r="52" spans="1:28" x14ac:dyDescent="0.3">
      <c r="A52" s="151"/>
      <c r="B52" s="117">
        <v>17</v>
      </c>
      <c r="C52" s="162">
        <f t="shared" si="32"/>
        <v>6.0000000000000001E-3</v>
      </c>
      <c r="D52" s="159">
        <f t="shared" si="27"/>
        <v>9.6000000000000016E-2</v>
      </c>
      <c r="E52" s="114">
        <f t="shared" si="15"/>
        <v>593928</v>
      </c>
      <c r="F52" s="156">
        <f t="shared" si="16"/>
        <v>9.7193227920415346</v>
      </c>
      <c r="G52" s="114">
        <f t="shared" si="17"/>
        <v>5772577.9472316448</v>
      </c>
      <c r="H52" s="55">
        <f>G52*(1-'Inputs and Output'!$D$32)</f>
        <v>4293320.2127858521</v>
      </c>
      <c r="I52" s="157">
        <f>$I$36*((1+'Inputs and Output'!$D$13)^(Workings!B52-1))</f>
        <v>709434.24122412922</v>
      </c>
      <c r="J52" s="114">
        <f t="shared" si="18"/>
        <v>6464.28739066668</v>
      </c>
      <c r="K52" s="157">
        <f t="shared" si="31"/>
        <v>239308.03036800001</v>
      </c>
      <c r="L52" s="55">
        <f t="shared" si="19"/>
        <v>-2.5573368649929766E-9</v>
      </c>
      <c r="M52" s="55">
        <f t="shared" si="20"/>
        <v>955206.55898279336</v>
      </c>
      <c r="N52" s="55">
        <f>M52*'Inputs and Output'!$D$32</f>
        <v>244777.41197869473</v>
      </c>
      <c r="O52" s="157">
        <f t="shared" si="21"/>
        <v>635.45299773388365</v>
      </c>
      <c r="P52" s="117"/>
      <c r="Q52" s="157">
        <f t="shared" si="22"/>
        <v>709793.69400636479</v>
      </c>
      <c r="R52" s="121">
        <f t="shared" si="10"/>
        <v>3583526.518779485</v>
      </c>
      <c r="S52" s="114">
        <f t="shared" si="23"/>
        <v>32917190.78861025</v>
      </c>
      <c r="T52" s="158">
        <f t="shared" si="11"/>
        <v>32917190.78861025</v>
      </c>
      <c r="U52" s="117" t="str">
        <f t="shared" si="28"/>
        <v/>
      </c>
      <c r="V52" s="113">
        <f t="shared" si="24"/>
        <v>955206.55898279592</v>
      </c>
      <c r="W52" s="55">
        <f>V52*'Inputs and Output'!$D$32</f>
        <v>244777.4119786954</v>
      </c>
      <c r="X52" s="113">
        <f t="shared" si="25"/>
        <v>709793.69400636666</v>
      </c>
      <c r="Y52" s="121">
        <f t="shared" si="13"/>
        <v>3583526.5187794855</v>
      </c>
      <c r="Z52" s="113">
        <f t="shared" si="26"/>
        <v>40734560.365925469</v>
      </c>
      <c r="AA52" s="158">
        <f t="shared" si="14"/>
        <v>40734560.365925469</v>
      </c>
      <c r="AB52" s="117" t="str">
        <f t="shared" si="30"/>
        <v/>
      </c>
    </row>
    <row r="53" spans="1:28" x14ac:dyDescent="0.3">
      <c r="A53" s="151"/>
      <c r="B53" s="117">
        <v>18</v>
      </c>
      <c r="C53" s="162">
        <f t="shared" si="32"/>
        <v>6.0000000000000001E-3</v>
      </c>
      <c r="D53" s="159">
        <f t="shared" si="27"/>
        <v>0.10200000000000002</v>
      </c>
      <c r="E53" s="114">
        <f t="shared" si="15"/>
        <v>589986</v>
      </c>
      <c r="F53" s="156">
        <f t="shared" si="16"/>
        <v>9.9137092478823661</v>
      </c>
      <c r="G53" s="114">
        <f t="shared" si="17"/>
        <v>5848949.6643211255</v>
      </c>
      <c r="H53" s="55">
        <f>G53*(1-'Inputs and Output'!$D$32)</f>
        <v>4350121.2191408509</v>
      </c>
      <c r="I53" s="157">
        <f>$I$36*((1+'Inputs and Output'!$D$13)^(Workings!B53-1))</f>
        <v>744905.9532853358</v>
      </c>
      <c r="J53" s="114">
        <f t="shared" si="18"/>
        <v>5734.4693442604112</v>
      </c>
      <c r="K53" s="157">
        <f t="shared" si="31"/>
        <v>239308.03036800001</v>
      </c>
      <c r="L53" s="55">
        <f t="shared" si="19"/>
        <v>-2.8130705514922742E-9</v>
      </c>
      <c r="M53" s="55">
        <f t="shared" si="20"/>
        <v>989948.45299759344</v>
      </c>
      <c r="N53" s="55">
        <f>M53*'Inputs and Output'!$D$32</f>
        <v>253680.23077135134</v>
      </c>
      <c r="O53" s="157">
        <f t="shared" si="21"/>
        <v>381.27179864033019</v>
      </c>
      <c r="P53" s="117"/>
      <c r="Q53" s="157">
        <f t="shared" si="22"/>
        <v>735886.9504276017</v>
      </c>
      <c r="R53" s="121">
        <f t="shared" si="10"/>
        <v>3614234.2687132466</v>
      </c>
      <c r="S53" s="114">
        <f t="shared" si="23"/>
        <v>36531425.057323493</v>
      </c>
      <c r="T53" s="158">
        <f t="shared" si="11"/>
        <v>36531425.057323493</v>
      </c>
      <c r="U53" s="117" t="str">
        <f t="shared" si="28"/>
        <v/>
      </c>
      <c r="V53" s="113">
        <f t="shared" si="24"/>
        <v>989948.45299759624</v>
      </c>
      <c r="W53" s="55">
        <f>V53*'Inputs and Output'!$D$32</f>
        <v>253680.23077135207</v>
      </c>
      <c r="X53" s="113">
        <f t="shared" si="25"/>
        <v>735886.95042760379</v>
      </c>
      <c r="Y53" s="121">
        <f t="shared" si="13"/>
        <v>3614234.268713247</v>
      </c>
      <c r="Z53" s="113">
        <f t="shared" si="26"/>
        <v>44348794.634638712</v>
      </c>
      <c r="AA53" s="158">
        <f t="shared" si="14"/>
        <v>44348794.634638712</v>
      </c>
      <c r="AB53" s="117" t="str">
        <f t="shared" si="30"/>
        <v/>
      </c>
    </row>
    <row r="54" spans="1:28" x14ac:dyDescent="0.3">
      <c r="A54" s="151"/>
      <c r="B54" s="117">
        <v>19</v>
      </c>
      <c r="C54" s="162">
        <f t="shared" si="32"/>
        <v>6.0000000000000001E-3</v>
      </c>
      <c r="D54" s="159">
        <f t="shared" si="27"/>
        <v>0.10800000000000003</v>
      </c>
      <c r="E54" s="114">
        <f t="shared" si="15"/>
        <v>586044</v>
      </c>
      <c r="F54" s="156">
        <f t="shared" si="16"/>
        <v>10.111983432840013</v>
      </c>
      <c r="G54" s="114">
        <f t="shared" si="17"/>
        <v>5926067.218915293</v>
      </c>
      <c r="H54" s="55">
        <f>G54*(1-'Inputs and Output'!$D$32)</f>
        <v>4407476.9376649354</v>
      </c>
      <c r="I54" s="157">
        <f>$I$36*((1+'Inputs and Output'!$D$13)^(Workings!B54-1))</f>
        <v>782151.25094960257</v>
      </c>
      <c r="J54" s="114">
        <f t="shared" si="18"/>
        <v>5087.0477552934117</v>
      </c>
      <c r="K54" s="157">
        <f t="shared" si="31"/>
        <v>239308.03036800001</v>
      </c>
      <c r="L54" s="55">
        <f t="shared" si="19"/>
        <v>-3.0943776066415017E-9</v>
      </c>
      <c r="M54" s="55">
        <f t="shared" si="20"/>
        <v>1026546.3290728929</v>
      </c>
      <c r="N54" s="55">
        <f>M54*'Inputs and Output'!$D$32</f>
        <v>263058.6561029033</v>
      </c>
      <c r="O54" s="157">
        <f t="shared" si="21"/>
        <v>228.76307918419812</v>
      </c>
      <c r="P54" s="117"/>
      <c r="Q54" s="157">
        <f t="shared" si="22"/>
        <v>763258.90989080537</v>
      </c>
      <c r="R54" s="121">
        <f t="shared" si="10"/>
        <v>3644218.0277741267</v>
      </c>
      <c r="S54" s="114">
        <f t="shared" si="23"/>
        <v>40175643.085097618</v>
      </c>
      <c r="T54" s="158">
        <f t="shared" si="11"/>
        <v>40175643.085097618</v>
      </c>
      <c r="U54" s="117" t="str">
        <f t="shared" si="28"/>
        <v/>
      </c>
      <c r="V54" s="113">
        <f t="shared" si="24"/>
        <v>1026546.329072896</v>
      </c>
      <c r="W54" s="55">
        <f>V54*'Inputs and Output'!$D$32</f>
        <v>263058.65610290406</v>
      </c>
      <c r="X54" s="113">
        <f t="shared" si="25"/>
        <v>763258.90989080782</v>
      </c>
      <c r="Y54" s="121">
        <f t="shared" si="13"/>
        <v>3644218.0277741277</v>
      </c>
      <c r="Z54" s="113">
        <f t="shared" si="26"/>
        <v>47993012.662412837</v>
      </c>
      <c r="AA54" s="158">
        <f t="shared" si="14"/>
        <v>47993012.662412837</v>
      </c>
      <c r="AB54" s="117" t="str">
        <f t="shared" si="30"/>
        <v/>
      </c>
    </row>
    <row r="55" spans="1:28" x14ac:dyDescent="0.3">
      <c r="A55" s="151"/>
      <c r="B55" s="117">
        <v>20</v>
      </c>
      <c r="C55" s="162">
        <f t="shared" si="32"/>
        <v>6.0000000000000001E-3</v>
      </c>
      <c r="D55" s="159">
        <f t="shared" si="27"/>
        <v>0.11400000000000003</v>
      </c>
      <c r="E55" s="114">
        <f t="shared" si="15"/>
        <v>582102</v>
      </c>
      <c r="F55" s="156">
        <f t="shared" si="16"/>
        <v>10.314223101496813</v>
      </c>
      <c r="G55" s="114">
        <f t="shared" si="17"/>
        <v>6003929.8958274974</v>
      </c>
      <c r="H55" s="55">
        <f>G55*(1-'Inputs and Output'!$D$32)</f>
        <v>4465386.8364423262</v>
      </c>
      <c r="I55" s="157">
        <f>$I$36*((1+'Inputs and Output'!$D$13)^(Workings!B55-1))</f>
        <v>821258.81349708268</v>
      </c>
      <c r="J55" s="114">
        <f t="shared" si="18"/>
        <v>4512.7200637207852</v>
      </c>
      <c r="K55" s="157">
        <f t="shared" si="31"/>
        <v>239308.03036800001</v>
      </c>
      <c r="L55" s="55">
        <f t="shared" si="19"/>
        <v>-3.4038153673056521E-9</v>
      </c>
      <c r="M55" s="55">
        <f t="shared" si="20"/>
        <v>1065079.5639287999</v>
      </c>
      <c r="N55" s="55">
        <f>M55*'Inputs and Output'!$D$32</f>
        <v>272933.02873413858</v>
      </c>
      <c r="O55" s="157">
        <f t="shared" si="21"/>
        <v>137.25784751051887</v>
      </c>
      <c r="P55" s="117"/>
      <c r="Q55" s="157">
        <f t="shared" si="22"/>
        <v>792009.27734715084</v>
      </c>
      <c r="R55" s="121">
        <f t="shared" si="10"/>
        <v>3673377.5590951722</v>
      </c>
      <c r="S55" s="114">
        <f t="shared" si="23"/>
        <v>43849020.644192792</v>
      </c>
      <c r="T55" s="158">
        <f t="shared" si="11"/>
        <v>43849020.644192792</v>
      </c>
      <c r="U55" s="117" t="str">
        <f t="shared" si="28"/>
        <v/>
      </c>
      <c r="V55" s="113">
        <f t="shared" si="24"/>
        <v>1065079.5639288034</v>
      </c>
      <c r="W55" s="55">
        <f>V55*'Inputs and Output'!$D$32</f>
        <v>272933.02873413952</v>
      </c>
      <c r="X55" s="113">
        <f t="shared" si="25"/>
        <v>792009.2773471534</v>
      </c>
      <c r="Y55" s="121">
        <f t="shared" si="13"/>
        <v>3673377.5590951727</v>
      </c>
      <c r="Z55" s="113">
        <f t="shared" si="26"/>
        <v>51666390.221508011</v>
      </c>
      <c r="AA55" s="158">
        <f t="shared" si="14"/>
        <v>51666390.221508011</v>
      </c>
      <c r="AB55" s="117" t="str">
        <f t="shared" si="30"/>
        <v/>
      </c>
    </row>
    <row r="56" spans="1:28" x14ac:dyDescent="0.3">
      <c r="A56" s="151"/>
      <c r="B56" s="117">
        <v>21</v>
      </c>
      <c r="C56" s="162">
        <f t="shared" si="32"/>
        <v>6.0000000000000001E-3</v>
      </c>
      <c r="D56" s="159">
        <f t="shared" si="27"/>
        <v>0.12000000000000004</v>
      </c>
      <c r="E56" s="114">
        <f t="shared" si="15"/>
        <v>578160</v>
      </c>
      <c r="F56" s="156">
        <f t="shared" si="16"/>
        <v>10.520507563526749</v>
      </c>
      <c r="G56" s="114">
        <f t="shared" si="17"/>
        <v>6082536.6529286252</v>
      </c>
      <c r="H56" s="55">
        <f>G56*(1-'Inputs and Output'!$D$32)</f>
        <v>4523850.1403957475</v>
      </c>
      <c r="I56" s="157">
        <f>$I$36*((1+'Inputs and Output'!$D$13)^(Workings!B56-1))</f>
        <v>862321.75417193677</v>
      </c>
      <c r="J56" s="114">
        <f t="shared" si="18"/>
        <v>4003.2339685267084</v>
      </c>
      <c r="K56" s="157">
        <f t="shared" si="31"/>
        <v>239308.03036800001</v>
      </c>
      <c r="L56" s="55">
        <f t="shared" si="19"/>
        <v>-3.7441969040362173E-9</v>
      </c>
      <c r="M56" s="55">
        <f t="shared" si="20"/>
        <v>1105633.0185084597</v>
      </c>
      <c r="N56" s="55">
        <f>M56*'Inputs and Output'!$D$32</f>
        <v>283325.09479090391</v>
      </c>
      <c r="O56" s="157">
        <f t="shared" si="21"/>
        <v>82.354708506311326</v>
      </c>
      <c r="P56" s="117"/>
      <c r="Q56" s="157">
        <f t="shared" si="22"/>
        <v>822225.56900904956</v>
      </c>
      <c r="R56" s="121">
        <f t="shared" si="10"/>
        <v>3701624.571386694</v>
      </c>
      <c r="S56" s="114">
        <f t="shared" si="23"/>
        <v>47550645.215579487</v>
      </c>
      <c r="T56" s="158">
        <f t="shared" si="11"/>
        <v>47550645.215579487</v>
      </c>
      <c r="U56" s="117" t="str">
        <f t="shared" si="28"/>
        <v/>
      </c>
      <c r="V56" s="113">
        <f t="shared" si="24"/>
        <v>1105633.0185084634</v>
      </c>
      <c r="W56" s="55">
        <f>V56*'Inputs and Output'!$D$32</f>
        <v>283325.09479090484</v>
      </c>
      <c r="X56" s="113">
        <f t="shared" si="25"/>
        <v>822225.56900905236</v>
      </c>
      <c r="Y56" s="121">
        <f t="shared" si="13"/>
        <v>3701624.5713866949</v>
      </c>
      <c r="Z56" s="113">
        <f t="shared" si="26"/>
        <v>55368014.792894706</v>
      </c>
      <c r="AA56" s="158">
        <f t="shared" si="14"/>
        <v>55368014.792894706</v>
      </c>
      <c r="AB56" s="117" t="str">
        <f t="shared" si="30"/>
        <v/>
      </c>
    </row>
    <row r="57" spans="1:28" x14ac:dyDescent="0.3">
      <c r="A57" s="151"/>
      <c r="B57" s="117">
        <v>22</v>
      </c>
      <c r="C57" s="162">
        <f t="shared" si="32"/>
        <v>6.0000000000000001E-3</v>
      </c>
      <c r="D57" s="159">
        <f t="shared" si="27"/>
        <v>0.12600000000000003</v>
      </c>
      <c r="E57" s="114">
        <f t="shared" si="15"/>
        <v>574218</v>
      </c>
      <c r="F57" s="156">
        <f t="shared" si="16"/>
        <v>10.730917714797284</v>
      </c>
      <c r="G57" s="114">
        <f t="shared" si="17"/>
        <v>6161886.1083554672</v>
      </c>
      <c r="H57" s="55">
        <f>G57*(1-'Inputs and Output'!$D$32)</f>
        <v>4582865.8217727281</v>
      </c>
      <c r="I57" s="157">
        <f>$I$36*((1+'Inputs and Output'!$D$13)^(Workings!B57-1))</f>
        <v>905437.84188053361</v>
      </c>
      <c r="J57" s="114">
        <f t="shared" si="18"/>
        <v>3551.2688534800432</v>
      </c>
      <c r="K57" s="157">
        <f t="shared" si="31"/>
        <v>239308.03036800001</v>
      </c>
      <c r="L57" s="55">
        <f t="shared" si="19"/>
        <v>-4.1186165944398389E-9</v>
      </c>
      <c r="M57" s="55">
        <f t="shared" si="20"/>
        <v>1148297.1411020095</v>
      </c>
      <c r="N57" s="55">
        <f>M57*'Inputs and Output'!$D$32</f>
        <v>294258.03219023655</v>
      </c>
      <c r="O57" s="157">
        <f t="shared" si="21"/>
        <v>49.412825103786794</v>
      </c>
      <c r="P57" s="117"/>
      <c r="Q57" s="157">
        <f t="shared" si="22"/>
        <v>853989.69608666922</v>
      </c>
      <c r="R57" s="121">
        <f t="shared" si="10"/>
        <v>3728876.1256860546</v>
      </c>
      <c r="S57" s="114">
        <f t="shared" si="23"/>
        <v>51279521.341265544</v>
      </c>
      <c r="T57" s="158">
        <f t="shared" si="11"/>
        <v>51279521.341265544</v>
      </c>
      <c r="U57" s="117" t="str">
        <f t="shared" si="28"/>
        <v/>
      </c>
      <c r="V57" s="113">
        <f t="shared" si="24"/>
        <v>1148297.1411020136</v>
      </c>
      <c r="W57" s="55">
        <f>V57*'Inputs and Output'!$D$32</f>
        <v>294258.03219023766</v>
      </c>
      <c r="X57" s="113">
        <f t="shared" si="25"/>
        <v>853989.69608667225</v>
      </c>
      <c r="Y57" s="121">
        <f t="shared" si="13"/>
        <v>3728876.125686056</v>
      </c>
      <c r="Z57" s="113">
        <f t="shared" si="26"/>
        <v>59096890.918580763</v>
      </c>
      <c r="AA57" s="158">
        <f t="shared" si="14"/>
        <v>59096890.918580763</v>
      </c>
      <c r="AB57" s="117" t="str">
        <f t="shared" si="30"/>
        <v/>
      </c>
    </row>
    <row r="58" spans="1:28" x14ac:dyDescent="0.3">
      <c r="A58" s="151"/>
      <c r="B58" s="117">
        <v>23</v>
      </c>
      <c r="C58" s="162">
        <f t="shared" si="32"/>
        <v>6.0000000000000001E-3</v>
      </c>
      <c r="D58" s="159">
        <f t="shared" si="27"/>
        <v>0.13200000000000003</v>
      </c>
      <c r="E58" s="114">
        <f t="shared" si="15"/>
        <v>570276</v>
      </c>
      <c r="F58" s="156">
        <f t="shared" si="16"/>
        <v>10.94553606909323</v>
      </c>
      <c r="G58" s="114">
        <f t="shared" si="17"/>
        <v>6241976.5273382105</v>
      </c>
      <c r="H58" s="55">
        <f>G58*(1-'Inputs and Output'!$D$32)</f>
        <v>4642432.5903486302</v>
      </c>
      <c r="I58" s="157">
        <f>$I$36*((1+'Inputs and Output'!$D$13)^(Workings!B58-1))</f>
        <v>950709.73397456028</v>
      </c>
      <c r="J58" s="114">
        <f t="shared" si="18"/>
        <v>3150.3305999221461</v>
      </c>
      <c r="K58" s="157">
        <f t="shared" si="31"/>
        <v>239308.03036800001</v>
      </c>
      <c r="L58" s="55">
        <f t="shared" si="19"/>
        <v>-4.5304782538838232E-9</v>
      </c>
      <c r="M58" s="55">
        <f t="shared" si="20"/>
        <v>1193168.094942478</v>
      </c>
      <c r="N58" s="55">
        <f>M58*'Inputs and Output'!$D$32</f>
        <v>305756.4833375797</v>
      </c>
      <c r="O58" s="157">
        <f t="shared" si="21"/>
        <v>29.647695062272074</v>
      </c>
      <c r="P58" s="117"/>
      <c r="Q58" s="157">
        <f t="shared" si="22"/>
        <v>887381.96390983602</v>
      </c>
      <c r="R58" s="121">
        <f t="shared" si="10"/>
        <v>3755050.6264387895</v>
      </c>
      <c r="S58" s="114">
        <f t="shared" si="23"/>
        <v>55034571.967704333</v>
      </c>
      <c r="T58" s="158">
        <f t="shared" si="11"/>
        <v>55034571.967704333</v>
      </c>
      <c r="U58" s="117" t="str">
        <f t="shared" si="28"/>
        <v/>
      </c>
      <c r="V58" s="113">
        <f t="shared" si="24"/>
        <v>1193168.0949424824</v>
      </c>
      <c r="W58" s="55">
        <f>V58*'Inputs and Output'!$D$32</f>
        <v>305756.48333758081</v>
      </c>
      <c r="X58" s="113">
        <f t="shared" si="25"/>
        <v>887381.9639098394</v>
      </c>
      <c r="Y58" s="121">
        <f t="shared" si="13"/>
        <v>3755050.6264387909</v>
      </c>
      <c r="Z58" s="113">
        <f t="shared" si="26"/>
        <v>62851941.545019552</v>
      </c>
      <c r="AA58" s="158">
        <f t="shared" si="14"/>
        <v>62851941.545019552</v>
      </c>
      <c r="AB58" s="117" t="str">
        <f t="shared" si="30"/>
        <v/>
      </c>
    </row>
    <row r="59" spans="1:28" x14ac:dyDescent="0.3">
      <c r="A59" s="151"/>
      <c r="B59" s="117">
        <v>24</v>
      </c>
      <c r="C59" s="162">
        <f t="shared" si="32"/>
        <v>6.0000000000000001E-3</v>
      </c>
      <c r="D59" s="159">
        <f t="shared" si="27"/>
        <v>0.13800000000000004</v>
      </c>
      <c r="E59" s="114">
        <f t="shared" si="15"/>
        <v>566334</v>
      </c>
      <c r="F59" s="156">
        <f t="shared" si="16"/>
        <v>11.164446790475095</v>
      </c>
      <c r="G59" s="114">
        <f t="shared" si="17"/>
        <v>6322805.8086369224</v>
      </c>
      <c r="H59" s="55">
        <f>G59*(1-'Inputs and Output'!$D$32)</f>
        <v>4702548.8833388593</v>
      </c>
      <c r="I59" s="157">
        <f>$I$36*((1+'Inputs and Output'!$D$13)^(Workings!B59-1))</f>
        <v>998245.22067328845</v>
      </c>
      <c r="J59" s="114">
        <f t="shared" si="18"/>
        <v>2794.6582751909359</v>
      </c>
      <c r="K59" s="157">
        <f t="shared" si="31"/>
        <v>239308.03036800001</v>
      </c>
      <c r="L59" s="55">
        <f t="shared" si="19"/>
        <v>-4.9835260792722051E-9</v>
      </c>
      <c r="M59" s="55">
        <f t="shared" si="20"/>
        <v>1240347.9093164746</v>
      </c>
      <c r="N59" s="55">
        <f>M59*'Inputs and Output'!$D$32</f>
        <v>317846.59384980256</v>
      </c>
      <c r="O59" s="157">
        <f t="shared" si="21"/>
        <v>17.788617037363245</v>
      </c>
      <c r="P59" s="117"/>
      <c r="Q59" s="157">
        <f t="shared" si="22"/>
        <v>922483.5268496346</v>
      </c>
      <c r="R59" s="121">
        <f t="shared" si="10"/>
        <v>3780065.3564892197</v>
      </c>
      <c r="S59" s="114">
        <f t="shared" si="23"/>
        <v>58814637.324193552</v>
      </c>
      <c r="T59" s="158">
        <f t="shared" si="11"/>
        <v>58814637.324193552</v>
      </c>
      <c r="U59" s="117" t="str">
        <f t="shared" si="28"/>
        <v/>
      </c>
      <c r="V59" s="113">
        <f t="shared" si="24"/>
        <v>1240347.9093164795</v>
      </c>
      <c r="W59" s="55">
        <f>V59*'Inputs and Output'!$D$32</f>
        <v>317846.59384980379</v>
      </c>
      <c r="X59" s="113">
        <f t="shared" si="25"/>
        <v>922483.52684963832</v>
      </c>
      <c r="Y59" s="121">
        <f t="shared" si="13"/>
        <v>3780065.3564892211</v>
      </c>
      <c r="Z59" s="113">
        <f t="shared" si="26"/>
        <v>66632006.901508771</v>
      </c>
      <c r="AA59" s="158">
        <f t="shared" si="14"/>
        <v>66632006.901508771</v>
      </c>
      <c r="AB59" s="117" t="str">
        <f t="shared" si="30"/>
        <v/>
      </c>
    </row>
    <row r="60" spans="1:28" x14ac:dyDescent="0.3">
      <c r="A60" s="151"/>
      <c r="B60" s="117">
        <v>25</v>
      </c>
      <c r="C60" s="162">
        <f t="shared" si="32"/>
        <v>6.0000000000000001E-3</v>
      </c>
      <c r="D60" s="159">
        <f t="shared" si="27"/>
        <v>0.14400000000000004</v>
      </c>
      <c r="E60" s="114">
        <f t="shared" si="15"/>
        <v>562392</v>
      </c>
      <c r="F60" s="156">
        <f t="shared" si="16"/>
        <v>11.387735726284598</v>
      </c>
      <c r="G60" s="114">
        <f t="shared" si="17"/>
        <v>6404371.4705766477</v>
      </c>
      <c r="H60" s="55">
        <f>G60*(1-'Inputs and Output'!$D$32)</f>
        <v>4763212.8550125584</v>
      </c>
      <c r="I60" s="157">
        <f>$I$36*((1+'Inputs and Output'!$D$13)^(Workings!B60-1))</f>
        <v>1048157.4817069527</v>
      </c>
      <c r="J60" s="114">
        <f t="shared" si="18"/>
        <v>2479.1413559218795</v>
      </c>
      <c r="K60" s="157">
        <f t="shared" si="31"/>
        <v>239308.03036800001</v>
      </c>
      <c r="L60" s="55">
        <f t="shared" si="19"/>
        <v>-5.4818786871994256E-9</v>
      </c>
      <c r="M60" s="55">
        <f t="shared" si="20"/>
        <v>1289944.6534308691</v>
      </c>
      <c r="N60" s="55">
        <f>M60*'Inputs and Output'!$D$32</f>
        <v>330556.05710958084</v>
      </c>
      <c r="O60" s="157">
        <f t="shared" si="21"/>
        <v>10.673170222417948</v>
      </c>
      <c r="P60" s="117"/>
      <c r="Q60" s="157">
        <f t="shared" si="22"/>
        <v>959377.92315106583</v>
      </c>
      <c r="R60" s="121">
        <f t="shared" si="10"/>
        <v>3803834.9318614872</v>
      </c>
      <c r="S60" s="114">
        <f t="shared" si="23"/>
        <v>62618472.256055042</v>
      </c>
      <c r="T60" s="158">
        <f t="shared" si="11"/>
        <v>62618472.256055042</v>
      </c>
      <c r="U60" s="117" t="str">
        <f t="shared" si="28"/>
        <v/>
      </c>
      <c r="V60" s="113">
        <f t="shared" si="24"/>
        <v>1289944.6534308747</v>
      </c>
      <c r="W60" s="55">
        <f>V60*'Inputs and Output'!$D$32</f>
        <v>330556.0571095823</v>
      </c>
      <c r="X60" s="113">
        <f t="shared" si="25"/>
        <v>959377.92315107002</v>
      </c>
      <c r="Y60" s="121">
        <f t="shared" si="13"/>
        <v>3803834.9318614881</v>
      </c>
      <c r="Z60" s="113">
        <f t="shared" si="26"/>
        <v>70435841.833370253</v>
      </c>
      <c r="AA60" s="158">
        <f t="shared" si="14"/>
        <v>70435841.833370253</v>
      </c>
      <c r="AB60" s="117" t="str">
        <f t="shared" si="30"/>
        <v/>
      </c>
    </row>
    <row r="61" spans="1:28" x14ac:dyDescent="0.3">
      <c r="B61" s="106" t="s">
        <v>522</v>
      </c>
      <c r="C61" s="137"/>
      <c r="D61" s="137"/>
      <c r="E61" s="164">
        <f>SUM(E36:E60)</f>
        <v>15242400</v>
      </c>
      <c r="F61" s="165"/>
      <c r="G61" s="164">
        <f>SUM(G36:G60)</f>
        <v>137346735.29359439</v>
      </c>
      <c r="H61" s="137"/>
      <c r="I61" s="137"/>
      <c r="J61" s="137"/>
      <c r="K61" s="137"/>
      <c r="L61" s="165"/>
      <c r="M61" s="165"/>
      <c r="N61" s="165"/>
      <c r="O61" s="165"/>
      <c r="P61" s="165"/>
      <c r="Q61" s="165"/>
      <c r="R61" s="164">
        <f>SUM(R36:R60)</f>
        <v>69797713.167095035</v>
      </c>
      <c r="S61" s="164"/>
      <c r="T61" s="165"/>
      <c r="U61" s="165"/>
      <c r="V61" s="164"/>
      <c r="W61" s="164"/>
      <c r="X61" s="166"/>
      <c r="Y61" s="164">
        <f>SUM(Y36:Y60)</f>
        <v>94366644.87017028</v>
      </c>
      <c r="Z61" s="137"/>
      <c r="AA61" s="137"/>
      <c r="AB61" s="147"/>
    </row>
    <row r="62" spans="1:28" x14ac:dyDescent="0.3">
      <c r="B62" s="32" t="s">
        <v>682</v>
      </c>
      <c r="E62" s="55">
        <f>AVERAGE(E36:E60)</f>
        <v>609696</v>
      </c>
    </row>
    <row r="63" spans="1:28" x14ac:dyDescent="0.3">
      <c r="E63" s="127"/>
    </row>
  </sheetData>
  <mergeCells count="6">
    <mergeCell ref="V33:AB33"/>
    <mergeCell ref="F2:J2"/>
    <mergeCell ref="L2:P2"/>
    <mergeCell ref="I33:K33"/>
    <mergeCell ref="L33:P33"/>
    <mergeCell ref="R33:U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Proposal Inputs</vt:lpstr>
      <vt:lpstr>BOM Inputs</vt:lpstr>
      <vt:lpstr>Environmental Benefits (2)</vt:lpstr>
      <vt:lpstr>Inputs and Output</vt:lpstr>
      <vt:lpstr>Workings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 Aaron</cp:lastModifiedBy>
  <cp:revision>0</cp:revision>
  <dcterms:created xsi:type="dcterms:W3CDTF">2026-08-07T06:44:15Z</dcterms:created>
  <dcterms:modified xsi:type="dcterms:W3CDTF">2026-08-10T12:26:27Z</dcterms:modified>
  <dc:language>en-US</dc:language>
</cp:coreProperties>
</file>