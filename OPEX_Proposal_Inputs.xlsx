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 Aaron\Desktop\New Propsal\OPEX\FPEL_OPEX_Latest Working model\"/>
    </mc:Choice>
  </mc:AlternateContent>
  <xr:revisionPtr revIDLastSave="0" documentId="13_ncr:1_{95503104-9A94-469D-8160-631AB305F8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al Inputs" sheetId="1" r:id="rId1"/>
    <sheet name="Environmental Benefits" sheetId="2" r:id="rId2"/>
    <sheet name="Buyout values 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E4" i="3"/>
  <c r="C113" i="1"/>
  <c r="C71" i="1"/>
  <c r="C60" i="1"/>
  <c r="C21" i="1"/>
  <c r="AA46" i="3"/>
  <c r="B22" i="3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C46" i="3" s="1"/>
  <c r="A22" i="3"/>
  <c r="E16" i="3"/>
  <c r="E17" i="3" s="1"/>
  <c r="E14" i="3"/>
  <c r="H11" i="3"/>
  <c r="E11" i="3"/>
  <c r="H9" i="3"/>
  <c r="E9" i="3"/>
  <c r="L7" i="3"/>
  <c r="E5" i="3"/>
  <c r="C10" i="2"/>
  <c r="C9" i="2"/>
  <c r="C137" i="1"/>
  <c r="C123" i="1"/>
  <c r="C122" i="1"/>
  <c r="C118" i="1"/>
  <c r="C114" i="1"/>
  <c r="C112" i="1"/>
  <c r="C110" i="1"/>
  <c r="C125" i="1" l="1"/>
  <c r="E18" i="3"/>
  <c r="X21" i="3" s="1"/>
  <c r="AB46" i="3"/>
  <c r="AC46" i="3" s="1"/>
  <c r="A23" i="3"/>
  <c r="D22" i="3"/>
  <c r="C43" i="3"/>
  <c r="C37" i="3"/>
  <c r="C36" i="3"/>
  <c r="C32" i="3"/>
  <c r="C31" i="3"/>
  <c r="C29" i="3"/>
  <c r="C42" i="3"/>
  <c r="C41" i="3"/>
  <c r="C40" i="3"/>
  <c r="C39" i="3"/>
  <c r="C38" i="3"/>
  <c r="C35" i="3"/>
  <c r="C34" i="3"/>
  <c r="C33" i="3"/>
  <c r="C30" i="3"/>
  <c r="C23" i="3"/>
  <c r="C28" i="3"/>
  <c r="C27" i="3"/>
  <c r="C26" i="3"/>
  <c r="C25" i="3"/>
  <c r="C24" i="3"/>
  <c r="H14" i="3"/>
  <c r="H15" i="3" s="1"/>
  <c r="C45" i="3"/>
  <c r="C44" i="3"/>
  <c r="C22" i="3"/>
  <c r="C12" i="2"/>
  <c r="C13" i="2" s="1"/>
  <c r="C117" i="1"/>
  <c r="C115" i="1"/>
  <c r="C133" i="1"/>
  <c r="C126" i="1"/>
  <c r="C127" i="1" s="1"/>
  <c r="C74" i="1"/>
  <c r="C76" i="1" s="1"/>
  <c r="C8" i="1"/>
  <c r="G22" i="3" l="1"/>
  <c r="Z21" i="3"/>
  <c r="AA21" i="3"/>
  <c r="AC21" i="3" s="1"/>
  <c r="AE22" i="3"/>
  <c r="J21" i="3"/>
  <c r="L21" i="3" s="1"/>
  <c r="P21" i="3" s="1"/>
  <c r="D23" i="3"/>
  <c r="I23" i="3"/>
  <c r="A24" i="3"/>
  <c r="C135" i="1"/>
  <c r="C128" i="1"/>
  <c r="E22" i="3"/>
  <c r="F22" i="3" s="1"/>
  <c r="I22" i="3"/>
  <c r="D17" i="2"/>
  <c r="G17" i="2"/>
  <c r="F17" i="2"/>
  <c r="E17" i="2"/>
  <c r="C17" i="2"/>
  <c r="H22" i="3" l="1"/>
  <c r="J22" i="3" s="1"/>
  <c r="X22" i="3"/>
  <c r="AF22" i="3"/>
  <c r="AG22" i="3"/>
  <c r="AH22" i="3" s="1"/>
  <c r="AE23" i="3" s="1"/>
  <c r="G23" i="3"/>
  <c r="E23" i="3"/>
  <c r="AA22" i="3"/>
  <c r="D24" i="3"/>
  <c r="I24" i="3"/>
  <c r="A25" i="3"/>
  <c r="Y22" i="3"/>
  <c r="Z22" i="3"/>
  <c r="R21" i="3"/>
  <c r="M22" i="3"/>
  <c r="C140" i="1"/>
  <c r="C171" i="1"/>
  <c r="C170" i="1"/>
  <c r="C19" i="1"/>
  <c r="C19" i="2"/>
  <c r="C131" i="1"/>
  <c r="C136" i="1" s="1"/>
  <c r="C139" i="1"/>
  <c r="C169" i="1"/>
  <c r="AF23" i="3" l="1"/>
  <c r="AG23" i="3"/>
  <c r="AH23" i="3" s="1"/>
  <c r="AE24" i="3" s="1"/>
  <c r="F23" i="3"/>
  <c r="E24" i="3"/>
  <c r="AB22" i="3"/>
  <c r="D25" i="3"/>
  <c r="I25" i="3" s="1"/>
  <c r="A26" i="3"/>
  <c r="H23" i="3"/>
  <c r="X23" i="3"/>
  <c r="C141" i="1"/>
  <c r="C172" i="1"/>
  <c r="G24" i="3"/>
  <c r="G25" i="3" s="1"/>
  <c r="AF24" i="3" l="1"/>
  <c r="AG24" i="3"/>
  <c r="AH24" i="3" s="1"/>
  <c r="AE25" i="3" s="1"/>
  <c r="U22" i="3"/>
  <c r="V22" i="3" s="1"/>
  <c r="W22" i="3" s="1"/>
  <c r="K22" i="3" s="1"/>
  <c r="L22" i="3" s="1"/>
  <c r="O22" i="3" s="1"/>
  <c r="AC22" i="3"/>
  <c r="AA23" i="3" s="1"/>
  <c r="AB23" i="3" s="1"/>
  <c r="AC23" i="3" s="1"/>
  <c r="AA24" i="3" s="1"/>
  <c r="F24" i="3"/>
  <c r="E25" i="3"/>
  <c r="D26" i="3"/>
  <c r="I26" i="3"/>
  <c r="A27" i="3"/>
  <c r="Y23" i="3"/>
  <c r="Z23" i="3" s="1"/>
  <c r="J23" i="3"/>
  <c r="AF25" i="3" l="1"/>
  <c r="AH25" i="3" s="1"/>
  <c r="AE26" i="3" s="1"/>
  <c r="AG25" i="3"/>
  <c r="F25" i="3"/>
  <c r="E26" i="3"/>
  <c r="G26" i="3"/>
  <c r="D27" i="3"/>
  <c r="I27" i="3" s="1"/>
  <c r="A28" i="3"/>
  <c r="H24" i="3"/>
  <c r="J24" i="3" s="1"/>
  <c r="X24" i="3"/>
  <c r="AB24" i="3"/>
  <c r="AC24" i="3" s="1"/>
  <c r="AA25" i="3" s="1"/>
  <c r="U23" i="3"/>
  <c r="V23" i="3" s="1"/>
  <c r="AG26" i="3" l="1"/>
  <c r="AH26" i="3" s="1"/>
  <c r="AE27" i="3" s="1"/>
  <c r="AF26" i="3"/>
  <c r="F26" i="3"/>
  <c r="E27" i="3"/>
  <c r="AB25" i="3"/>
  <c r="AC25" i="3"/>
  <c r="AA26" i="3" s="1"/>
  <c r="AB26" i="3" s="1"/>
  <c r="D28" i="3"/>
  <c r="I28" i="3" s="1"/>
  <c r="A29" i="3"/>
  <c r="U24" i="3"/>
  <c r="V24" i="3" s="1"/>
  <c r="Y24" i="3"/>
  <c r="Z24" i="3" s="1"/>
  <c r="AF27" i="3"/>
  <c r="AG27" i="3"/>
  <c r="W23" i="3"/>
  <c r="K23" i="3" s="1"/>
  <c r="L23" i="3" s="1"/>
  <c r="G27" i="3"/>
  <c r="AH27" i="3" l="1"/>
  <c r="AE28" i="3" s="1"/>
  <c r="AC26" i="3"/>
  <c r="AA27" i="3" s="1"/>
  <c r="G28" i="3"/>
  <c r="F27" i="3"/>
  <c r="E28" i="3"/>
  <c r="AB27" i="3"/>
  <c r="AC27" i="3" s="1"/>
  <c r="A30" i="3"/>
  <c r="D29" i="3"/>
  <c r="I29" i="3"/>
  <c r="H25" i="3"/>
  <c r="J25" i="3" s="1"/>
  <c r="X25" i="3"/>
  <c r="AG28" i="3"/>
  <c r="AF28" i="3"/>
  <c r="W24" i="3"/>
  <c r="K24" i="3" s="1"/>
  <c r="L24" i="3" s="1"/>
  <c r="O24" i="3" s="1"/>
  <c r="O23" i="3"/>
  <c r="AH28" i="3" l="1"/>
  <c r="AE29" i="3" s="1"/>
  <c r="F28" i="3"/>
  <c r="E29" i="3"/>
  <c r="D30" i="3"/>
  <c r="I30" i="3" s="1"/>
  <c r="A31" i="3"/>
  <c r="G29" i="3"/>
  <c r="G30" i="3" s="1"/>
  <c r="AA28" i="3"/>
  <c r="U25" i="3"/>
  <c r="V25" i="3" s="1"/>
  <c r="W25" i="3" s="1"/>
  <c r="K25" i="3" s="1"/>
  <c r="L25" i="3" s="1"/>
  <c r="Y25" i="3"/>
  <c r="Z25" i="3"/>
  <c r="AG29" i="3" l="1"/>
  <c r="AH29" i="3" s="1"/>
  <c r="AE30" i="3" s="1"/>
  <c r="AF29" i="3"/>
  <c r="F29" i="3"/>
  <c r="E30" i="3"/>
  <c r="D31" i="3"/>
  <c r="I31" i="3"/>
  <c r="A32" i="3"/>
  <c r="AB28" i="3"/>
  <c r="AC28" i="3" s="1"/>
  <c r="AA29" i="3" s="1"/>
  <c r="O25" i="3"/>
  <c r="H26" i="3"/>
  <c r="J26" i="3" s="1"/>
  <c r="X26" i="3"/>
  <c r="AF30" i="3" l="1"/>
  <c r="AG30" i="3"/>
  <c r="F30" i="3"/>
  <c r="E31" i="3"/>
  <c r="G31" i="3"/>
  <c r="G32" i="3" s="1"/>
  <c r="D32" i="3"/>
  <c r="I32" i="3" s="1"/>
  <c r="A33" i="3"/>
  <c r="AB29" i="3"/>
  <c r="AC29" i="3" s="1"/>
  <c r="AA30" i="3" s="1"/>
  <c r="U26" i="3"/>
  <c r="V26" i="3" s="1"/>
  <c r="Y26" i="3"/>
  <c r="Z26" i="3" s="1"/>
  <c r="AH30" i="3" l="1"/>
  <c r="AE31" i="3" s="1"/>
  <c r="F31" i="3"/>
  <c r="E32" i="3"/>
  <c r="AB30" i="3"/>
  <c r="AC30" i="3" s="1"/>
  <c r="AA31" i="3" s="1"/>
  <c r="D33" i="3"/>
  <c r="I33" i="3" s="1"/>
  <c r="A34" i="3"/>
  <c r="W26" i="3"/>
  <c r="K26" i="3" s="1"/>
  <c r="L26" i="3" s="1"/>
  <c r="O26" i="3" s="1"/>
  <c r="H27" i="3"/>
  <c r="J27" i="3" s="1"/>
  <c r="X27" i="3"/>
  <c r="AF31" i="3" l="1"/>
  <c r="AG31" i="3"/>
  <c r="AH31" i="3" s="1"/>
  <c r="AE32" i="3" s="1"/>
  <c r="F32" i="3"/>
  <c r="E33" i="3"/>
  <c r="G33" i="3"/>
  <c r="D34" i="3"/>
  <c r="I34" i="3" s="1"/>
  <c r="A35" i="3"/>
  <c r="U27" i="3"/>
  <c r="V27" i="3" s="1"/>
  <c r="Y27" i="3"/>
  <c r="Z27" i="3" s="1"/>
  <c r="AB31" i="3"/>
  <c r="AC31" i="3" s="1"/>
  <c r="AA32" i="3" s="1"/>
  <c r="AF32" i="3" l="1"/>
  <c r="AG32" i="3"/>
  <c r="F33" i="3"/>
  <c r="E34" i="3"/>
  <c r="AB32" i="3"/>
  <c r="AC32" i="3" s="1"/>
  <c r="AA33" i="3" s="1"/>
  <c r="A36" i="3"/>
  <c r="D35" i="3"/>
  <c r="I35" i="3" s="1"/>
  <c r="W27" i="3"/>
  <c r="K27" i="3" s="1"/>
  <c r="L27" i="3" s="1"/>
  <c r="O27" i="3" s="1"/>
  <c r="H28" i="3"/>
  <c r="J28" i="3" s="1"/>
  <c r="X28" i="3"/>
  <c r="G34" i="3"/>
  <c r="AH32" i="3" l="1"/>
  <c r="AE33" i="3" s="1"/>
  <c r="F34" i="3"/>
  <c r="E35" i="3"/>
  <c r="D36" i="3"/>
  <c r="I36" i="3"/>
  <c r="A37" i="3"/>
  <c r="U28" i="3"/>
  <c r="V28" i="3" s="1"/>
  <c r="Y28" i="3"/>
  <c r="Z28" i="3" s="1"/>
  <c r="G35" i="3"/>
  <c r="G36" i="3" s="1"/>
  <c r="AB33" i="3"/>
  <c r="AC33" i="3"/>
  <c r="AA34" i="3" s="1"/>
  <c r="AG33" i="3" l="1"/>
  <c r="AF33" i="3"/>
  <c r="AH33" i="3" s="1"/>
  <c r="AE34" i="3" s="1"/>
  <c r="AF34" i="3"/>
  <c r="AG34" i="3"/>
  <c r="F35" i="3"/>
  <c r="E36" i="3"/>
  <c r="D37" i="3"/>
  <c r="I37" i="3" s="1"/>
  <c r="A38" i="3"/>
  <c r="W28" i="3"/>
  <c r="K28" i="3" s="1"/>
  <c r="L28" i="3" s="1"/>
  <c r="O28" i="3" s="1"/>
  <c r="X29" i="3"/>
  <c r="H29" i="3"/>
  <c r="J29" i="3" s="1"/>
  <c r="AB34" i="3"/>
  <c r="AC34" i="3"/>
  <c r="AA35" i="3" s="1"/>
  <c r="AH34" i="3" l="1"/>
  <c r="AE35" i="3" s="1"/>
  <c r="F36" i="3"/>
  <c r="E37" i="3"/>
  <c r="G37" i="3"/>
  <c r="A39" i="3"/>
  <c r="D38" i="3"/>
  <c r="I38" i="3" s="1"/>
  <c r="Y29" i="3"/>
  <c r="Z29" i="3" s="1"/>
  <c r="U29" i="3"/>
  <c r="V29" i="3" s="1"/>
  <c r="AB35" i="3"/>
  <c r="AC35" i="3" s="1"/>
  <c r="AA36" i="3" s="1"/>
  <c r="G38" i="3" l="1"/>
  <c r="AG35" i="3"/>
  <c r="AF35" i="3"/>
  <c r="AH35" i="3"/>
  <c r="AE36" i="3" s="1"/>
  <c r="F37" i="3"/>
  <c r="E38" i="3"/>
  <c r="AB36" i="3"/>
  <c r="AC36" i="3" s="1"/>
  <c r="AA37" i="3" s="1"/>
  <c r="D39" i="3"/>
  <c r="I39" i="3"/>
  <c r="A40" i="3"/>
  <c r="H30" i="3"/>
  <c r="J30" i="3" s="1"/>
  <c r="X30" i="3"/>
  <c r="W29" i="3"/>
  <c r="K29" i="3" s="1"/>
  <c r="L29" i="3" s="1"/>
  <c r="O29" i="3" s="1"/>
  <c r="AG36" i="3" l="1"/>
  <c r="AF36" i="3"/>
  <c r="F38" i="3"/>
  <c r="E39" i="3"/>
  <c r="G39" i="3"/>
  <c r="D40" i="3"/>
  <c r="I40" i="3"/>
  <c r="A41" i="3"/>
  <c r="U30" i="3"/>
  <c r="V30" i="3" s="1"/>
  <c r="Y30" i="3"/>
  <c r="Z30" i="3" s="1"/>
  <c r="AB37" i="3"/>
  <c r="AC37" i="3" s="1"/>
  <c r="AA38" i="3" s="1"/>
  <c r="AH36" i="3" l="1"/>
  <c r="AE37" i="3" s="1"/>
  <c r="AG37" i="3"/>
  <c r="AF37" i="3"/>
  <c r="F39" i="3"/>
  <c r="E40" i="3"/>
  <c r="AB38" i="3"/>
  <c r="AC38" i="3"/>
  <c r="AA39" i="3" s="1"/>
  <c r="D41" i="3"/>
  <c r="I41" i="3" s="1"/>
  <c r="A42" i="3"/>
  <c r="H31" i="3"/>
  <c r="J31" i="3" s="1"/>
  <c r="X31" i="3"/>
  <c r="G40" i="3"/>
  <c r="G41" i="3" s="1"/>
  <c r="W30" i="3"/>
  <c r="K30" i="3" s="1"/>
  <c r="L30" i="3" s="1"/>
  <c r="O30" i="3" s="1"/>
  <c r="AH37" i="3" l="1"/>
  <c r="AE38" i="3" s="1"/>
  <c r="AB39" i="3"/>
  <c r="AC39" i="3"/>
  <c r="AA40" i="3" s="1"/>
  <c r="AG38" i="3"/>
  <c r="AF38" i="3"/>
  <c r="AH38" i="3" s="1"/>
  <c r="AE39" i="3" s="1"/>
  <c r="F40" i="3"/>
  <c r="E41" i="3"/>
  <c r="D42" i="3"/>
  <c r="I42" i="3" s="1"/>
  <c r="A43" i="3"/>
  <c r="U31" i="3"/>
  <c r="V31" i="3" s="1"/>
  <c r="W31" i="3" s="1"/>
  <c r="K31" i="3" s="1"/>
  <c r="L31" i="3" s="1"/>
  <c r="O31" i="3" s="1"/>
  <c r="Y31" i="3"/>
  <c r="Z31" i="3" s="1"/>
  <c r="AB40" i="3" l="1"/>
  <c r="AC40" i="3" s="1"/>
  <c r="AG39" i="3"/>
  <c r="AF39" i="3"/>
  <c r="AH39" i="3" s="1"/>
  <c r="AE40" i="3" s="1"/>
  <c r="F41" i="3"/>
  <c r="E42" i="3"/>
  <c r="G42" i="3"/>
  <c r="AA41" i="3"/>
  <c r="D43" i="3"/>
  <c r="AA42" i="3" s="1"/>
  <c r="I43" i="3"/>
  <c r="A44" i="3"/>
  <c r="H32" i="3"/>
  <c r="J32" i="3" s="1"/>
  <c r="X32" i="3"/>
  <c r="AF40" i="3" l="1"/>
  <c r="AG40" i="3"/>
  <c r="F42" i="3"/>
  <c r="E43" i="3"/>
  <c r="AB41" i="3"/>
  <c r="AC41" i="3" s="1"/>
  <c r="AB42" i="3"/>
  <c r="AC42" i="3" s="1"/>
  <c r="D44" i="3"/>
  <c r="A45" i="3"/>
  <c r="U32" i="3"/>
  <c r="V32" i="3" s="1"/>
  <c r="Y32" i="3"/>
  <c r="Z32" i="3" s="1"/>
  <c r="G43" i="3"/>
  <c r="AH40" i="3" l="1"/>
  <c r="AE41" i="3" s="1"/>
  <c r="AA43" i="3"/>
  <c r="I44" i="3"/>
  <c r="AG41" i="3"/>
  <c r="AF41" i="3"/>
  <c r="AH41" i="3" s="1"/>
  <c r="AE42" i="3" s="1"/>
  <c r="F43" i="3"/>
  <c r="E44" i="3"/>
  <c r="AB43" i="3"/>
  <c r="AC43" i="3"/>
  <c r="D45" i="3"/>
  <c r="AA44" i="3" s="1"/>
  <c r="I45" i="3"/>
  <c r="A46" i="3"/>
  <c r="W32" i="3"/>
  <c r="K32" i="3" s="1"/>
  <c r="L32" i="3" s="1"/>
  <c r="O32" i="3" s="1"/>
  <c r="H33" i="3"/>
  <c r="J33" i="3" s="1"/>
  <c r="X33" i="3"/>
  <c r="G44" i="3"/>
  <c r="AG42" i="3" l="1"/>
  <c r="AF42" i="3"/>
  <c r="AH42" i="3"/>
  <c r="AE43" i="3" s="1"/>
  <c r="F44" i="3"/>
  <c r="E45" i="3"/>
  <c r="AB44" i="3"/>
  <c r="AC44" i="3" s="1"/>
  <c r="D46" i="3"/>
  <c r="AA45" i="3" s="1"/>
  <c r="I46" i="3"/>
  <c r="U33" i="3"/>
  <c r="V33" i="3" s="1"/>
  <c r="Y33" i="3"/>
  <c r="Z33" i="3" s="1"/>
  <c r="G45" i="3"/>
  <c r="AG43" i="3" l="1"/>
  <c r="AF43" i="3"/>
  <c r="AH43" i="3" s="1"/>
  <c r="AE44" i="3" s="1"/>
  <c r="F45" i="3"/>
  <c r="E46" i="3"/>
  <c r="F46" i="3" s="1"/>
  <c r="AB45" i="3"/>
  <c r="AC45" i="3" s="1"/>
  <c r="W33" i="3"/>
  <c r="K33" i="3" s="1"/>
  <c r="L33" i="3" s="1"/>
  <c r="O33" i="3" s="1"/>
  <c r="H34" i="3"/>
  <c r="J34" i="3" s="1"/>
  <c r="X34" i="3"/>
  <c r="G46" i="3"/>
  <c r="AG44" i="3" l="1"/>
  <c r="AF44" i="3"/>
  <c r="U34" i="3"/>
  <c r="V34" i="3" s="1"/>
  <c r="Y34" i="3"/>
  <c r="Z34" i="3" s="1"/>
  <c r="AH44" i="3" l="1"/>
  <c r="AE45" i="3" s="1"/>
  <c r="W34" i="3"/>
  <c r="K34" i="3" s="1"/>
  <c r="L34" i="3" s="1"/>
  <c r="O34" i="3" s="1"/>
  <c r="X35" i="3"/>
  <c r="H35" i="3"/>
  <c r="J35" i="3" s="1"/>
  <c r="AF45" i="3" l="1"/>
  <c r="AG45" i="3"/>
  <c r="AH45" i="3" s="1"/>
  <c r="AE46" i="3" s="1"/>
  <c r="AG46" i="3"/>
  <c r="AF46" i="3"/>
  <c r="AH46" i="3" s="1"/>
  <c r="Y35" i="3"/>
  <c r="Z35" i="3" s="1"/>
  <c r="U35" i="3"/>
  <c r="V35" i="3" s="1"/>
  <c r="H36" i="3" l="1"/>
  <c r="J36" i="3" s="1"/>
  <c r="X36" i="3"/>
  <c r="W35" i="3"/>
  <c r="K35" i="3" s="1"/>
  <c r="L35" i="3" s="1"/>
  <c r="O35" i="3" s="1"/>
  <c r="U36" i="3" l="1"/>
  <c r="V36" i="3" s="1"/>
  <c r="Y36" i="3"/>
  <c r="Z36" i="3" s="1"/>
  <c r="H37" i="3" l="1"/>
  <c r="J37" i="3" s="1"/>
  <c r="X37" i="3"/>
  <c r="W36" i="3"/>
  <c r="K36" i="3" s="1"/>
  <c r="L36" i="3" s="1"/>
  <c r="O36" i="3" s="1"/>
  <c r="U37" i="3" l="1"/>
  <c r="V37" i="3" s="1"/>
  <c r="W37" i="3" s="1"/>
  <c r="K37" i="3" s="1"/>
  <c r="L37" i="3" s="1"/>
  <c r="O37" i="3" s="1"/>
  <c r="Y37" i="3"/>
  <c r="Z37" i="3" s="1"/>
  <c r="X38" i="3" l="1"/>
  <c r="H38" i="3"/>
  <c r="J38" i="3" s="1"/>
  <c r="Y38" i="3" l="1"/>
  <c r="Z38" i="3" s="1"/>
  <c r="U38" i="3"/>
  <c r="V38" i="3" s="1"/>
  <c r="H39" i="3" l="1"/>
  <c r="J39" i="3" s="1"/>
  <c r="X39" i="3"/>
  <c r="W38" i="3"/>
  <c r="K38" i="3" s="1"/>
  <c r="L38" i="3" s="1"/>
  <c r="O38" i="3" s="1"/>
  <c r="U39" i="3" l="1"/>
  <c r="V39" i="3" s="1"/>
  <c r="Y39" i="3"/>
  <c r="Z39" i="3" s="1"/>
  <c r="H40" i="3" l="1"/>
  <c r="J40" i="3" s="1"/>
  <c r="X40" i="3"/>
  <c r="W39" i="3"/>
  <c r="K39" i="3" s="1"/>
  <c r="L39" i="3" s="1"/>
  <c r="O39" i="3" s="1"/>
  <c r="U40" i="3" l="1"/>
  <c r="V40" i="3" s="1"/>
  <c r="Y40" i="3"/>
  <c r="Z40" i="3"/>
  <c r="H41" i="3" l="1"/>
  <c r="J41" i="3" s="1"/>
  <c r="X41" i="3"/>
  <c r="W40" i="3"/>
  <c r="K40" i="3" s="1"/>
  <c r="L40" i="3" s="1"/>
  <c r="O40" i="3" s="1"/>
  <c r="U41" i="3" l="1"/>
  <c r="V41" i="3" s="1"/>
  <c r="Y41" i="3"/>
  <c r="Z41" i="3" s="1"/>
  <c r="H42" i="3" l="1"/>
  <c r="J42" i="3" s="1"/>
  <c r="X42" i="3"/>
  <c r="W41" i="3"/>
  <c r="K41" i="3" s="1"/>
  <c r="L41" i="3" s="1"/>
  <c r="O41" i="3" s="1"/>
  <c r="U42" i="3" l="1"/>
  <c r="V42" i="3" s="1"/>
  <c r="Y42" i="3"/>
  <c r="Z42" i="3" s="1"/>
  <c r="H43" i="3" l="1"/>
  <c r="J43" i="3" s="1"/>
  <c r="X43" i="3"/>
  <c r="W42" i="3"/>
  <c r="K42" i="3" s="1"/>
  <c r="L42" i="3" s="1"/>
  <c r="O42" i="3" s="1"/>
  <c r="U43" i="3" l="1"/>
  <c r="V43" i="3" s="1"/>
  <c r="Y43" i="3"/>
  <c r="Z43" i="3" s="1"/>
  <c r="H44" i="3" l="1"/>
  <c r="J44" i="3" s="1"/>
  <c r="X44" i="3"/>
  <c r="W43" i="3"/>
  <c r="K43" i="3" s="1"/>
  <c r="L43" i="3" s="1"/>
  <c r="O43" i="3" s="1"/>
  <c r="U44" i="3" l="1"/>
  <c r="V44" i="3" s="1"/>
  <c r="Y44" i="3"/>
  <c r="Z44" i="3" s="1"/>
  <c r="H45" i="3" l="1"/>
  <c r="J45" i="3" s="1"/>
  <c r="X45" i="3"/>
  <c r="W44" i="3"/>
  <c r="K44" i="3" s="1"/>
  <c r="L44" i="3" s="1"/>
  <c r="O44" i="3" s="1"/>
  <c r="U45" i="3" l="1"/>
  <c r="V45" i="3" s="1"/>
  <c r="Y45" i="3"/>
  <c r="Z45" i="3" s="1"/>
  <c r="X46" i="3" l="1"/>
  <c r="H46" i="3"/>
  <c r="J46" i="3" s="1"/>
  <c r="W45" i="3"/>
  <c r="K45" i="3" s="1"/>
  <c r="L45" i="3" s="1"/>
  <c r="O45" i="3" s="1"/>
  <c r="Y46" i="3" l="1"/>
  <c r="Z46" i="3" s="1"/>
  <c r="U46" i="3"/>
  <c r="V46" i="3" s="1"/>
  <c r="W46" i="3" s="1"/>
  <c r="K46" i="3" s="1"/>
  <c r="L46" i="3" s="1"/>
  <c r="H17" i="3" l="1"/>
  <c r="N22" i="3" s="1"/>
  <c r="P22" i="3" s="1"/>
  <c r="O46" i="3"/>
  <c r="M23" i="3" l="1"/>
  <c r="N23" i="3" l="1"/>
  <c r="P23" i="3" s="1"/>
  <c r="M24" i="3" l="1"/>
  <c r="N24" i="3" l="1"/>
  <c r="P24" i="3" s="1"/>
  <c r="M25" i="3" l="1"/>
  <c r="N25" i="3" l="1"/>
  <c r="P25" i="3" s="1"/>
  <c r="M26" i="3" l="1"/>
  <c r="N26" i="3" l="1"/>
  <c r="P26" i="3"/>
  <c r="M27" i="3" l="1"/>
  <c r="N27" i="3" l="1"/>
  <c r="P27" i="3" s="1"/>
  <c r="M28" i="3" l="1"/>
  <c r="N28" i="3" l="1"/>
  <c r="P28" i="3"/>
  <c r="M29" i="3" l="1"/>
  <c r="N29" i="3" l="1"/>
  <c r="P29" i="3" s="1"/>
  <c r="M30" i="3" l="1"/>
  <c r="N30" i="3" l="1"/>
  <c r="P30" i="3" s="1"/>
  <c r="M31" i="3" l="1"/>
  <c r="N31" i="3" l="1"/>
  <c r="P31" i="3" s="1"/>
  <c r="M32" i="3" l="1"/>
  <c r="N32" i="3" l="1"/>
  <c r="P32" i="3" s="1"/>
  <c r="M33" i="3" l="1"/>
  <c r="N33" i="3" l="1"/>
  <c r="P33" i="3" s="1"/>
  <c r="M34" i="3" l="1"/>
  <c r="N34" i="3" l="1"/>
  <c r="P34" i="3" s="1"/>
  <c r="M35" i="3" l="1"/>
  <c r="N35" i="3" l="1"/>
  <c r="P35" i="3" s="1"/>
  <c r="M36" i="3" l="1"/>
  <c r="N36" i="3" l="1"/>
  <c r="P36" i="3" s="1"/>
  <c r="M37" i="3" l="1"/>
  <c r="N37" i="3" l="1"/>
  <c r="P37" i="3" s="1"/>
  <c r="M38" i="3" l="1"/>
  <c r="N38" i="3" l="1"/>
  <c r="P38" i="3"/>
  <c r="M39" i="3" l="1"/>
  <c r="N39" i="3" l="1"/>
  <c r="P39" i="3" s="1"/>
  <c r="M40" i="3" l="1"/>
  <c r="N40" i="3" l="1"/>
  <c r="P40" i="3"/>
  <c r="M41" i="3" l="1"/>
  <c r="N41" i="3" l="1"/>
  <c r="P41" i="3" s="1"/>
  <c r="M42" i="3" l="1"/>
  <c r="N42" i="3" l="1"/>
  <c r="P42" i="3"/>
  <c r="M43" i="3" l="1"/>
  <c r="N43" i="3" l="1"/>
  <c r="P43" i="3" s="1"/>
  <c r="M44" i="3" l="1"/>
  <c r="N44" i="3" l="1"/>
  <c r="P44" i="3"/>
  <c r="M45" i="3" l="1"/>
  <c r="N45" i="3" l="1"/>
  <c r="P45" i="3" s="1"/>
  <c r="M46" i="3" l="1"/>
  <c r="N46" i="3" l="1"/>
  <c r="P46" i="3" s="1"/>
  <c r="T18" i="3" l="1"/>
  <c r="T19" i="3"/>
  <c r="Q22" i="3"/>
  <c r="R22" i="3"/>
  <c r="S22" i="3"/>
  <c r="T22" i="3"/>
  <c r="Q23" i="3"/>
  <c r="R23" i="3"/>
  <c r="S23" i="3"/>
  <c r="T23" i="3"/>
  <c r="Q24" i="3"/>
  <c r="R24" i="3"/>
  <c r="S24" i="3"/>
  <c r="T24" i="3"/>
  <c r="Q25" i="3"/>
  <c r="R25" i="3"/>
  <c r="S25" i="3"/>
  <c r="T25" i="3"/>
  <c r="Q26" i="3"/>
  <c r="R26" i="3"/>
  <c r="S26" i="3"/>
  <c r="T26" i="3"/>
  <c r="Q27" i="3"/>
  <c r="R27" i="3"/>
  <c r="S27" i="3"/>
  <c r="T27" i="3"/>
  <c r="Q28" i="3"/>
  <c r="R28" i="3"/>
  <c r="S28" i="3"/>
  <c r="T28" i="3"/>
  <c r="Q29" i="3"/>
  <c r="R29" i="3"/>
  <c r="S29" i="3"/>
  <c r="T29" i="3"/>
  <c r="Q30" i="3"/>
  <c r="R30" i="3"/>
  <c r="S30" i="3"/>
  <c r="T30" i="3"/>
  <c r="Q31" i="3"/>
  <c r="R31" i="3"/>
  <c r="S31" i="3"/>
  <c r="T31" i="3"/>
  <c r="Q32" i="3"/>
  <c r="R32" i="3"/>
  <c r="S32" i="3"/>
  <c r="T32" i="3"/>
  <c r="Q33" i="3"/>
  <c r="R33" i="3"/>
  <c r="S33" i="3"/>
  <c r="T33" i="3"/>
  <c r="Q34" i="3"/>
  <c r="R34" i="3"/>
  <c r="S34" i="3"/>
  <c r="T34" i="3"/>
  <c r="Q35" i="3"/>
  <c r="R35" i="3"/>
  <c r="S35" i="3"/>
  <c r="T35" i="3"/>
  <c r="Q36" i="3"/>
  <c r="R36" i="3"/>
  <c r="S36" i="3"/>
  <c r="T36" i="3"/>
  <c r="Q37" i="3"/>
  <c r="R37" i="3"/>
  <c r="S37" i="3"/>
  <c r="T37" i="3"/>
  <c r="Q38" i="3"/>
  <c r="R38" i="3"/>
  <c r="S38" i="3"/>
  <c r="T38" i="3"/>
  <c r="Q39" i="3"/>
  <c r="R39" i="3"/>
  <c r="S39" i="3"/>
  <c r="T39" i="3"/>
  <c r="Q40" i="3"/>
  <c r="R40" i="3"/>
  <c r="S40" i="3"/>
  <c r="T40" i="3"/>
  <c r="Q41" i="3"/>
  <c r="R41" i="3"/>
  <c r="S41" i="3"/>
  <c r="T41" i="3"/>
  <c r="Q42" i="3"/>
  <c r="R42" i="3"/>
  <c r="S42" i="3"/>
  <c r="T42" i="3"/>
  <c r="Q43" i="3"/>
  <c r="R43" i="3"/>
  <c r="S43" i="3"/>
  <c r="T43" i="3"/>
  <c r="Q44" i="3"/>
  <c r="R44" i="3"/>
  <c r="S44" i="3"/>
  <c r="T44" i="3"/>
  <c r="Q45" i="3"/>
  <c r="R45" i="3"/>
  <c r="S45" i="3"/>
  <c r="T45" i="3"/>
  <c r="Q46" i="3"/>
  <c r="R46" i="3"/>
  <c r="S46" i="3"/>
  <c r="T46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</calcChain>
</file>

<file path=xl/sharedStrings.xml><?xml version="1.0" encoding="utf-8"?>
<sst xmlns="http://schemas.openxmlformats.org/spreadsheetml/2006/main" count="924" uniqueCount="570">
  <si>
    <t>FOURTH PARTNER ENERGY  —  OPEX (BOOT) Proposal Inputs</t>
  </si>
  <si>
    <t>Yellow cells = your inputs   |   Pink = mandatory   |   Blue = optional   |   Formulas are fine — the document shows the value exactly as Excel displays it</t>
  </si>
  <si>
    <t>Key</t>
  </si>
  <si>
    <t>Field</t>
  </si>
  <si>
    <t>Your Value</t>
  </si>
  <si>
    <t>Example</t>
  </si>
  <si>
    <t>Mandatory</t>
  </si>
  <si>
    <t>Page</t>
  </si>
  <si>
    <t>1 · COVER PAGE &amp; EXECUTIVE SUMMARY</t>
  </si>
  <si>
    <t>PH_001</t>
  </si>
  <si>
    <t>Proposed Capacity (kWp)</t>
  </si>
  <si>
    <t>600</t>
  </si>
  <si>
    <t>MANUAL</t>
  </si>
  <si>
    <t>1,2</t>
  </si>
  <si>
    <t>PH_002</t>
  </si>
  <si>
    <t>Installation Technology</t>
  </si>
  <si>
    <t>Rooftop-Shed</t>
  </si>
  <si>
    <t>Rooftop - Shed</t>
  </si>
  <si>
    <t>1</t>
  </si>
  <si>
    <t>PH_003</t>
  </si>
  <si>
    <t>Estimated Generation (kWh/year)</t>
  </si>
  <si>
    <t>8,69,211</t>
  </si>
  <si>
    <t>1,4</t>
  </si>
  <si>
    <t>PH_004</t>
  </si>
  <si>
    <t>Guaranteed Generation (kWh/year)</t>
  </si>
  <si>
    <t>7,82,290</t>
  </si>
  <si>
    <t>4</t>
  </si>
  <si>
    <t>PH_005</t>
  </si>
  <si>
    <t>% Consumption Replaced</t>
  </si>
  <si>
    <t>~17%</t>
  </si>
  <si>
    <t>PH_006</t>
  </si>
  <si>
    <t>Net Metering (Yes/No)</t>
  </si>
  <si>
    <t>Yes</t>
  </si>
  <si>
    <t>PH_007</t>
  </si>
  <si>
    <t>Key Components — Modules</t>
  </si>
  <si>
    <t>Renewsys 595 Wp</t>
  </si>
  <si>
    <t>PH_008</t>
  </si>
  <si>
    <t>Key Components — Inverters</t>
  </si>
  <si>
    <t>Solis</t>
  </si>
  <si>
    <t>PH_009</t>
  </si>
  <si>
    <t>Project Timeline</t>
  </si>
  <si>
    <t>4 + 1 Months</t>
  </si>
  <si>
    <t>4–5 months</t>
  </si>
  <si>
    <t>PH_010</t>
  </si>
  <si>
    <t>Exclusions (Exec summary)</t>
  </si>
  <si>
    <t>Spare feeder ,  Internet connectivity</t>
  </si>
  <si>
    <t>Spare feeder; Net meter infra; Internet connectivity</t>
  </si>
  <si>
    <t>PH_011</t>
  </si>
  <si>
    <t>Commercial — Variable Grid Rate (₹/kWh)</t>
  </si>
  <si>
    <t>8.50</t>
  </si>
  <si>
    <t>PH_012</t>
  </si>
  <si>
    <t>Commercial — Proposed Solar Tariff (₹/kWh)</t>
  </si>
  <si>
    <t>6.15</t>
  </si>
  <si>
    <t>PH_013</t>
  </si>
  <si>
    <t>Commercial — % Savings (1st Year)</t>
  </si>
  <si>
    <t>~28%</t>
  </si>
  <si>
    <t>PH_014</t>
  </si>
  <si>
    <t>Commercial — % Grid Consumption Replaced</t>
  </si>
  <si>
    <t>PH_015</t>
  </si>
  <si>
    <t>Commercial — CO₂ Reduction (Tons/year)</t>
  </si>
  <si>
    <t>816</t>
  </si>
  <si>
    <t>AUTOMATIC</t>
  </si>
  <si>
    <t>PH_016</t>
  </si>
  <si>
    <t>Proposal Submitted by</t>
  </si>
  <si>
    <t>Carl Aaron</t>
  </si>
  <si>
    <t>Optional</t>
  </si>
  <si>
    <t>PH_017</t>
  </si>
  <si>
    <t>Proposal Submitted on</t>
  </si>
  <si>
    <t>31st Jul 2025</t>
  </si>
  <si>
    <t>PH_018</t>
  </si>
  <si>
    <t>Proposal Validity</t>
  </si>
  <si>
    <t>15 days</t>
  </si>
  <si>
    <t>2 · SITE DETAILS (1.1 Customer &amp; 1.2 Site)</t>
  </si>
  <si>
    <t>PH_019</t>
  </si>
  <si>
    <t>Customer Name</t>
  </si>
  <si>
    <t>IFGL Refractories Ltd.</t>
  </si>
  <si>
    <t>1,5,13</t>
  </si>
  <si>
    <t>PH_020</t>
  </si>
  <si>
    <t>Customer Address (short)</t>
  </si>
  <si>
    <t>Kandla, Gujarat</t>
  </si>
  <si>
    <t>PH_021</t>
  </si>
  <si>
    <t>Contact Person</t>
  </si>
  <si>
    <t>Mr. Anish</t>
  </si>
  <si>
    <t>Mr. A. Sharma</t>
  </si>
  <si>
    <t>5</t>
  </si>
  <si>
    <t>PH_022</t>
  </si>
  <si>
    <t>Mobile</t>
  </si>
  <si>
    <t>+91-9645949625</t>
  </si>
  <si>
    <t>+91-98XXXXXXXX</t>
  </si>
  <si>
    <t>PH_023</t>
  </si>
  <si>
    <t>Email</t>
  </si>
  <si>
    <t>ANISH-S@lntecc.com</t>
  </si>
  <si>
    <t>name@company.com</t>
  </si>
  <si>
    <t>PH_024</t>
  </si>
  <si>
    <t>Site Address (full)</t>
  </si>
  <si>
    <t>WR22+9R8, Neervalur, Tamil Nadu 631561</t>
  </si>
  <si>
    <t>PH_025</t>
  </si>
  <si>
    <t>Latitude</t>
  </si>
  <si>
    <t>23.0339</t>
  </si>
  <si>
    <t>PH_026</t>
  </si>
  <si>
    <t>Longitude</t>
  </si>
  <si>
    <t>70.2167</t>
  </si>
  <si>
    <t>PH_027</t>
  </si>
  <si>
    <t>Type of Installation</t>
  </si>
  <si>
    <t>PH_028</t>
  </si>
  <si>
    <t>Type of Roofs</t>
  </si>
  <si>
    <t>Metal Sheet</t>
  </si>
  <si>
    <t>PH_029</t>
  </si>
  <si>
    <t>Availability of Water</t>
  </si>
  <si>
    <t>PH_030</t>
  </si>
  <si>
    <t>Shading</t>
  </si>
  <si>
    <t>Shadow-free</t>
  </si>
  <si>
    <t>PH_031</t>
  </si>
  <si>
    <t>Site GMap Image Path</t>
  </si>
  <si>
    <t>C:\Proposals\site.png</t>
  </si>
  <si>
    <t>3 · CAPACITY ASSESSMENT (2.1)</t>
  </si>
  <si>
    <t>PH_032</t>
  </si>
  <si>
    <t>Capacity — Shadow-free area: kWp</t>
  </si>
  <si>
    <t>499.59 kWp</t>
  </si>
  <si>
    <t>620</t>
  </si>
  <si>
    <t>6</t>
  </si>
  <si>
    <t>PH_033</t>
  </si>
  <si>
    <t>Capacity — Shadow-free area: Notes</t>
  </si>
  <si>
    <t>Usable shadow-free roof area</t>
  </si>
  <si>
    <t>PH_034</t>
  </si>
  <si>
    <t>Capacity — Electricity consumption: kWp</t>
  </si>
  <si>
    <t>PH_035</t>
  </si>
  <si>
    <t>Capacity — Electricity consumption: Notes</t>
  </si>
  <si>
    <t>~17% of annual consumption</t>
  </si>
  <si>
    <t>PH_036</t>
  </si>
  <si>
    <t>Capacity — State regulatory limit: kWp</t>
  </si>
  <si>
    <t>No limit</t>
  </si>
  <si>
    <t>PH_037</t>
  </si>
  <si>
    <t>Capacity — State regulatory limit: Notes</t>
  </si>
  <si>
    <t>Net metering norms</t>
  </si>
  <si>
    <t>PH_038</t>
  </si>
  <si>
    <t>Capacity — Proposed Capacity: kWp</t>
  </si>
  <si>
    <t>PH_039</t>
  </si>
  <si>
    <t>Capacity — Proposed Capacity: Notes</t>
  </si>
  <si>
    <t>Final proposed plant size</t>
  </si>
  <si>
    <t>4 · PLANT LAYOUT (2.2)</t>
  </si>
  <si>
    <t>PH_040</t>
  </si>
  <si>
    <t>Plant Layout — Type of Installation</t>
  </si>
  <si>
    <t>6-8</t>
  </si>
  <si>
    <t>PH_041</t>
  </si>
  <si>
    <t>Plant Layout — Type of Mounting</t>
  </si>
  <si>
    <t>Rooftop mounting</t>
  </si>
  <si>
    <t>Metal sheet roof mounting</t>
  </si>
  <si>
    <t>PH_042</t>
  </si>
  <si>
    <t>Plant Layout — Power Evacuation</t>
  </si>
  <si>
    <t>LT side, synchronised with grid</t>
  </si>
  <si>
    <t>PH_043</t>
  </si>
  <si>
    <t>Rooftop · Row1 — Shed/Building</t>
  </si>
  <si>
    <t>Shed A</t>
  </si>
  <si>
    <t>PH_044</t>
  </si>
  <si>
    <t>Rooftop · Row1 — Capacity (kWp)</t>
  </si>
  <si>
    <t>300</t>
  </si>
  <si>
    <t>PH_045</t>
  </si>
  <si>
    <t>Rooftop · Row1 — Tilt</t>
  </si>
  <si>
    <t>10°</t>
  </si>
  <si>
    <t>PH_046</t>
  </si>
  <si>
    <t>Rooftop · Row1 — Azimuth</t>
  </si>
  <si>
    <t>180°</t>
  </si>
  <si>
    <t>PH_047</t>
  </si>
  <si>
    <t>Rooftop · Row1 — Walkways/Lifeline</t>
  </si>
  <si>
    <t>PH_048</t>
  </si>
  <si>
    <t>Rooftop · Row2 — Shed/Building</t>
  </si>
  <si>
    <t>Shed B</t>
  </si>
  <si>
    <t>PH_049</t>
  </si>
  <si>
    <t>Rooftop · Row2 — Capacity (kWp)</t>
  </si>
  <si>
    <t>PH_050</t>
  </si>
  <si>
    <t>Rooftop · Row2 — Tilt</t>
  </si>
  <si>
    <t>PH_051</t>
  </si>
  <si>
    <t>Rooftop · Row2 — Azimuth</t>
  </si>
  <si>
    <t>PH_052</t>
  </si>
  <si>
    <t>Rooftop · Row2 — Walkways/Lifeline</t>
  </si>
  <si>
    <t>PH_053</t>
  </si>
  <si>
    <t>Rooftop · Total Capacity (kWp)</t>
  </si>
  <si>
    <t>PH_054</t>
  </si>
  <si>
    <t>Shed · Row1 — Shed/Building</t>
  </si>
  <si>
    <t>PH_055</t>
  </si>
  <si>
    <t>Shed · Row1 — Capacity (kWp)</t>
  </si>
  <si>
    <t>PH_056</t>
  </si>
  <si>
    <t>Shed · Row1 — Tilt</t>
  </si>
  <si>
    <t>PH_057</t>
  </si>
  <si>
    <t>Shed · Row1 — Azimuth</t>
  </si>
  <si>
    <t>PH_058</t>
  </si>
  <si>
    <t>Shed · Row1 — Walkways/Lifeline/Railings</t>
  </si>
  <si>
    <t>PH_059</t>
  </si>
  <si>
    <t>Shed · Row2 — Shed/Building</t>
  </si>
  <si>
    <t>PH_060</t>
  </si>
  <si>
    <t>Shed · Row2 — Capacity (kWp)</t>
  </si>
  <si>
    <t>PH_061</t>
  </si>
  <si>
    <t>Shed · Row2 — Tilt</t>
  </si>
  <si>
    <t>PH_062</t>
  </si>
  <si>
    <t>Shed · Row2 — Azimuth</t>
  </si>
  <si>
    <t>PH_063</t>
  </si>
  <si>
    <t>Shed · Row2 — Walkways/Lifeline/Railings</t>
  </si>
  <si>
    <t>PH_064</t>
  </si>
  <si>
    <t>Shed · Total Capacity (kWp)</t>
  </si>
  <si>
    <t>5 · ESTIMATED GENERATION (2.3)</t>
  </si>
  <si>
    <t>PH_065</t>
  </si>
  <si>
    <t>Gen — Type of System</t>
  </si>
  <si>
    <t>Grid-tied rooftop solar</t>
  </si>
  <si>
    <t>9</t>
  </si>
  <si>
    <t>PH_066</t>
  </si>
  <si>
    <t>Gen — Estimated Generation (kWh/year)</t>
  </si>
  <si>
    <t>PH_067</t>
  </si>
  <si>
    <t>Gen — Degradation</t>
  </si>
  <si>
    <t>2.5% Yr-1, 0.7% p.a. thereafter</t>
  </si>
  <si>
    <t>PH_068</t>
  </si>
  <si>
    <t>Gen — Guaranteed Generation (kWh/year)</t>
  </si>
  <si>
    <t>PH_069</t>
  </si>
  <si>
    <t>Gen — Plant Life (Years)</t>
  </si>
  <si>
    <t>25</t>
  </si>
  <si>
    <t>PH_070</t>
  </si>
  <si>
    <t>Gen — Irradiation (kWh/m²/yr)</t>
  </si>
  <si>
    <t>1,850</t>
  </si>
  <si>
    <t>6 · BILL OF MATERIAL (2.4) — Specifications</t>
  </si>
  <si>
    <t>PH_071</t>
  </si>
  <si>
    <t>BOM · PV Module — Type</t>
  </si>
  <si>
    <t>Monocrystalline PERC</t>
  </si>
  <si>
    <t>10-11</t>
  </si>
  <si>
    <t>PH_072</t>
  </si>
  <si>
    <t>BOM · PV Module — Make / Model</t>
  </si>
  <si>
    <t>PH_073</t>
  </si>
  <si>
    <t>BOM · PV Module — Efficiency</t>
  </si>
  <si>
    <t>21.3%</t>
  </si>
  <si>
    <t>PH_074</t>
  </si>
  <si>
    <t>BOM · Inverter — Type</t>
  </si>
  <si>
    <t>String inverter</t>
  </si>
  <si>
    <t>PH_075</t>
  </si>
  <si>
    <t>BOM · Inverter — Env. Class / Location</t>
  </si>
  <si>
    <t>IP66, outdoor</t>
  </si>
  <si>
    <t>PH_076</t>
  </si>
  <si>
    <t>BOM · Inverter — Make / Model</t>
  </si>
  <si>
    <t>PH_077</t>
  </si>
  <si>
    <t>BOM · Mounting Structure — Type</t>
  </si>
  <si>
    <t>Galvanised steel</t>
  </si>
  <si>
    <t>PH_078</t>
  </si>
  <si>
    <t>BOM · Mounting Structure — Make</t>
  </si>
  <si>
    <t>Standard GI</t>
  </si>
  <si>
    <t>PH_079</t>
  </si>
  <si>
    <t>BOM · DC Cable — Make / Size</t>
  </si>
  <si>
    <t>Polycab, 4/6 sq.mm</t>
  </si>
  <si>
    <t>PH_080</t>
  </si>
  <si>
    <t>BOM · AC Cable — Make / Size</t>
  </si>
  <si>
    <t>Polycab, as per design</t>
  </si>
  <si>
    <t>PH_081</t>
  </si>
  <si>
    <t>BOM · Cable Tray — Type / Size</t>
  </si>
  <si>
    <t>GI perforated</t>
  </si>
  <si>
    <t>PH_082</t>
  </si>
  <si>
    <t>BOM · LT Switchgear — Type/Make/Rating</t>
  </si>
  <si>
    <t>ABB/Schneider, as per design</t>
  </si>
  <si>
    <t>PH_083</t>
  </si>
  <si>
    <t>BOM · Spare Feeder — Type/Make/Rating</t>
  </si>
  <si>
    <t>As per design</t>
  </si>
  <si>
    <t>PH_084</t>
  </si>
  <si>
    <t>BOM · Energy Meter + ACCB — Make/Class</t>
  </si>
  <si>
    <t>Class 0.5S</t>
  </si>
  <si>
    <t>PH_085</t>
  </si>
  <si>
    <t>BOM · Lightning Arrestor — Type/Make</t>
  </si>
  <si>
    <t>ESE type</t>
  </si>
  <si>
    <t>PH_086</t>
  </si>
  <si>
    <t>BOM · Earthing Kit — Make/Specs</t>
  </si>
  <si>
    <t>Chemical earthing</t>
  </si>
  <si>
    <t>PH_087</t>
  </si>
  <si>
    <t>BOM · Lifeline — Make</t>
  </si>
  <si>
    <t>SS lifeline</t>
  </si>
  <si>
    <t>PH_088</t>
  </si>
  <si>
    <t>BOM · Walkways — Type/Size</t>
  </si>
  <si>
    <t>GI walkway</t>
  </si>
  <si>
    <t>PH_089</t>
  </si>
  <si>
    <t>BOM · Mesh over Skylights — Make/Specs</t>
  </si>
  <si>
    <t>GI mesh</t>
  </si>
  <si>
    <t>PH_090</t>
  </si>
  <si>
    <t>BOM · Railings over Roof — Make/Specs</t>
  </si>
  <si>
    <t>GI railing</t>
  </si>
  <si>
    <t>PH_091</t>
  </si>
  <si>
    <t>BOM · Ladder — Make/Specs</t>
  </si>
  <si>
    <t>GI cage ladder</t>
  </si>
  <si>
    <t>PH_092</t>
  </si>
  <si>
    <t>BOM · Remote Monitoring System — Make/Specs</t>
  </si>
  <si>
    <t>Solis RMS</t>
  </si>
  <si>
    <t>PH_093</t>
  </si>
  <si>
    <t>BOM · Irradiation Sensor — Make/Specs</t>
  </si>
  <si>
    <t>Pyranometer</t>
  </si>
  <si>
    <t>PH_094</t>
  </si>
  <si>
    <t>BOM · Ambient Temp. Sensor — Make/Specs</t>
  </si>
  <si>
    <t>RTD sensor</t>
  </si>
  <si>
    <t>PH_095</t>
  </si>
  <si>
    <t>BOM · Module Cleaning (Manual) — Make</t>
  </si>
  <si>
    <t>Manual cleaning kit</t>
  </si>
  <si>
    <t>PH_096</t>
  </si>
  <si>
    <t>BOM · Water Pump/Tank/Meter — Make</t>
  </si>
  <si>
    <t>As per site</t>
  </si>
  <si>
    <t>PH_097</t>
  </si>
  <si>
    <t>BOM · Net Metering Hardware — Make/Class</t>
  </si>
  <si>
    <t>Class 0.5S, ABT meter</t>
  </si>
  <si>
    <t>PH_098</t>
  </si>
  <si>
    <t>BOM · Zero Feed in Device — Make/Class</t>
  </si>
  <si>
    <t>PH_099</t>
  </si>
  <si>
    <t>BOM · DG Synchronization — Make/Class</t>
  </si>
  <si>
    <t>7 · PROJECT SCHEDULE (2.6)</t>
  </si>
  <si>
    <t>PH_100</t>
  </si>
  <si>
    <t>Schedule — Delivery &amp; Installation (months)</t>
  </si>
  <si>
    <t>4–5</t>
  </si>
  <si>
    <t>12</t>
  </si>
  <si>
    <t>8 · COMMERCIAL OFFER (3.0) — OPEX / BOOT</t>
  </si>
  <si>
    <t>PH_101</t>
  </si>
  <si>
    <t>Offtaker — Legal Name</t>
  </si>
  <si>
    <t>13</t>
  </si>
  <si>
    <t>PH_102</t>
  </si>
  <si>
    <t>Offtaker — Registered Office</t>
  </si>
  <si>
    <t>PH_103</t>
  </si>
  <si>
    <t>Contract Term (Years)</t>
  </si>
  <si>
    <t>15</t>
  </si>
  <si>
    <t>PH_104</t>
  </si>
  <si>
    <t>Lock-in Period (Years)</t>
  </si>
  <si>
    <t>9 · PROPOSED SOLAR TARIFF (3.1) — OPEX</t>
  </si>
  <si>
    <t>PH_105</t>
  </si>
  <si>
    <t>Tariff — Period</t>
  </si>
  <si>
    <t>15 years</t>
  </si>
  <si>
    <t>PH_106</t>
  </si>
  <si>
    <t>Tariff — Rate (Rs/kWh)</t>
  </si>
  <si>
    <t>PH_107</t>
  </si>
  <si>
    <t>Tariff — Type (Flat/Escalated)</t>
  </si>
  <si>
    <t>FLAT</t>
  </si>
  <si>
    <t>PH_108</t>
  </si>
  <si>
    <t>USD–INR Exchange Rate Assumption</t>
  </si>
  <si>
    <t>95.74</t>
  </si>
  <si>
    <t>10 · ESTIMATED COST SAVINGS (3.2) — OPEX</t>
  </si>
  <si>
    <t>PH_109</t>
  </si>
  <si>
    <t>Savings — Variable Grid Rate (₹/kWh)</t>
  </si>
  <si>
    <t>14</t>
  </si>
  <si>
    <t>PH_110</t>
  </si>
  <si>
    <t>Savings — Proposed Solar Tariff (₹/kWh)</t>
  </si>
  <si>
    <t>PH_111</t>
  </si>
  <si>
    <t>Savings — Landed Cost of Solar Power (₹/kWh)</t>
  </si>
  <si>
    <t>PH_112</t>
  </si>
  <si>
    <t>Savings — Per Unit Savings (₹/kWh)</t>
  </si>
  <si>
    <t>2.35</t>
  </si>
  <si>
    <t>PH_113</t>
  </si>
  <si>
    <t>Savings — Estimated Annual Generation Yr1 (kWh)</t>
  </si>
  <si>
    <t>PH_114</t>
  </si>
  <si>
    <t>Savings — 1st Yr Savings (₹)</t>
  </si>
  <si>
    <t>20,42,646</t>
  </si>
  <si>
    <t>PH_115</t>
  </si>
  <si>
    <t>Savings — Total Savings over PPA Term (₹)</t>
  </si>
  <si>
    <t>3,68,00,000</t>
  </si>
  <si>
    <t>PH_116</t>
  </si>
  <si>
    <t>Savings — Total Savings in words</t>
  </si>
  <si>
    <t>Rupees Three Crore Sixty-Eight Lakh Only</t>
  </si>
  <si>
    <t>11 · ENVIRONMENTAL IMPACT (5.0)</t>
  </si>
  <si>
    <t>PH_117</t>
  </si>
  <si>
    <t>Env · CO₂ Reduction (Tonnes/year)</t>
  </si>
  <si>
    <t>18</t>
  </si>
  <si>
    <t>12 · COVER — PROJECT SNAPSHOT (capacity uses PH_001)</t>
  </si>
  <si>
    <t>PH_118</t>
  </si>
  <si>
    <t>Cover · Est. Generation (kWh/yr)</t>
  </si>
  <si>
    <t>18.6 L</t>
  </si>
  <si>
    <t>2</t>
  </si>
  <si>
    <t>PH_119</t>
  </si>
  <si>
    <t>Cover · Consumption Replaced</t>
  </si>
  <si>
    <t>42%</t>
  </si>
  <si>
    <t>PH_120</t>
  </si>
  <si>
    <t>Cover · Estimated Savings / yr</t>
  </si>
  <si>
    <t>₹1.24 Cr</t>
  </si>
  <si>
    <t>PH_121</t>
  </si>
  <si>
    <t>Cover · CO₂ Reduction / yr</t>
  </si>
  <si>
    <t>1,480 t</t>
  </si>
  <si>
    <t>PH_122</t>
  </si>
  <si>
    <t>Cover · Project Timeline</t>
  </si>
  <si>
    <t>4 months</t>
  </si>
  <si>
    <t>PH_123</t>
  </si>
  <si>
    <t>Cover Env · Coal Saved (tons)</t>
  </si>
  <si>
    <t>1,480</t>
  </si>
  <si>
    <t>PH_124</t>
  </si>
  <si>
    <t>Cover Env · Water Savings (M litres)</t>
  </si>
  <si>
    <t>2.1</t>
  </si>
  <si>
    <t>PH_125</t>
  </si>
  <si>
    <t>Cover Env · Trees Planted</t>
  </si>
  <si>
    <t>24,300</t>
  </si>
  <si>
    <t>PH_130</t>
  </si>
  <si>
    <t>Termination Charge · Year 1 (₹/kWp)</t>
  </si>
  <si>
    <t>40,348</t>
  </si>
  <si>
    <t>16</t>
  </si>
  <si>
    <t>PH_131</t>
  </si>
  <si>
    <t>Termination Charge · Year 2 (₹/kWp)</t>
  </si>
  <si>
    <t>38,835</t>
  </si>
  <si>
    <t>PH_132</t>
  </si>
  <si>
    <t>Termination Charge · Year 3 (₹/kWp)</t>
  </si>
  <si>
    <t>37,180</t>
  </si>
  <si>
    <t>PH_133</t>
  </si>
  <si>
    <t>Termination Charge · Year 4 (₹/kWp)</t>
  </si>
  <si>
    <t>PH_134</t>
  </si>
  <si>
    <t>Termination Charge · Year 5 (₹/kWp)</t>
  </si>
  <si>
    <t>PH_135</t>
  </si>
  <si>
    <t>Termination Charge · Year 6 (₹/kWp)</t>
  </si>
  <si>
    <t>PH_136</t>
  </si>
  <si>
    <t>Termination Charge · Year 7 (₹/kWp)</t>
  </si>
  <si>
    <t>PH_137</t>
  </si>
  <si>
    <t>Termination Charge · Year 8 (₹/kWp)</t>
  </si>
  <si>
    <t>PH_138</t>
  </si>
  <si>
    <t>Termination Charge · Year 9 (₹/kWp)</t>
  </si>
  <si>
    <t>PH_139</t>
  </si>
  <si>
    <t>Termination Charge · Year 10 (₹/kWp)</t>
  </si>
  <si>
    <t>PH_140</t>
  </si>
  <si>
    <t>Termination Charge · Year 11 (₹/kWp)</t>
  </si>
  <si>
    <t>PH_141</t>
  </si>
  <si>
    <t>Termination Charge · Year 12 (₹/kWp)</t>
  </si>
  <si>
    <t>PH_142</t>
  </si>
  <si>
    <t>Termination Charge · Year 13 (₹/kWp)</t>
  </si>
  <si>
    <t>PH_143</t>
  </si>
  <si>
    <t>Termination Charge · Year 14 (₹/kWp)</t>
  </si>
  <si>
    <t>PH_144</t>
  </si>
  <si>
    <t>Termination Charge · Year 15 (₹/kWp)</t>
  </si>
  <si>
    <t>0</t>
  </si>
  <si>
    <t>PH_145</t>
  </si>
  <si>
    <t>Termination Charge · Year 16 (₹/kWp)</t>
  </si>
  <si>
    <t>PH_146</t>
  </si>
  <si>
    <t>Termination Charge · Year 17 (₹/kWp)</t>
  </si>
  <si>
    <t>PH_147</t>
  </si>
  <si>
    <t>Termination Charge · Year 18 (₹/kWp)</t>
  </si>
  <si>
    <t>PH_148</t>
  </si>
  <si>
    <t>Termination Charge · Year 19 (₹/kWp)</t>
  </si>
  <si>
    <t>PH_149</t>
  </si>
  <si>
    <t>Termination Charge · Year 20 (₹/kWp)</t>
  </si>
  <si>
    <t>PH_150</t>
  </si>
  <si>
    <t>Termination Charge · Year 21 (₹/kWp)</t>
  </si>
  <si>
    <t>PH_151</t>
  </si>
  <si>
    <t>Termination Charge · Year 22 (₹/kWp)</t>
  </si>
  <si>
    <t>PH_152</t>
  </si>
  <si>
    <t>Termination Charge · Year 23 (₹/kWp)</t>
  </si>
  <si>
    <t>PH_153</t>
  </si>
  <si>
    <t>Termination Charge · Year 24 (₹/kWp)</t>
  </si>
  <si>
    <t>PH_154</t>
  </si>
  <si>
    <t>Termination Charge · Year 25 (₹/kWp)</t>
  </si>
  <si>
    <t>15 · ENVIRONMENTAL IMPACT PAGE (5.0 — 2x2 grid on image)</t>
  </si>
  <si>
    <t>PH_126</t>
  </si>
  <si>
    <t>Env Page · Coal Conserved (top-left)</t>
  </si>
  <si>
    <t>4,141</t>
  </si>
  <si>
    <t>PH_127</t>
  </si>
  <si>
    <t>Env Page · Trees Planted (top-right)</t>
  </si>
  <si>
    <t>PH_128</t>
  </si>
  <si>
    <t>Env Page · Water Saved (bottom-left)</t>
  </si>
  <si>
    <t>321</t>
  </si>
  <si>
    <t>PH_129</t>
  </si>
  <si>
    <t>Env Page · CO₂ Emission Reduced (bottom-right)</t>
  </si>
  <si>
    <t>32,100</t>
  </si>
  <si>
    <t>Environmental Impact Cumulative Impact</t>
  </si>
  <si>
    <t>Emmission Data (kg/kWh) consumed / emmitted</t>
  </si>
  <si>
    <t>Coal*</t>
  </si>
  <si>
    <t>kg/kWh</t>
  </si>
  <si>
    <t>Cox*</t>
  </si>
  <si>
    <t>Sox**</t>
  </si>
  <si>
    <t>Nox**</t>
  </si>
  <si>
    <t>Water***</t>
  </si>
  <si>
    <t>L/kWh</t>
  </si>
  <si>
    <t>CO2 absorption by trees****</t>
  </si>
  <si>
    <t>kgs / tree year</t>
  </si>
  <si>
    <t>Total Capacity Installed</t>
  </si>
  <si>
    <t>KWp</t>
  </si>
  <si>
    <t>P50 Value - KWH/kWp per day</t>
  </si>
  <si>
    <t>KWH/kWp per day</t>
  </si>
  <si>
    <t>Estimated Generation</t>
  </si>
  <si>
    <t>KWH</t>
  </si>
  <si>
    <t>Average CUF</t>
  </si>
  <si>
    <t>%</t>
  </si>
  <si>
    <t>Average reduction when compared to a coal powered plant (Tons / Year)</t>
  </si>
  <si>
    <t>System</t>
  </si>
  <si>
    <t>Coal</t>
  </si>
  <si>
    <t>Sulphur oxides</t>
  </si>
  <si>
    <t>Nitrogen oxides</t>
  </si>
  <si>
    <t>Carbon oxides</t>
  </si>
  <si>
    <t>Water (Litres)</t>
  </si>
  <si>
    <t>Option</t>
  </si>
  <si>
    <t>Carbon offset expressed as number of mature trees planted</t>
  </si>
  <si>
    <t xml:space="preserve">*https://www.eia.gov
</t>
  </si>
  <si>
    <t>**https://www3.epa.gov/ttnchie1/conference/ei20/session5/mmittal.pdf</t>
  </si>
  <si>
    <t>***http://breakingenergy.com/2014/03/24/infographic-water-used-by-power-plants/</t>
  </si>
  <si>
    <t>****http://www.arborenvironmentalalliance.com/carbon-tree-facts.asp</t>
  </si>
  <si>
    <t>Distributed Opex Portfolio - Buyout values</t>
  </si>
  <si>
    <t>Input data</t>
  </si>
  <si>
    <t>Project Life</t>
  </si>
  <si>
    <t>Other Standard assumptions - not to be changed</t>
  </si>
  <si>
    <t>Debt assumptions</t>
  </si>
  <si>
    <t>SD / Group Captive Contribution (INR/ Mwp)</t>
  </si>
  <si>
    <t>PR Ratio</t>
  </si>
  <si>
    <t>Loan amount</t>
  </si>
  <si>
    <t>Tariff (Generation busbar) (INR/kwh)</t>
  </si>
  <si>
    <t>Degradation</t>
  </si>
  <si>
    <t>Interest rate</t>
  </si>
  <si>
    <t>Escalation</t>
  </si>
  <si>
    <t>Bad debts</t>
  </si>
  <si>
    <t>Tenor</t>
  </si>
  <si>
    <t>Generation Yield Year 1</t>
  </si>
  <si>
    <t>Insurance cost</t>
  </si>
  <si>
    <t>Irradiation Year 1</t>
  </si>
  <si>
    <t>Tax Rate</t>
  </si>
  <si>
    <t>Type of project</t>
  </si>
  <si>
    <t>Capacity</t>
  </si>
  <si>
    <t>Cost</t>
  </si>
  <si>
    <t xml:space="preserve">IT on sale </t>
  </si>
  <si>
    <t>Small</t>
  </si>
  <si>
    <t>&lt;250kwp</t>
  </si>
  <si>
    <t>Capacity (kWp)</t>
  </si>
  <si>
    <t>Depreciation as co. act</t>
  </si>
  <si>
    <t>Medium</t>
  </si>
  <si>
    <t>250kwp-1MWp</t>
  </si>
  <si>
    <t>EPC and Infra (Rs./Wp)</t>
  </si>
  <si>
    <t>Depreciation as per IT Act</t>
  </si>
  <si>
    <t>Large</t>
  </si>
  <si>
    <t>&gt;1MWp</t>
  </si>
  <si>
    <t>Land cost</t>
  </si>
  <si>
    <t>Additional Depreciation</t>
  </si>
  <si>
    <t>GST @8.9% (Rs./Wp)</t>
  </si>
  <si>
    <t>O&amp;M</t>
  </si>
  <si>
    <t>Total EPC/Wp (DC)</t>
  </si>
  <si>
    <t>Base* (Rs/kWp/annum)</t>
  </si>
  <si>
    <t>Financing cost</t>
  </si>
  <si>
    <t>Escalation (% p.a.)</t>
  </si>
  <si>
    <t>Total Project cost/Wp (DC)</t>
  </si>
  <si>
    <t>Project ROI</t>
  </si>
  <si>
    <t>Total cost</t>
  </si>
  <si>
    <t>PROJECT CASHFLOWS</t>
  </si>
  <si>
    <t>Debt</t>
  </si>
  <si>
    <t>Year</t>
  </si>
  <si>
    <t>Generation</t>
  </si>
  <si>
    <t>Tenure Check</t>
  </si>
  <si>
    <t>Tariff</t>
  </si>
  <si>
    <t>Revenues</t>
  </si>
  <si>
    <t xml:space="preserve">O&amp;M Expenses </t>
  </si>
  <si>
    <t>Insurance</t>
  </si>
  <si>
    <t>Equipment change</t>
  </si>
  <si>
    <t>EBITDA</t>
  </si>
  <si>
    <t>Tax</t>
  </si>
  <si>
    <t>Cashflow</t>
  </si>
  <si>
    <t>Opening Bal</t>
  </si>
  <si>
    <t>Capital Cost</t>
  </si>
  <si>
    <t>Closing balance</t>
  </si>
  <si>
    <t>IT on Sale</t>
  </si>
  <si>
    <t>Sale Value</t>
  </si>
  <si>
    <t>Termination value/ kWp (end year)</t>
  </si>
  <si>
    <t>Net income as per IT Act</t>
  </si>
  <si>
    <t>Cummulative losses</t>
  </si>
  <si>
    <t>Tax as per IT</t>
  </si>
  <si>
    <t>Opening Balance (INR)</t>
  </si>
  <si>
    <t>Depreciation (Cos Act)</t>
  </si>
  <si>
    <t>Closing Balance</t>
  </si>
  <si>
    <t>Opening balance - book value</t>
  </si>
  <si>
    <t>Depreciation (IT Act)</t>
  </si>
  <si>
    <t>Closing Balance - book value</t>
  </si>
  <si>
    <t>Opening balance</t>
  </si>
  <si>
    <t>Interest</t>
  </si>
  <si>
    <t>EMI</t>
  </si>
  <si>
    <t>Lock In Period</t>
  </si>
  <si>
    <t>Grid Tied - Net Metering</t>
  </si>
  <si>
    <t>L&amp;T TLT Galvanizing plant</t>
  </si>
  <si>
    <t>Neervalur, Tamil Nadu</t>
  </si>
  <si>
    <t>Renewsys 585+ Wp</t>
  </si>
  <si>
    <t>Carl Aaron | carl.aaron@fourthpartner.co | +91- 9551062519</t>
  </si>
  <si>
    <t>999 kWp</t>
  </si>
  <si>
    <t>Required from Annual Consumption</t>
  </si>
  <si>
    <t>BAY 1+2</t>
  </si>
  <si>
    <t>5°</t>
  </si>
  <si>
    <t>-</t>
  </si>
  <si>
    <t>Rupees Two Crore Seventy Six Lakh Twenty Six Thousand Three Hundred Twenty Four.</t>
  </si>
  <si>
    <t>14 · TERMINATION CHARGES (3.4) — UPDATE THE BUYOUT SHEET</t>
  </si>
  <si>
    <t>13 · COVER — ENVIRONMENTAL IMPACT CARDS - UPDATE THE YIELD IN ENVIRONMENTAL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</si>
</sst>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\-??_ ;_ @_ "/>
    <numFmt numFmtId="165" formatCode="_ * #,##0_ ;_ * \-#,##0_ ;_ * \-??_ ;_ @_ "/>
    <numFmt numFmtId="166" formatCode="_ * #,##0_ ;_ * \-#,##0_ ;_ * \-?_ ;_ @_ "/>
    <numFmt numFmtId="167" formatCode="0.000"/>
    <numFmt numFmtId="168" formatCode="_ * #,##0.00000_ ;_ * \-#,##0.00000_ ;_ * \-??_ ;_ @_ "/>
    <numFmt numFmtId="169" formatCode="0.0000"/>
    <numFmt numFmtId="170" formatCode="0.0%"/>
    <numFmt numFmtId="171" formatCode="dd/mmm/yyyy"/>
    <numFmt numFmtId="172" formatCode="_ * #,##0.0_ ;_ * \-#,##0.0_ ;_ * \-??_ ;_ @_ 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7F7F7F"/>
      <name val="Arial"/>
      <family val="2"/>
    </font>
    <font>
      <b/>
      <sz val="10"/>
      <color rgb="FF1F3864"/>
      <name val="Arial"/>
      <family val="2"/>
    </font>
    <font>
      <sz val="11"/>
      <name val="Calibri"/>
      <family val="2"/>
    </font>
    <font>
      <sz val="10"/>
      <color rgb="FF808080"/>
      <name val="Arial"/>
      <family val="2"/>
    </font>
    <font>
      <sz val="8"/>
      <color theme="1"/>
      <name val="Arial"/>
      <family val="2"/>
      <charset val="1"/>
    </font>
    <font>
      <sz val="9"/>
      <color rgb="FF808080"/>
      <name val="Arial"/>
      <family val="2"/>
    </font>
    <font>
      <sz val="8"/>
      <color rgb="FFB0B0B0"/>
      <name val="Arial"/>
      <family val="2"/>
      <charset val="1"/>
    </font>
    <font>
      <sz val="11"/>
      <name val="Calibri"/>
      <family val="2"/>
      <charset val="1"/>
    </font>
    <font>
      <sz val="8"/>
      <color rgb="FFB0B0B0"/>
      <name val="Arial"/>
      <family val="2"/>
    </font>
    <font>
      <sz val="11"/>
      <color theme="1"/>
      <name val="Book Antiqua"/>
      <family val="1"/>
      <charset val="1"/>
    </font>
    <font>
      <b/>
      <sz val="12"/>
      <color theme="1"/>
      <name val="Book Antiqua"/>
      <family val="1"/>
      <charset val="1"/>
    </font>
    <font>
      <b/>
      <sz val="11"/>
      <color theme="1"/>
      <name val="Book Antiqua"/>
      <family val="1"/>
      <charset val="1"/>
    </font>
    <font>
      <i/>
      <sz val="11"/>
      <color theme="1"/>
      <name val="Book Antiqua"/>
      <family val="1"/>
      <charset val="1"/>
    </font>
    <font>
      <sz val="10"/>
      <color rgb="FF000000"/>
      <name val="Book Antiqua"/>
      <family val="1"/>
      <charset val="1"/>
    </font>
    <font>
      <sz val="10"/>
      <color theme="1"/>
      <name val="Book Antiqua"/>
      <family val="1"/>
      <charset val="1"/>
    </font>
    <font>
      <b/>
      <sz val="11"/>
      <color rgb="FFFF0000"/>
      <name val="Book Antiqua"/>
      <family val="1"/>
      <charset val="1"/>
    </font>
    <font>
      <b/>
      <sz val="10"/>
      <color theme="1"/>
      <name val="Book Antiqua"/>
      <family val="1"/>
      <charset val="1"/>
    </font>
    <font>
      <b/>
      <sz val="10"/>
      <color rgb="FF000000"/>
      <name val="Book Antiqua"/>
      <family val="1"/>
      <charset val="1"/>
    </font>
    <font>
      <b/>
      <sz val="10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sz val="10"/>
      <name val="Century Gothic"/>
      <family val="2"/>
      <charset val="1"/>
    </font>
    <font>
      <b/>
      <sz val="11"/>
      <color rgb="FF000000"/>
      <name val="Aptos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5F"/>
        <bgColor rgb="FF1F3864"/>
      </patternFill>
    </fill>
    <fill>
      <patternFill patternType="solid">
        <fgColor rgb="FFE08A2B"/>
        <bgColor rgb="FFF79646"/>
      </patternFill>
    </fill>
    <fill>
      <patternFill patternType="solid">
        <fgColor rgb="FFF2F2F2"/>
        <bgColor rgb="FFFFFCE0"/>
      </patternFill>
    </fill>
    <fill>
      <patternFill patternType="solid">
        <fgColor rgb="FFFBE4E4"/>
        <bgColor rgb="FFFAE2D5"/>
      </patternFill>
    </fill>
    <fill>
      <patternFill patternType="solid">
        <fgColor rgb="FFFFFCE0"/>
        <bgColor rgb="FFFFFFFF"/>
      </patternFill>
    </fill>
    <fill>
      <patternFill patternType="solid">
        <fgColor theme="9"/>
        <bgColor rgb="FFE08A2B"/>
      </patternFill>
    </fill>
    <fill>
      <patternFill patternType="solid">
        <fgColor rgb="FFDCE9F5"/>
        <bgColor rgb="FFF2F2F2"/>
      </patternFill>
    </fill>
    <fill>
      <patternFill patternType="solid">
        <fgColor rgb="FF92D050"/>
        <bgColor rgb="FFB0B0B0"/>
      </patternFill>
    </fill>
    <fill>
      <patternFill patternType="solid">
        <fgColor theme="4" tint="0.59987182226020086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CE0"/>
      </patternFill>
    </fill>
    <fill>
      <patternFill patternType="solid">
        <fgColor theme="5" tint="0.59987182226020086"/>
        <bgColor rgb="FFF8CBAD"/>
      </patternFill>
    </fill>
    <fill>
      <patternFill patternType="solid">
        <fgColor rgb="FFFAE2D5"/>
        <bgColor rgb="FFFBE4E4"/>
      </patternFill>
    </fill>
    <fill>
      <patternFill patternType="solid">
        <fgColor rgb="FFF8CBAD"/>
        <bgColor rgb="FFE6B9B8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rgb="FFFF0000"/>
        <bgColor rgb="FF1F38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164" fontId="27" fillId="0" borderId="0"/>
    <xf numFmtId="9" fontId="27" fillId="0" borderId="0"/>
    <xf numFmtId="164" fontId="27" fillId="0" borderId="0"/>
    <xf numFmtId="164" fontId="27" fillId="0" borderId="0"/>
    <xf numFmtId="0" fontId="27" fillId="0" borderId="0"/>
    <xf numFmtId="9" fontId="27" fillId="0" borderId="0"/>
  </cellStyleXfs>
  <cellXfs count="1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9" fontId="6" fillId="6" borderId="1" xfId="0" applyNumberFormat="1" applyFont="1" applyFill="1" applyBorder="1" applyAlignment="1">
      <alignment vertical="center"/>
    </xf>
    <xf numFmtId="3" fontId="6" fillId="6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66" fontId="6" fillId="6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3" fillId="0" borderId="2" xfId="0" applyFont="1" applyBorder="1" applyAlignment="1">
      <alignment vertical="center"/>
    </xf>
    <xf numFmtId="167" fontId="13" fillId="0" borderId="2" xfId="0" applyNumberFormat="1" applyFont="1" applyBorder="1" applyAlignment="1">
      <alignment vertical="center"/>
    </xf>
    <xf numFmtId="168" fontId="27" fillId="0" borderId="0" xfId="1" applyNumberFormat="1" applyAlignment="1">
      <alignment vertical="center"/>
    </xf>
    <xf numFmtId="10" fontId="27" fillId="0" borderId="0" xfId="2" applyNumberFormat="1" applyAlignment="1">
      <alignment vertical="center"/>
    </xf>
    <xf numFmtId="165" fontId="0" fillId="0" borderId="0" xfId="0" applyNumberFormat="1" applyAlignment="1">
      <alignment vertical="center"/>
    </xf>
    <xf numFmtId="9" fontId="27" fillId="0" borderId="0" xfId="2" applyAlignment="1">
      <alignment vertical="center"/>
    </xf>
    <xf numFmtId="165" fontId="13" fillId="0" borderId="0" xfId="1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3" fillId="11" borderId="2" xfId="1" applyFont="1" applyFill="1" applyBorder="1" applyAlignment="1">
      <alignment vertical="center"/>
    </xf>
    <xf numFmtId="0" fontId="13" fillId="11" borderId="2" xfId="1" applyNumberFormat="1" applyFont="1" applyFill="1" applyBorder="1" applyAlignment="1">
      <alignment vertical="center"/>
    </xf>
    <xf numFmtId="165" fontId="13" fillId="0" borderId="2" xfId="1" applyNumberFormat="1" applyFont="1" applyBorder="1" applyAlignment="1">
      <alignment vertical="center"/>
    </xf>
    <xf numFmtId="10" fontId="13" fillId="0" borderId="2" xfId="2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65" fontId="13" fillId="0" borderId="2" xfId="1" applyNumberFormat="1" applyFont="1" applyBorder="1" applyAlignment="1">
      <alignment horizontal="center" vertical="center"/>
    </xf>
    <xf numFmtId="165" fontId="15" fillId="0" borderId="2" xfId="1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16" fillId="0" borderId="0" xfId="0" applyFont="1" applyAlignment="1">
      <alignment vertical="center"/>
    </xf>
    <xf numFmtId="164" fontId="0" fillId="0" borderId="0" xfId="0" applyNumberFormat="1"/>
    <xf numFmtId="0" fontId="13" fillId="0" borderId="0" xfId="0" applyFont="1"/>
    <xf numFmtId="0" fontId="13" fillId="12" borderId="0" xfId="0" applyFont="1" applyFill="1"/>
    <xf numFmtId="0" fontId="15" fillId="0" borderId="5" xfId="0" applyFont="1" applyBorder="1" applyAlignment="1">
      <alignment horizontal="center"/>
    </xf>
    <xf numFmtId="0" fontId="15" fillId="12" borderId="5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8" fillId="11" borderId="8" xfId="0" applyFont="1" applyFill="1" applyBorder="1" applyAlignment="1">
      <alignment horizontal="right"/>
    </xf>
    <xf numFmtId="0" fontId="19" fillId="0" borderId="0" xfId="0" applyFont="1"/>
    <xf numFmtId="0" fontId="15" fillId="0" borderId="0" xfId="0" applyFont="1"/>
    <xf numFmtId="165" fontId="18" fillId="0" borderId="10" xfId="4" applyNumberFormat="1" applyFont="1" applyBorder="1"/>
    <xf numFmtId="0" fontId="13" fillId="0" borderId="2" xfId="0" applyFont="1" applyBorder="1"/>
    <xf numFmtId="9" fontId="13" fillId="0" borderId="2" xfId="0" applyNumberFormat="1" applyFont="1" applyBorder="1"/>
    <xf numFmtId="0" fontId="21" fillId="0" borderId="0" xfId="0" applyFont="1" applyAlignment="1">
      <alignment horizontal="right" vertical="center"/>
    </xf>
    <xf numFmtId="164" fontId="17" fillId="11" borderId="10" xfId="0" applyNumberFormat="1" applyFont="1" applyFill="1" applyBorder="1" applyAlignment="1">
      <alignment horizontal="right" vertical="center"/>
    </xf>
    <xf numFmtId="10" fontId="13" fillId="0" borderId="2" xfId="0" applyNumberFormat="1" applyFont="1" applyBorder="1"/>
    <xf numFmtId="0" fontId="17" fillId="0" borderId="0" xfId="0" applyFont="1" applyAlignment="1">
      <alignment horizontal="right" vertical="center"/>
    </xf>
    <xf numFmtId="9" fontId="13" fillId="0" borderId="10" xfId="0" applyNumberFormat="1" applyFont="1" applyBorder="1"/>
    <xf numFmtId="164" fontId="17" fillId="0" borderId="0" xfId="0" applyNumberFormat="1" applyFont="1" applyAlignment="1">
      <alignment horizontal="right" vertical="center"/>
    </xf>
    <xf numFmtId="164" fontId="13" fillId="11" borderId="10" xfId="4" applyFont="1" applyFill="1" applyBorder="1"/>
    <xf numFmtId="0" fontId="18" fillId="0" borderId="0" xfId="0" applyFont="1"/>
    <xf numFmtId="164" fontId="17" fillId="0" borderId="0" xfId="0" applyNumberFormat="1" applyFont="1" applyAlignment="1">
      <alignment vertical="center"/>
    </xf>
    <xf numFmtId="165" fontId="15" fillId="0" borderId="12" xfId="0" applyNumberFormat="1" applyFont="1" applyBorder="1"/>
    <xf numFmtId="0" fontId="13" fillId="0" borderId="13" xfId="0" applyFont="1" applyBorder="1"/>
    <xf numFmtId="10" fontId="13" fillId="0" borderId="2" xfId="6" applyNumberFormat="1" applyFont="1" applyBorder="1"/>
    <xf numFmtId="0" fontId="22" fillId="0" borderId="2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164" fontId="13" fillId="0" borderId="0" xfId="0" applyNumberFormat="1" applyFont="1"/>
    <xf numFmtId="164" fontId="13" fillId="0" borderId="17" xfId="4" applyFont="1" applyBorder="1"/>
    <xf numFmtId="0" fontId="13" fillId="0" borderId="13" xfId="0" applyFont="1" applyBorder="1" applyAlignment="1">
      <alignment wrapText="1"/>
    </xf>
    <xf numFmtId="9" fontId="13" fillId="0" borderId="0" xfId="0" applyNumberFormat="1" applyFont="1"/>
    <xf numFmtId="164" fontId="13" fillId="0" borderId="17" xfId="0" applyNumberFormat="1" applyFont="1" applyBorder="1"/>
    <xf numFmtId="2" fontId="13" fillId="0" borderId="0" xfId="0" applyNumberFormat="1" applyFont="1"/>
    <xf numFmtId="169" fontId="13" fillId="0" borderId="0" xfId="0" applyNumberFormat="1" applyFont="1"/>
    <xf numFmtId="164" fontId="15" fillId="11" borderId="17" xfId="0" applyNumberFormat="1" applyFont="1" applyFill="1" applyBorder="1"/>
    <xf numFmtId="0" fontId="23" fillId="0" borderId="0" xfId="0" applyFont="1" applyAlignment="1">
      <alignment horizontal="center" vertical="top" wrapText="1"/>
    </xf>
    <xf numFmtId="165" fontId="24" fillId="0" borderId="2" xfId="4" applyNumberFormat="1" applyFont="1" applyBorder="1" applyAlignment="1">
      <alignment vertical="top" wrapText="1"/>
    </xf>
    <xf numFmtId="9" fontId="24" fillId="0" borderId="2" xfId="0" applyNumberFormat="1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170" fontId="18" fillId="0" borderId="18" xfId="6" applyNumberFormat="1" applyFont="1" applyBorder="1"/>
    <xf numFmtId="165" fontId="15" fillId="0" borderId="20" xfId="4" applyNumberFormat="1" applyFont="1" applyBorder="1"/>
    <xf numFmtId="165" fontId="13" fillId="0" borderId="0" xfId="0" applyNumberFormat="1" applyFont="1"/>
    <xf numFmtId="0" fontId="15" fillId="0" borderId="21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22" fillId="12" borderId="2" xfId="5" applyFont="1" applyFill="1" applyBorder="1" applyAlignment="1">
      <alignment horizontal="right" wrapText="1"/>
    </xf>
    <xf numFmtId="165" fontId="13" fillId="0" borderId="2" xfId="0" applyNumberFormat="1" applyFont="1" applyBorder="1"/>
    <xf numFmtId="165" fontId="13" fillId="12" borderId="2" xfId="0" applyNumberFormat="1" applyFont="1" applyFill="1" applyBorder="1"/>
    <xf numFmtId="165" fontId="13" fillId="0" borderId="23" xfId="0" applyNumberFormat="1" applyFont="1" applyBorder="1"/>
    <xf numFmtId="0" fontId="13" fillId="0" borderId="23" xfId="0" applyFont="1" applyBorder="1"/>
    <xf numFmtId="165" fontId="23" fillId="0" borderId="2" xfId="4" applyNumberFormat="1" applyFont="1" applyBorder="1" applyAlignment="1">
      <alignment vertical="top" wrapText="1"/>
    </xf>
    <xf numFmtId="165" fontId="23" fillId="0" borderId="2" xfId="0" applyNumberFormat="1" applyFont="1" applyBorder="1" applyAlignment="1">
      <alignment vertical="top" wrapText="1"/>
    </xf>
    <xf numFmtId="170" fontId="13" fillId="0" borderId="2" xfId="0" applyNumberFormat="1" applyFont="1" applyBorder="1"/>
    <xf numFmtId="165" fontId="13" fillId="0" borderId="2" xfId="4" applyNumberFormat="1" applyFont="1" applyBorder="1"/>
    <xf numFmtId="164" fontId="13" fillId="0" borderId="2" xfId="4" applyFont="1" applyBorder="1"/>
    <xf numFmtId="165" fontId="23" fillId="13" borderId="2" xfId="4" applyNumberFormat="1" applyFont="1" applyFill="1" applyBorder="1"/>
    <xf numFmtId="165" fontId="13" fillId="0" borderId="0" xfId="4" applyNumberFormat="1" applyFont="1"/>
    <xf numFmtId="170" fontId="13" fillId="0" borderId="2" xfId="6" applyNumberFormat="1" applyFont="1" applyBorder="1"/>
    <xf numFmtId="165" fontId="23" fillId="12" borderId="2" xfId="4" applyNumberFormat="1" applyFont="1" applyFill="1" applyBorder="1"/>
    <xf numFmtId="164" fontId="13" fillId="0" borderId="0" xfId="4" applyFont="1"/>
    <xf numFmtId="0" fontId="25" fillId="0" borderId="2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0" fillId="12" borderId="0" xfId="0" applyFill="1"/>
    <xf numFmtId="0" fontId="25" fillId="14" borderId="25" xfId="0" applyFont="1" applyFill="1" applyBorder="1" applyAlignment="1">
      <alignment horizontal="center" vertical="center"/>
    </xf>
    <xf numFmtId="3" fontId="25" fillId="15" borderId="26" xfId="0" applyNumberFormat="1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3" fontId="25" fillId="12" borderId="26" xfId="0" applyNumberFormat="1" applyFont="1" applyFill="1" applyBorder="1" applyAlignment="1">
      <alignment horizontal="center" vertical="center"/>
    </xf>
    <xf numFmtId="1" fontId="13" fillId="12" borderId="0" xfId="0" applyNumberFormat="1" applyFont="1" applyFill="1"/>
    <xf numFmtId="171" fontId="6" fillId="6" borderId="1" xfId="0" applyNumberFormat="1" applyFont="1" applyFill="1" applyBorder="1" applyAlignment="1">
      <alignment vertical="center"/>
    </xf>
    <xf numFmtId="0" fontId="28" fillId="6" borderId="1" xfId="0" applyFont="1" applyFill="1" applyBorder="1" applyAlignment="1">
      <alignment vertical="center"/>
    </xf>
    <xf numFmtId="164" fontId="13" fillId="16" borderId="15" xfId="4" applyFont="1" applyFill="1" applyBorder="1"/>
    <xf numFmtId="10" fontId="6" fillId="6" borderId="1" xfId="0" applyNumberFormat="1" applyFont="1" applyFill="1" applyBorder="1" applyAlignment="1">
      <alignment vertical="center"/>
    </xf>
    <xf numFmtId="0" fontId="5" fillId="17" borderId="1" xfId="0" applyFont="1" applyFill="1" applyBorder="1" applyAlignment="1">
      <alignment vertical="center" wrapText="1"/>
    </xf>
    <xf numFmtId="172" fontId="6" fillId="6" borderId="1" xfId="0" applyNumberFormat="1" applyFont="1" applyFill="1" applyBorder="1" applyAlignment="1">
      <alignment vertical="center"/>
    </xf>
    <xf numFmtId="0" fontId="3" fillId="1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top" wrapText="1"/>
    </xf>
    <xf numFmtId="0" fontId="15" fillId="0" borderId="22" xfId="0" applyFont="1" applyBorder="1" applyAlignment="1">
      <alignment horizontal="center"/>
    </xf>
    <xf numFmtId="0" fontId="26" fillId="12" borderId="24" xfId="0" applyFont="1" applyFill="1" applyBorder="1" applyAlignment="1">
      <alignment horizontal="center" textRotation="90"/>
    </xf>
    <xf numFmtId="0" fontId="13" fillId="0" borderId="16" xfId="0" applyFont="1" applyBorder="1"/>
    <xf numFmtId="0" fontId="15" fillId="0" borderId="16" xfId="0" applyFont="1" applyBorder="1"/>
    <xf numFmtId="0" fontId="15" fillId="0" borderId="19" xfId="0" applyFont="1" applyBorder="1"/>
    <xf numFmtId="0" fontId="15" fillId="0" borderId="9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3" fillId="0" borderId="14" xfId="0" applyFont="1" applyBorder="1"/>
    <xf numFmtId="0" fontId="15" fillId="0" borderId="4" xfId="0" applyFont="1" applyBorder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8" fillId="0" borderId="9" xfId="0" applyFont="1" applyBorder="1" applyAlignment="1">
      <alignment horizontal="left" wrapText="1"/>
    </xf>
    <xf numFmtId="0" fontId="13" fillId="0" borderId="9" xfId="0" applyFont="1" applyBorder="1" applyAlignment="1">
      <alignment wrapText="1"/>
    </xf>
  </cellXfs>
  <cellStyles count="7">
    <cellStyle name="Comma" xfId="1" builtinId="3"/>
    <cellStyle name="Comma 2 4 2" xfId="3" xr:uid="{00000000-0005-0000-0000-000006000000}"/>
    <cellStyle name="Comma 2 4 2 2" xfId="4" xr:uid="{00000000-0005-0000-0000-000007000000}"/>
    <cellStyle name="Normal" xfId="0" builtinId="0"/>
    <cellStyle name="Normal 8 3 2 2" xfId="5" xr:uid="{00000000-0005-0000-0000-000008000000}"/>
    <cellStyle name="Percent" xfId="2" builtinId="5"/>
    <cellStyle name="Percent 2" xfId="6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CE0"/>
      <rgbColor rgb="FFDCE9F5"/>
      <rgbColor rgb="FF660066"/>
      <rgbColor rgb="FFE08A2B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AE2D5"/>
      <rgbColor rgb="FFFBE4E4"/>
      <rgbColor rgb="FFE6B9B8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1F4E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showGridLines="0" tabSelected="1" zoomScaleNormal="100" workbookViewId="0">
      <pane ySplit="3" topLeftCell="A119" activePane="bottomLeft" state="frozen"/>
      <selection pane="bottomLeft" activeCell="A138" sqref="A1:F172"/>
    </sheetView>
  </sheetViews>
  <sheetFormatPr defaultColWidth="8.6640625" defaultRowHeight="14.4" x14ac:dyDescent="0.3"/>
  <cols>
    <col min="1" max="1" width="9" customWidth="1"/>
    <col min="2" max="2" width="51.88671875" customWidth="1"/>
    <col min="3" max="3" width="36.33203125" customWidth="1"/>
    <col min="4" max="4" width="44" customWidth="1"/>
    <col min="5" max="5" width="27.6640625" customWidth="1"/>
    <col min="6" max="6" width="10" customWidth="1"/>
  </cols>
  <sheetData>
    <row r="1" spans="1:6" ht="24" customHeight="1" x14ac:dyDescent="0.3">
      <c r="A1" s="119" t="s">
        <v>0</v>
      </c>
      <c r="B1" s="119"/>
      <c r="C1" s="119"/>
      <c r="D1" s="119"/>
      <c r="E1" s="119"/>
      <c r="F1" s="119"/>
    </row>
    <row r="2" spans="1:6" ht="18" customHeight="1" x14ac:dyDescent="0.3">
      <c r="A2" s="120" t="s">
        <v>1</v>
      </c>
      <c r="B2" s="120"/>
      <c r="C2" s="120"/>
      <c r="D2" s="120"/>
      <c r="E2" s="120"/>
      <c r="F2" s="120"/>
    </row>
    <row r="3" spans="1:6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.75" customHeight="1" x14ac:dyDescent="0.3">
      <c r="A4" s="118" t="s">
        <v>8</v>
      </c>
      <c r="B4" s="118"/>
      <c r="C4" s="118"/>
      <c r="D4" s="118"/>
      <c r="E4" s="118"/>
      <c r="F4" s="118"/>
    </row>
    <row r="5" spans="1:6" x14ac:dyDescent="0.3">
      <c r="A5" s="2" t="s">
        <v>9</v>
      </c>
      <c r="B5" s="3" t="s">
        <v>10</v>
      </c>
      <c r="C5" s="4">
        <v>499.59</v>
      </c>
      <c r="D5" s="5" t="s">
        <v>11</v>
      </c>
      <c r="E5" s="6" t="s">
        <v>12</v>
      </c>
      <c r="F5" s="7" t="s">
        <v>13</v>
      </c>
    </row>
    <row r="6" spans="1:6" x14ac:dyDescent="0.3">
      <c r="A6" s="2" t="s">
        <v>14</v>
      </c>
      <c r="B6" s="3" t="s">
        <v>15</v>
      </c>
      <c r="C6" s="4" t="s">
        <v>16</v>
      </c>
      <c r="D6" s="5" t="s">
        <v>17</v>
      </c>
      <c r="E6" s="6" t="s">
        <v>12</v>
      </c>
      <c r="F6" s="7" t="s">
        <v>18</v>
      </c>
    </row>
    <row r="7" spans="1:6" x14ac:dyDescent="0.3">
      <c r="A7" s="2" t="s">
        <v>19</v>
      </c>
      <c r="B7" s="3" t="s">
        <v>20</v>
      </c>
      <c r="C7" s="8">
        <v>687222</v>
      </c>
      <c r="D7" s="5" t="s">
        <v>21</v>
      </c>
      <c r="E7" s="6" t="s">
        <v>12</v>
      </c>
      <c r="F7" s="7" t="s">
        <v>22</v>
      </c>
    </row>
    <row r="8" spans="1:6" x14ac:dyDescent="0.3">
      <c r="A8" s="2" t="s">
        <v>23</v>
      </c>
      <c r="B8" s="3" t="s">
        <v>24</v>
      </c>
      <c r="C8" s="9">
        <f>0.9*C7</f>
        <v>618499.80000000005</v>
      </c>
      <c r="D8" s="5" t="s">
        <v>25</v>
      </c>
      <c r="E8" s="6" t="s">
        <v>12</v>
      </c>
      <c r="F8" s="7" t="s">
        <v>26</v>
      </c>
    </row>
    <row r="9" spans="1:6" x14ac:dyDescent="0.3">
      <c r="A9" s="2" t="s">
        <v>27</v>
      </c>
      <c r="B9" s="10" t="s">
        <v>28</v>
      </c>
      <c r="C9" s="4"/>
      <c r="D9" s="5" t="s">
        <v>29</v>
      </c>
      <c r="E9" s="6" t="s">
        <v>12</v>
      </c>
      <c r="F9" s="7" t="s">
        <v>26</v>
      </c>
    </row>
    <row r="10" spans="1:6" x14ac:dyDescent="0.3">
      <c r="A10" s="2" t="s">
        <v>30</v>
      </c>
      <c r="B10" s="3" t="s">
        <v>31</v>
      </c>
      <c r="C10" s="4" t="s">
        <v>32</v>
      </c>
      <c r="D10" s="5" t="s">
        <v>32</v>
      </c>
      <c r="E10" s="6" t="s">
        <v>12</v>
      </c>
      <c r="F10" s="7" t="s">
        <v>26</v>
      </c>
    </row>
    <row r="11" spans="1:6" x14ac:dyDescent="0.3">
      <c r="A11" s="2" t="s">
        <v>33</v>
      </c>
      <c r="B11" s="3" t="s">
        <v>34</v>
      </c>
      <c r="C11" s="112" t="s">
        <v>560</v>
      </c>
      <c r="D11" s="5" t="s">
        <v>35</v>
      </c>
      <c r="E11" s="6" t="s">
        <v>12</v>
      </c>
      <c r="F11" s="7" t="s">
        <v>26</v>
      </c>
    </row>
    <row r="12" spans="1:6" x14ac:dyDescent="0.3">
      <c r="A12" s="2" t="s">
        <v>36</v>
      </c>
      <c r="B12" s="3" t="s">
        <v>37</v>
      </c>
      <c r="C12" s="4" t="s">
        <v>38</v>
      </c>
      <c r="D12" s="5" t="s">
        <v>38</v>
      </c>
      <c r="E12" s="6" t="s">
        <v>12</v>
      </c>
      <c r="F12" s="7" t="s">
        <v>26</v>
      </c>
    </row>
    <row r="13" spans="1:6" x14ac:dyDescent="0.3">
      <c r="A13" s="2" t="s">
        <v>39</v>
      </c>
      <c r="B13" s="3" t="s">
        <v>40</v>
      </c>
      <c r="C13" s="4" t="s">
        <v>41</v>
      </c>
      <c r="D13" s="5" t="s">
        <v>42</v>
      </c>
      <c r="E13" s="6" t="s">
        <v>12</v>
      </c>
      <c r="F13" s="7" t="s">
        <v>26</v>
      </c>
    </row>
    <row r="14" spans="1:6" x14ac:dyDescent="0.3">
      <c r="A14" s="2" t="s">
        <v>43</v>
      </c>
      <c r="B14" s="3" t="s">
        <v>44</v>
      </c>
      <c r="C14" s="4" t="s">
        <v>45</v>
      </c>
      <c r="D14" s="5" t="s">
        <v>46</v>
      </c>
      <c r="E14" s="6" t="s">
        <v>12</v>
      </c>
      <c r="F14" s="7" t="s">
        <v>26</v>
      </c>
    </row>
    <row r="15" spans="1:6" x14ac:dyDescent="0.3">
      <c r="A15" s="2" t="s">
        <v>47</v>
      </c>
      <c r="B15" s="3" t="s">
        <v>48</v>
      </c>
      <c r="C15" s="4">
        <v>7.5</v>
      </c>
      <c r="D15" s="5" t="s">
        <v>49</v>
      </c>
      <c r="E15" s="6" t="s">
        <v>12</v>
      </c>
      <c r="F15" s="7" t="s">
        <v>26</v>
      </c>
    </row>
    <row r="16" spans="1:6" x14ac:dyDescent="0.3">
      <c r="A16" s="2" t="s">
        <v>50</v>
      </c>
      <c r="B16" s="3" t="s">
        <v>51</v>
      </c>
      <c r="C16" s="4">
        <v>5.49</v>
      </c>
      <c r="D16" s="5" t="s">
        <v>52</v>
      </c>
      <c r="E16" s="6" t="s">
        <v>12</v>
      </c>
      <c r="F16" s="7" t="s">
        <v>26</v>
      </c>
    </row>
    <row r="17" spans="1:6" x14ac:dyDescent="0.3">
      <c r="A17" s="2" t="s">
        <v>53</v>
      </c>
      <c r="B17" s="3" t="s">
        <v>54</v>
      </c>
      <c r="C17" s="114">
        <v>0.26800000000000002</v>
      </c>
      <c r="D17" s="5" t="s">
        <v>55</v>
      </c>
      <c r="E17" s="6" t="s">
        <v>12</v>
      </c>
      <c r="F17" s="7" t="s">
        <v>26</v>
      </c>
    </row>
    <row r="18" spans="1:6" x14ac:dyDescent="0.3">
      <c r="A18" s="2" t="s">
        <v>56</v>
      </c>
      <c r="B18" s="10" t="s">
        <v>57</v>
      </c>
      <c r="C18" s="4"/>
      <c r="D18" s="5" t="s">
        <v>29</v>
      </c>
      <c r="E18" s="6" t="s">
        <v>12</v>
      </c>
      <c r="F18" s="7" t="s">
        <v>26</v>
      </c>
    </row>
    <row r="19" spans="1:6" x14ac:dyDescent="0.3">
      <c r="A19" s="2" t="s">
        <v>58</v>
      </c>
      <c r="B19" s="3" t="s">
        <v>59</v>
      </c>
      <c r="C19" s="12">
        <f>'Environmental Benefits'!F17</f>
        <v>666.83699491499999</v>
      </c>
      <c r="D19" s="5" t="s">
        <v>60</v>
      </c>
      <c r="E19" s="13" t="s">
        <v>61</v>
      </c>
      <c r="F19" s="7" t="s">
        <v>26</v>
      </c>
    </row>
    <row r="20" spans="1:6" x14ac:dyDescent="0.3">
      <c r="A20" s="2" t="s">
        <v>62</v>
      </c>
      <c r="B20" s="3" t="s">
        <v>63</v>
      </c>
      <c r="C20" s="112" t="s">
        <v>561</v>
      </c>
      <c r="D20" s="5" t="s">
        <v>64</v>
      </c>
      <c r="E20" s="14" t="s">
        <v>65</v>
      </c>
      <c r="F20" s="7" t="s">
        <v>26</v>
      </c>
    </row>
    <row r="21" spans="1:6" x14ac:dyDescent="0.3">
      <c r="A21" s="2" t="s">
        <v>66</v>
      </c>
      <c r="B21" s="3" t="s">
        <v>67</v>
      </c>
      <c r="C21" s="111" t="str">
        <f ca="1">DAY(TODAY())&amp;IF(AND(DAY(TODAY())&gt;=11,DAY(TODAY())&lt;=13),"th",CHOOSE(MIN(5,MOD(DAY(TODAY()),10)+1),"th","st","nd","rd","th"))&amp;" "&amp;TEXT(TODAY(),"mmmm yyyy")</f>
        <v>10th August 2026</v>
      </c>
      <c r="D21" s="5" t="s">
        <v>68</v>
      </c>
      <c r="E21" s="13" t="s">
        <v>61</v>
      </c>
      <c r="F21" s="7" t="s">
        <v>26</v>
      </c>
    </row>
    <row r="22" spans="1:6" x14ac:dyDescent="0.3">
      <c r="A22" s="2" t="s">
        <v>69</v>
      </c>
      <c r="B22" s="3" t="s">
        <v>70</v>
      </c>
      <c r="C22" s="4" t="s">
        <v>71</v>
      </c>
      <c r="D22" s="5" t="s">
        <v>71</v>
      </c>
      <c r="E22" s="14" t="s">
        <v>65</v>
      </c>
      <c r="F22" s="7" t="s">
        <v>26</v>
      </c>
    </row>
    <row r="23" spans="1:6" ht="18.75" customHeight="1" x14ac:dyDescent="0.3">
      <c r="A23" s="118" t="s">
        <v>72</v>
      </c>
      <c r="B23" s="118"/>
      <c r="C23" s="118"/>
      <c r="D23" s="118"/>
      <c r="E23" s="118"/>
      <c r="F23" s="118"/>
    </row>
    <row r="24" spans="1:6" x14ac:dyDescent="0.3">
      <c r="A24" s="2" t="s">
        <v>73</v>
      </c>
      <c r="B24" s="3" t="s">
        <v>74</v>
      </c>
      <c r="C24" s="112" t="s">
        <v>558</v>
      </c>
      <c r="D24" s="5" t="s">
        <v>75</v>
      </c>
      <c r="E24" s="6" t="s">
        <v>12</v>
      </c>
      <c r="F24" s="7" t="s">
        <v>76</v>
      </c>
    </row>
    <row r="25" spans="1:6" x14ac:dyDescent="0.3">
      <c r="A25" s="2" t="s">
        <v>77</v>
      </c>
      <c r="B25" s="3" t="s">
        <v>78</v>
      </c>
      <c r="C25" s="4" t="s">
        <v>559</v>
      </c>
      <c r="D25" s="5" t="s">
        <v>79</v>
      </c>
      <c r="E25" s="6" t="s">
        <v>12</v>
      </c>
      <c r="F25" s="7" t="s">
        <v>76</v>
      </c>
    </row>
    <row r="26" spans="1:6" x14ac:dyDescent="0.3">
      <c r="A26" s="2" t="s">
        <v>80</v>
      </c>
      <c r="B26" s="3" t="s">
        <v>81</v>
      </c>
      <c r="C26" s="4" t="s">
        <v>82</v>
      </c>
      <c r="D26" s="5" t="s">
        <v>83</v>
      </c>
      <c r="E26" s="6" t="s">
        <v>12</v>
      </c>
      <c r="F26" s="7" t="s">
        <v>84</v>
      </c>
    </row>
    <row r="27" spans="1:6" x14ac:dyDescent="0.3">
      <c r="A27" s="2" t="s">
        <v>85</v>
      </c>
      <c r="B27" s="3" t="s">
        <v>86</v>
      </c>
      <c r="C27" s="4" t="s">
        <v>87</v>
      </c>
      <c r="D27" s="5" t="s">
        <v>88</v>
      </c>
      <c r="E27" s="6" t="s">
        <v>12</v>
      </c>
      <c r="F27" s="7" t="s">
        <v>84</v>
      </c>
    </row>
    <row r="28" spans="1:6" x14ac:dyDescent="0.3">
      <c r="A28" s="2" t="s">
        <v>89</v>
      </c>
      <c r="B28" s="3" t="s">
        <v>90</v>
      </c>
      <c r="C28" s="4" t="s">
        <v>91</v>
      </c>
      <c r="D28" s="5" t="s">
        <v>92</v>
      </c>
      <c r="E28" s="6" t="s">
        <v>12</v>
      </c>
      <c r="F28" s="7" t="s">
        <v>84</v>
      </c>
    </row>
    <row r="29" spans="1:6" x14ac:dyDescent="0.3">
      <c r="A29" s="2" t="s">
        <v>93</v>
      </c>
      <c r="B29" s="3" t="s">
        <v>94</v>
      </c>
      <c r="C29" s="4" t="s">
        <v>95</v>
      </c>
      <c r="D29" s="5" t="s">
        <v>79</v>
      </c>
      <c r="E29" s="6" t="s">
        <v>12</v>
      </c>
      <c r="F29" s="7" t="s">
        <v>84</v>
      </c>
    </row>
    <row r="30" spans="1:6" x14ac:dyDescent="0.3">
      <c r="A30" s="2" t="s">
        <v>96</v>
      </c>
      <c r="B30" s="3" t="s">
        <v>97</v>
      </c>
      <c r="C30" s="15">
        <v>12.90082832203</v>
      </c>
      <c r="D30" s="5" t="s">
        <v>98</v>
      </c>
      <c r="E30" s="6" t="s">
        <v>12</v>
      </c>
      <c r="F30" s="7" t="s">
        <v>84</v>
      </c>
    </row>
    <row r="31" spans="1:6" x14ac:dyDescent="0.3">
      <c r="A31" s="2" t="s">
        <v>99</v>
      </c>
      <c r="B31" s="3" t="s">
        <v>100</v>
      </c>
      <c r="C31" s="4">
        <v>79.802125629813006</v>
      </c>
      <c r="D31" s="5" t="s">
        <v>101</v>
      </c>
      <c r="E31" s="6" t="s">
        <v>12</v>
      </c>
      <c r="F31" s="7" t="s">
        <v>84</v>
      </c>
    </row>
    <row r="32" spans="1:6" x14ac:dyDescent="0.3">
      <c r="A32" s="2" t="s">
        <v>102</v>
      </c>
      <c r="B32" s="3" t="s">
        <v>103</v>
      </c>
      <c r="C32" s="4" t="s">
        <v>17</v>
      </c>
      <c r="D32" s="5" t="s">
        <v>17</v>
      </c>
      <c r="E32" s="6" t="s">
        <v>12</v>
      </c>
      <c r="F32" s="7" t="s">
        <v>84</v>
      </c>
    </row>
    <row r="33" spans="1:6" x14ac:dyDescent="0.3">
      <c r="A33" s="2" t="s">
        <v>104</v>
      </c>
      <c r="B33" s="3" t="s">
        <v>105</v>
      </c>
      <c r="C33" s="15" t="s">
        <v>106</v>
      </c>
      <c r="D33" s="5" t="s">
        <v>106</v>
      </c>
      <c r="E33" s="6" t="s">
        <v>12</v>
      </c>
      <c r="F33" s="7" t="s">
        <v>84</v>
      </c>
    </row>
    <row r="34" spans="1:6" x14ac:dyDescent="0.3">
      <c r="A34" s="2" t="s">
        <v>107</v>
      </c>
      <c r="B34" s="10" t="s">
        <v>108</v>
      </c>
      <c r="C34" s="4" t="s">
        <v>32</v>
      </c>
      <c r="D34" s="5" t="s">
        <v>32</v>
      </c>
      <c r="E34" s="16" t="s">
        <v>65</v>
      </c>
      <c r="F34" s="7" t="s">
        <v>84</v>
      </c>
    </row>
    <row r="35" spans="1:6" x14ac:dyDescent="0.3">
      <c r="A35" s="2" t="s">
        <v>109</v>
      </c>
      <c r="B35" s="10" t="s">
        <v>110</v>
      </c>
      <c r="C35" s="4" t="s">
        <v>111</v>
      </c>
      <c r="D35" s="5" t="s">
        <v>111</v>
      </c>
      <c r="E35" s="16" t="s">
        <v>65</v>
      </c>
      <c r="F35" s="7" t="s">
        <v>84</v>
      </c>
    </row>
    <row r="36" spans="1:6" x14ac:dyDescent="0.3">
      <c r="A36" s="2" t="s">
        <v>112</v>
      </c>
      <c r="B36" s="10" t="s">
        <v>113</v>
      </c>
      <c r="C36" s="4"/>
      <c r="D36" s="5" t="s">
        <v>114</v>
      </c>
      <c r="E36" s="16" t="s">
        <v>65</v>
      </c>
      <c r="F36" s="7" t="s">
        <v>84</v>
      </c>
    </row>
    <row r="37" spans="1:6" ht="18.75" customHeight="1" x14ac:dyDescent="0.3">
      <c r="A37" s="118" t="s">
        <v>115</v>
      </c>
      <c r="B37" s="118"/>
      <c r="C37" s="118"/>
      <c r="D37" s="118"/>
      <c r="E37" s="118"/>
      <c r="F37" s="118"/>
    </row>
    <row r="38" spans="1:6" x14ac:dyDescent="0.3">
      <c r="A38" s="2" t="s">
        <v>116</v>
      </c>
      <c r="B38" s="3" t="s">
        <v>117</v>
      </c>
      <c r="C38" s="15" t="s">
        <v>118</v>
      </c>
      <c r="D38" s="5" t="s">
        <v>119</v>
      </c>
      <c r="E38" s="16" t="s">
        <v>32</v>
      </c>
      <c r="F38" s="7" t="s">
        <v>120</v>
      </c>
    </row>
    <row r="39" spans="1:6" x14ac:dyDescent="0.3">
      <c r="A39" s="2" t="s">
        <v>121</v>
      </c>
      <c r="B39" s="10" t="s">
        <v>122</v>
      </c>
      <c r="C39" s="4" t="s">
        <v>123</v>
      </c>
      <c r="D39" s="5" t="s">
        <v>123</v>
      </c>
      <c r="E39" s="16" t="s">
        <v>65</v>
      </c>
      <c r="F39" s="7" t="s">
        <v>120</v>
      </c>
    </row>
    <row r="40" spans="1:6" x14ac:dyDescent="0.3">
      <c r="A40" s="2" t="s">
        <v>124</v>
      </c>
      <c r="B40" s="3" t="s">
        <v>125</v>
      </c>
      <c r="C40" s="15" t="s">
        <v>118</v>
      </c>
      <c r="D40" s="5" t="s">
        <v>11</v>
      </c>
      <c r="E40" s="16" t="s">
        <v>32</v>
      </c>
      <c r="F40" s="7" t="s">
        <v>120</v>
      </c>
    </row>
    <row r="41" spans="1:6" x14ac:dyDescent="0.3">
      <c r="A41" s="2" t="s">
        <v>126</v>
      </c>
      <c r="B41" s="10" t="s">
        <v>127</v>
      </c>
      <c r="C41" s="112" t="s">
        <v>563</v>
      </c>
      <c r="D41" s="5" t="s">
        <v>128</v>
      </c>
      <c r="E41" s="16" t="s">
        <v>65</v>
      </c>
      <c r="F41" s="7" t="s">
        <v>120</v>
      </c>
    </row>
    <row r="42" spans="1:6" x14ac:dyDescent="0.3">
      <c r="A42" s="2" t="s">
        <v>129</v>
      </c>
      <c r="B42" s="10" t="s">
        <v>130</v>
      </c>
      <c r="C42" s="15" t="s">
        <v>562</v>
      </c>
      <c r="D42" s="5" t="s">
        <v>131</v>
      </c>
      <c r="E42" s="16" t="s">
        <v>65</v>
      </c>
      <c r="F42" s="7" t="s">
        <v>120</v>
      </c>
    </row>
    <row r="43" spans="1:6" x14ac:dyDescent="0.3">
      <c r="A43" s="2" t="s">
        <v>132</v>
      </c>
      <c r="B43" s="10" t="s">
        <v>133</v>
      </c>
      <c r="C43" s="4" t="s">
        <v>134</v>
      </c>
      <c r="D43" s="5" t="s">
        <v>134</v>
      </c>
      <c r="E43" s="16" t="s">
        <v>65</v>
      </c>
      <c r="F43" s="7" t="s">
        <v>120</v>
      </c>
    </row>
    <row r="44" spans="1:6" x14ac:dyDescent="0.3">
      <c r="A44" s="2" t="s">
        <v>135</v>
      </c>
      <c r="B44" s="3" t="s">
        <v>136</v>
      </c>
      <c r="C44" s="15" t="s">
        <v>118</v>
      </c>
      <c r="D44" s="5" t="s">
        <v>11</v>
      </c>
      <c r="E44" s="16" t="s">
        <v>32</v>
      </c>
      <c r="F44" s="7" t="s">
        <v>120</v>
      </c>
    </row>
    <row r="45" spans="1:6" x14ac:dyDescent="0.3">
      <c r="A45" s="2" t="s">
        <v>137</v>
      </c>
      <c r="B45" s="10" t="s">
        <v>138</v>
      </c>
      <c r="C45" s="4" t="s">
        <v>139</v>
      </c>
      <c r="D45" s="5" t="s">
        <v>139</v>
      </c>
      <c r="E45" s="16" t="s">
        <v>65</v>
      </c>
      <c r="F45" s="7" t="s">
        <v>120</v>
      </c>
    </row>
    <row r="46" spans="1:6" ht="18.75" customHeight="1" x14ac:dyDescent="0.3">
      <c r="A46" s="118" t="s">
        <v>140</v>
      </c>
      <c r="B46" s="118"/>
      <c r="C46" s="118"/>
      <c r="D46" s="118"/>
      <c r="E46" s="118"/>
      <c r="F46" s="118"/>
    </row>
    <row r="47" spans="1:6" x14ac:dyDescent="0.3">
      <c r="A47" s="2" t="s">
        <v>141</v>
      </c>
      <c r="B47" s="3" t="s">
        <v>142</v>
      </c>
      <c r="C47" s="4" t="s">
        <v>17</v>
      </c>
      <c r="D47" s="5" t="s">
        <v>17</v>
      </c>
      <c r="E47" s="16" t="s">
        <v>32</v>
      </c>
      <c r="F47" s="7" t="s">
        <v>143</v>
      </c>
    </row>
    <row r="48" spans="1:6" x14ac:dyDescent="0.3">
      <c r="A48" s="2" t="s">
        <v>144</v>
      </c>
      <c r="B48" s="3" t="s">
        <v>145</v>
      </c>
      <c r="C48" s="4" t="s">
        <v>146</v>
      </c>
      <c r="D48" s="5" t="s">
        <v>147</v>
      </c>
      <c r="E48" s="16" t="s">
        <v>32</v>
      </c>
      <c r="F48" s="7" t="s">
        <v>143</v>
      </c>
    </row>
    <row r="49" spans="1:6" x14ac:dyDescent="0.3">
      <c r="A49" s="2" t="s">
        <v>148</v>
      </c>
      <c r="B49" s="3" t="s">
        <v>149</v>
      </c>
      <c r="C49" s="4" t="s">
        <v>150</v>
      </c>
      <c r="D49" s="5" t="s">
        <v>150</v>
      </c>
      <c r="E49" s="16" t="s">
        <v>32</v>
      </c>
      <c r="F49" s="7" t="s">
        <v>143</v>
      </c>
    </row>
    <row r="50" spans="1:6" x14ac:dyDescent="0.3">
      <c r="A50" s="2" t="s">
        <v>151</v>
      </c>
      <c r="B50" s="10" t="s">
        <v>152</v>
      </c>
      <c r="C50" s="4" t="s">
        <v>564</v>
      </c>
      <c r="D50" s="5" t="s">
        <v>153</v>
      </c>
      <c r="E50" s="16" t="s">
        <v>65</v>
      </c>
      <c r="F50" s="7" t="s">
        <v>143</v>
      </c>
    </row>
    <row r="51" spans="1:6" x14ac:dyDescent="0.3">
      <c r="A51" s="2" t="s">
        <v>154</v>
      </c>
      <c r="B51" s="10" t="s">
        <v>155</v>
      </c>
      <c r="C51" s="15">
        <v>499.59</v>
      </c>
      <c r="D51" s="5" t="s">
        <v>156</v>
      </c>
      <c r="E51" s="16" t="s">
        <v>65</v>
      </c>
      <c r="F51" s="7" t="s">
        <v>143</v>
      </c>
    </row>
    <row r="52" spans="1:6" x14ac:dyDescent="0.3">
      <c r="A52" s="2" t="s">
        <v>157</v>
      </c>
      <c r="B52" s="10" t="s">
        <v>158</v>
      </c>
      <c r="C52" s="112" t="s">
        <v>565</v>
      </c>
      <c r="D52" s="5" t="s">
        <v>159</v>
      </c>
      <c r="E52" s="16" t="s">
        <v>65</v>
      </c>
      <c r="F52" s="7" t="s">
        <v>143</v>
      </c>
    </row>
    <row r="53" spans="1:6" x14ac:dyDescent="0.3">
      <c r="A53" s="2" t="s">
        <v>160</v>
      </c>
      <c r="B53" s="10" t="s">
        <v>161</v>
      </c>
      <c r="C53" s="112" t="s">
        <v>566</v>
      </c>
      <c r="D53" s="5" t="s">
        <v>162</v>
      </c>
      <c r="E53" s="16" t="s">
        <v>65</v>
      </c>
      <c r="F53" s="7" t="s">
        <v>143</v>
      </c>
    </row>
    <row r="54" spans="1:6" x14ac:dyDescent="0.3">
      <c r="A54" s="2" t="s">
        <v>163</v>
      </c>
      <c r="B54" s="10" t="s">
        <v>164</v>
      </c>
      <c r="C54" s="112" t="s">
        <v>32</v>
      </c>
      <c r="D54" s="5" t="s">
        <v>32</v>
      </c>
      <c r="E54" s="16" t="s">
        <v>65</v>
      </c>
      <c r="F54" s="7" t="s">
        <v>143</v>
      </c>
    </row>
    <row r="55" spans="1:6" x14ac:dyDescent="0.3">
      <c r="A55" s="2" t="s">
        <v>165</v>
      </c>
      <c r="B55" s="10" t="s">
        <v>166</v>
      </c>
      <c r="C55" s="4"/>
      <c r="D55" s="5" t="s">
        <v>167</v>
      </c>
      <c r="E55" s="16" t="s">
        <v>65</v>
      </c>
      <c r="F55" s="7" t="s">
        <v>143</v>
      </c>
    </row>
    <row r="56" spans="1:6" x14ac:dyDescent="0.3">
      <c r="A56" s="2" t="s">
        <v>168</v>
      </c>
      <c r="B56" s="10" t="s">
        <v>169</v>
      </c>
      <c r="C56" s="4"/>
      <c r="D56" s="5" t="s">
        <v>156</v>
      </c>
      <c r="E56" s="16" t="s">
        <v>65</v>
      </c>
      <c r="F56" s="7" t="s">
        <v>143</v>
      </c>
    </row>
    <row r="57" spans="1:6" x14ac:dyDescent="0.3">
      <c r="A57" s="2" t="s">
        <v>170</v>
      </c>
      <c r="B57" s="10" t="s">
        <v>171</v>
      </c>
      <c r="C57" s="4"/>
      <c r="D57" s="5" t="s">
        <v>159</v>
      </c>
      <c r="E57" s="16" t="s">
        <v>65</v>
      </c>
      <c r="F57" s="7" t="s">
        <v>143</v>
      </c>
    </row>
    <row r="58" spans="1:6" x14ac:dyDescent="0.3">
      <c r="A58" s="2" t="s">
        <v>172</v>
      </c>
      <c r="B58" s="10" t="s">
        <v>173</v>
      </c>
      <c r="C58" s="4"/>
      <c r="D58" s="5" t="s">
        <v>162</v>
      </c>
      <c r="E58" s="16" t="s">
        <v>65</v>
      </c>
      <c r="F58" s="7" t="s">
        <v>143</v>
      </c>
    </row>
    <row r="59" spans="1:6" x14ac:dyDescent="0.3">
      <c r="A59" s="2" t="s">
        <v>174</v>
      </c>
      <c r="B59" s="10" t="s">
        <v>175</v>
      </c>
      <c r="C59" s="4"/>
      <c r="D59" s="5" t="s">
        <v>32</v>
      </c>
      <c r="E59" s="16" t="s">
        <v>65</v>
      </c>
      <c r="F59" s="7" t="s">
        <v>143</v>
      </c>
    </row>
    <row r="60" spans="1:6" x14ac:dyDescent="0.3">
      <c r="A60" s="2" t="s">
        <v>176</v>
      </c>
      <c r="B60" s="115" t="s">
        <v>177</v>
      </c>
      <c r="C60" s="4" t="str">
        <f>C51+C56&amp;" kWp"</f>
        <v>499.59 kWp</v>
      </c>
      <c r="D60" s="5" t="s">
        <v>11</v>
      </c>
      <c r="E60" s="16" t="s">
        <v>65</v>
      </c>
      <c r="F60" s="7" t="s">
        <v>143</v>
      </c>
    </row>
    <row r="61" spans="1:6" x14ac:dyDescent="0.3">
      <c r="A61" s="2" t="s">
        <v>178</v>
      </c>
      <c r="B61" s="10" t="s">
        <v>179</v>
      </c>
      <c r="C61" s="4"/>
      <c r="D61" s="5" t="s">
        <v>153</v>
      </c>
      <c r="E61" s="16" t="s">
        <v>65</v>
      </c>
      <c r="F61" s="7" t="s">
        <v>143</v>
      </c>
    </row>
    <row r="62" spans="1:6" x14ac:dyDescent="0.3">
      <c r="A62" s="2" t="s">
        <v>180</v>
      </c>
      <c r="B62" s="10" t="s">
        <v>181</v>
      </c>
      <c r="C62" s="4"/>
      <c r="D62" s="5" t="s">
        <v>156</v>
      </c>
      <c r="E62" s="16" t="s">
        <v>65</v>
      </c>
      <c r="F62" s="7" t="s">
        <v>143</v>
      </c>
    </row>
    <row r="63" spans="1:6" x14ac:dyDescent="0.3">
      <c r="A63" s="2" t="s">
        <v>182</v>
      </c>
      <c r="B63" s="10" t="s">
        <v>183</v>
      </c>
      <c r="C63" s="4"/>
      <c r="D63" s="5" t="s">
        <v>159</v>
      </c>
      <c r="E63" s="16" t="s">
        <v>65</v>
      </c>
      <c r="F63" s="7" t="s">
        <v>143</v>
      </c>
    </row>
    <row r="64" spans="1:6" x14ac:dyDescent="0.3">
      <c r="A64" s="2" t="s">
        <v>184</v>
      </c>
      <c r="B64" s="10" t="s">
        <v>185</v>
      </c>
      <c r="C64" s="4"/>
      <c r="D64" s="5" t="s">
        <v>162</v>
      </c>
      <c r="E64" s="16" t="s">
        <v>65</v>
      </c>
      <c r="F64" s="7" t="s">
        <v>143</v>
      </c>
    </row>
    <row r="65" spans="1:6" x14ac:dyDescent="0.3">
      <c r="A65" s="2" t="s">
        <v>186</v>
      </c>
      <c r="B65" s="10" t="s">
        <v>187</v>
      </c>
      <c r="C65" s="4"/>
      <c r="D65" s="5" t="s">
        <v>32</v>
      </c>
      <c r="E65" s="16" t="s">
        <v>65</v>
      </c>
      <c r="F65" s="7" t="s">
        <v>143</v>
      </c>
    </row>
    <row r="66" spans="1:6" x14ac:dyDescent="0.3">
      <c r="A66" s="2" t="s">
        <v>188</v>
      </c>
      <c r="B66" s="10" t="s">
        <v>189</v>
      </c>
      <c r="C66" s="4"/>
      <c r="D66" s="5" t="s">
        <v>167</v>
      </c>
      <c r="E66" s="16" t="s">
        <v>65</v>
      </c>
      <c r="F66" s="7" t="s">
        <v>143</v>
      </c>
    </row>
    <row r="67" spans="1:6" x14ac:dyDescent="0.3">
      <c r="A67" s="2" t="s">
        <v>190</v>
      </c>
      <c r="B67" s="10" t="s">
        <v>191</v>
      </c>
      <c r="C67" s="4"/>
      <c r="D67" s="5" t="s">
        <v>156</v>
      </c>
      <c r="E67" s="16" t="s">
        <v>65</v>
      </c>
      <c r="F67" s="7" t="s">
        <v>143</v>
      </c>
    </row>
    <row r="68" spans="1:6" x14ac:dyDescent="0.3">
      <c r="A68" s="2" t="s">
        <v>192</v>
      </c>
      <c r="B68" s="10" t="s">
        <v>193</v>
      </c>
      <c r="C68" s="4"/>
      <c r="D68" s="5" t="s">
        <v>159</v>
      </c>
      <c r="E68" s="16" t="s">
        <v>65</v>
      </c>
      <c r="F68" s="7" t="s">
        <v>143</v>
      </c>
    </row>
    <row r="69" spans="1:6" x14ac:dyDescent="0.3">
      <c r="A69" s="2" t="s">
        <v>194</v>
      </c>
      <c r="B69" s="10" t="s">
        <v>195</v>
      </c>
      <c r="C69" s="4"/>
      <c r="D69" s="5" t="s">
        <v>162</v>
      </c>
      <c r="E69" s="16" t="s">
        <v>65</v>
      </c>
      <c r="F69" s="7" t="s">
        <v>143</v>
      </c>
    </row>
    <row r="70" spans="1:6" x14ac:dyDescent="0.3">
      <c r="A70" s="2" t="s">
        <v>196</v>
      </c>
      <c r="B70" s="10" t="s">
        <v>197</v>
      </c>
      <c r="C70" s="4"/>
      <c r="D70" s="5" t="s">
        <v>32</v>
      </c>
      <c r="E70" s="16" t="s">
        <v>65</v>
      </c>
      <c r="F70" s="7" t="s">
        <v>143</v>
      </c>
    </row>
    <row r="71" spans="1:6" x14ac:dyDescent="0.3">
      <c r="A71" s="2" t="s">
        <v>198</v>
      </c>
      <c r="B71" s="10" t="s">
        <v>199</v>
      </c>
      <c r="C71" s="4" t="str">
        <f>C62+C67&amp;" kWp"</f>
        <v>0 kWp</v>
      </c>
      <c r="D71" s="5" t="s">
        <v>11</v>
      </c>
      <c r="E71" s="16" t="s">
        <v>65</v>
      </c>
      <c r="F71" s="7" t="s">
        <v>143</v>
      </c>
    </row>
    <row r="72" spans="1:6" ht="18.75" customHeight="1" x14ac:dyDescent="0.3">
      <c r="A72" s="118" t="s">
        <v>200</v>
      </c>
      <c r="B72" s="118"/>
      <c r="C72" s="118"/>
      <c r="D72" s="118"/>
      <c r="E72" s="118"/>
      <c r="F72" s="118"/>
    </row>
    <row r="73" spans="1:6" x14ac:dyDescent="0.3">
      <c r="A73" s="2" t="s">
        <v>201</v>
      </c>
      <c r="B73" s="3" t="s">
        <v>202</v>
      </c>
      <c r="C73" s="15" t="s">
        <v>557</v>
      </c>
      <c r="D73" s="5" t="s">
        <v>203</v>
      </c>
      <c r="E73" s="6" t="s">
        <v>12</v>
      </c>
      <c r="F73" s="7" t="s">
        <v>204</v>
      </c>
    </row>
    <row r="74" spans="1:6" x14ac:dyDescent="0.3">
      <c r="A74" s="2" t="s">
        <v>205</v>
      </c>
      <c r="B74" s="3" t="s">
        <v>206</v>
      </c>
      <c r="C74" s="8">
        <f>C7</f>
        <v>687222</v>
      </c>
      <c r="D74" s="5" t="s">
        <v>21</v>
      </c>
      <c r="E74" s="16" t="s">
        <v>32</v>
      </c>
      <c r="F74" s="7" t="s">
        <v>204</v>
      </c>
    </row>
    <row r="75" spans="1:6" x14ac:dyDescent="0.3">
      <c r="A75" s="2" t="s">
        <v>207</v>
      </c>
      <c r="B75" s="10" t="s">
        <v>208</v>
      </c>
      <c r="C75" s="4" t="s">
        <v>209</v>
      </c>
      <c r="D75" s="5" t="s">
        <v>209</v>
      </c>
      <c r="E75" s="16" t="s">
        <v>65</v>
      </c>
      <c r="F75" s="7" t="s">
        <v>204</v>
      </c>
    </row>
    <row r="76" spans="1:6" x14ac:dyDescent="0.3">
      <c r="A76" s="2" t="s">
        <v>210</v>
      </c>
      <c r="B76" s="3" t="s">
        <v>211</v>
      </c>
      <c r="C76" s="17">
        <f>0.9*C74</f>
        <v>618499.80000000005</v>
      </c>
      <c r="D76" s="5" t="s">
        <v>25</v>
      </c>
      <c r="E76" s="16" t="s">
        <v>32</v>
      </c>
      <c r="F76" s="7" t="s">
        <v>204</v>
      </c>
    </row>
    <row r="77" spans="1:6" x14ac:dyDescent="0.3">
      <c r="A77" s="2" t="s">
        <v>212</v>
      </c>
      <c r="B77" s="10" t="s">
        <v>213</v>
      </c>
      <c r="C77" s="4">
        <v>20</v>
      </c>
      <c r="D77" s="5" t="s">
        <v>214</v>
      </c>
      <c r="E77" s="6" t="s">
        <v>12</v>
      </c>
      <c r="F77" s="7" t="s">
        <v>204</v>
      </c>
    </row>
    <row r="78" spans="1:6" x14ac:dyDescent="0.3">
      <c r="A78" s="2" t="s">
        <v>215</v>
      </c>
      <c r="B78" s="10" t="s">
        <v>216</v>
      </c>
      <c r="C78" s="116">
        <v>1937.5</v>
      </c>
      <c r="D78" s="5" t="s">
        <v>217</v>
      </c>
      <c r="E78" s="6" t="s">
        <v>12</v>
      </c>
      <c r="F78" s="7" t="s">
        <v>204</v>
      </c>
    </row>
    <row r="79" spans="1:6" ht="18.75" customHeight="1" x14ac:dyDescent="0.3">
      <c r="A79" s="118" t="s">
        <v>218</v>
      </c>
      <c r="B79" s="118"/>
      <c r="C79" s="118"/>
      <c r="D79" s="118"/>
      <c r="E79" s="118"/>
      <c r="F79" s="118"/>
    </row>
    <row r="80" spans="1:6" x14ac:dyDescent="0.3">
      <c r="A80" s="2" t="s">
        <v>219</v>
      </c>
      <c r="B80" s="3" t="s">
        <v>220</v>
      </c>
      <c r="C80" s="15"/>
      <c r="D80" s="5" t="s">
        <v>221</v>
      </c>
      <c r="E80" s="16" t="s">
        <v>32</v>
      </c>
      <c r="F80" s="7" t="s">
        <v>222</v>
      </c>
    </row>
    <row r="81" spans="1:6" x14ac:dyDescent="0.3">
      <c r="A81" s="2" t="s">
        <v>223</v>
      </c>
      <c r="B81" s="3" t="s">
        <v>224</v>
      </c>
      <c r="C81" s="15"/>
      <c r="D81" s="5" t="s">
        <v>35</v>
      </c>
      <c r="E81" s="16" t="s">
        <v>32</v>
      </c>
      <c r="F81" s="7" t="s">
        <v>222</v>
      </c>
    </row>
    <row r="82" spans="1:6" x14ac:dyDescent="0.3">
      <c r="A82" s="2" t="s">
        <v>225</v>
      </c>
      <c r="B82" s="10" t="s">
        <v>226</v>
      </c>
      <c r="C82" s="11"/>
      <c r="D82" s="5" t="s">
        <v>227</v>
      </c>
      <c r="E82" s="16" t="s">
        <v>65</v>
      </c>
      <c r="F82" s="7" t="s">
        <v>222</v>
      </c>
    </row>
    <row r="83" spans="1:6" x14ac:dyDescent="0.3">
      <c r="A83" s="2" t="s">
        <v>228</v>
      </c>
      <c r="B83" s="3" t="s">
        <v>229</v>
      </c>
      <c r="C83" s="4"/>
      <c r="D83" s="5" t="s">
        <v>230</v>
      </c>
      <c r="E83" s="16" t="s">
        <v>32</v>
      </c>
      <c r="F83" s="7" t="s">
        <v>222</v>
      </c>
    </row>
    <row r="84" spans="1:6" x14ac:dyDescent="0.3">
      <c r="A84" s="2" t="s">
        <v>231</v>
      </c>
      <c r="B84" s="10" t="s">
        <v>232</v>
      </c>
      <c r="C84" s="4"/>
      <c r="D84" s="5" t="s">
        <v>233</v>
      </c>
      <c r="E84" s="16" t="s">
        <v>65</v>
      </c>
      <c r="F84" s="7" t="s">
        <v>222</v>
      </c>
    </row>
    <row r="85" spans="1:6" x14ac:dyDescent="0.3">
      <c r="A85" s="2" t="s">
        <v>234</v>
      </c>
      <c r="B85" s="3" t="s">
        <v>235</v>
      </c>
      <c r="C85" s="4"/>
      <c r="D85" s="5" t="s">
        <v>38</v>
      </c>
      <c r="E85" s="16" t="s">
        <v>32</v>
      </c>
      <c r="F85" s="7" t="s">
        <v>222</v>
      </c>
    </row>
    <row r="86" spans="1:6" x14ac:dyDescent="0.3">
      <c r="A86" s="2" t="s">
        <v>236</v>
      </c>
      <c r="B86" s="3" t="s">
        <v>237</v>
      </c>
      <c r="C86" s="4"/>
      <c r="D86" s="5" t="s">
        <v>238</v>
      </c>
      <c r="E86" s="16" t="s">
        <v>32</v>
      </c>
      <c r="F86" s="7" t="s">
        <v>222</v>
      </c>
    </row>
    <row r="87" spans="1:6" x14ac:dyDescent="0.3">
      <c r="A87" s="2" t="s">
        <v>239</v>
      </c>
      <c r="B87" s="10" t="s">
        <v>240</v>
      </c>
      <c r="C87" s="4"/>
      <c r="D87" s="5" t="s">
        <v>241</v>
      </c>
      <c r="E87" s="16" t="s">
        <v>65</v>
      </c>
      <c r="F87" s="7" t="s">
        <v>222</v>
      </c>
    </row>
    <row r="88" spans="1:6" x14ac:dyDescent="0.3">
      <c r="A88" s="2" t="s">
        <v>242</v>
      </c>
      <c r="B88" s="10" t="s">
        <v>243</v>
      </c>
      <c r="C88" s="4"/>
      <c r="D88" s="5" t="s">
        <v>244</v>
      </c>
      <c r="E88" s="16" t="s">
        <v>65</v>
      </c>
      <c r="F88" s="7" t="s">
        <v>222</v>
      </c>
    </row>
    <row r="89" spans="1:6" x14ac:dyDescent="0.3">
      <c r="A89" s="2" t="s">
        <v>245</v>
      </c>
      <c r="B89" s="10" t="s">
        <v>246</v>
      </c>
      <c r="C89" s="4"/>
      <c r="D89" s="5" t="s">
        <v>247</v>
      </c>
      <c r="E89" s="16" t="s">
        <v>65</v>
      </c>
      <c r="F89" s="7" t="s">
        <v>222</v>
      </c>
    </row>
    <row r="90" spans="1:6" x14ac:dyDescent="0.3">
      <c r="A90" s="2" t="s">
        <v>248</v>
      </c>
      <c r="B90" s="10" t="s">
        <v>249</v>
      </c>
      <c r="C90" s="4"/>
      <c r="D90" s="5" t="s">
        <v>250</v>
      </c>
      <c r="E90" s="16" t="s">
        <v>65</v>
      </c>
      <c r="F90" s="7" t="s">
        <v>222</v>
      </c>
    </row>
    <row r="91" spans="1:6" x14ac:dyDescent="0.3">
      <c r="A91" s="2" t="s">
        <v>251</v>
      </c>
      <c r="B91" s="10" t="s">
        <v>252</v>
      </c>
      <c r="C91" s="4"/>
      <c r="D91" s="5" t="s">
        <v>253</v>
      </c>
      <c r="E91" s="16" t="s">
        <v>65</v>
      </c>
      <c r="F91" s="7" t="s">
        <v>222</v>
      </c>
    </row>
    <row r="92" spans="1:6" x14ac:dyDescent="0.3">
      <c r="A92" s="2" t="s">
        <v>254</v>
      </c>
      <c r="B92" s="10" t="s">
        <v>255</v>
      </c>
      <c r="C92" s="4"/>
      <c r="D92" s="5" t="s">
        <v>256</v>
      </c>
      <c r="E92" s="16" t="s">
        <v>65</v>
      </c>
      <c r="F92" s="7" t="s">
        <v>222</v>
      </c>
    </row>
    <row r="93" spans="1:6" x14ac:dyDescent="0.3">
      <c r="A93" s="2" t="s">
        <v>257</v>
      </c>
      <c r="B93" s="10" t="s">
        <v>258</v>
      </c>
      <c r="C93" s="4"/>
      <c r="D93" s="5" t="s">
        <v>259</v>
      </c>
      <c r="E93" s="16" t="s">
        <v>65</v>
      </c>
      <c r="F93" s="7" t="s">
        <v>222</v>
      </c>
    </row>
    <row r="94" spans="1:6" x14ac:dyDescent="0.3">
      <c r="A94" s="2" t="s">
        <v>260</v>
      </c>
      <c r="B94" s="10" t="s">
        <v>261</v>
      </c>
      <c r="C94" s="4"/>
      <c r="D94" s="5" t="s">
        <v>262</v>
      </c>
      <c r="E94" s="16" t="s">
        <v>65</v>
      </c>
      <c r="F94" s="7" t="s">
        <v>222</v>
      </c>
    </row>
    <row r="95" spans="1:6" x14ac:dyDescent="0.3">
      <c r="A95" s="2" t="s">
        <v>263</v>
      </c>
      <c r="B95" s="10" t="s">
        <v>264</v>
      </c>
      <c r="C95" s="4"/>
      <c r="D95" s="5" t="s">
        <v>265</v>
      </c>
      <c r="E95" s="16" t="s">
        <v>65</v>
      </c>
      <c r="F95" s="7" t="s">
        <v>222</v>
      </c>
    </row>
    <row r="96" spans="1:6" x14ac:dyDescent="0.3">
      <c r="A96" s="2" t="s">
        <v>266</v>
      </c>
      <c r="B96" s="10" t="s">
        <v>267</v>
      </c>
      <c r="C96" s="4"/>
      <c r="D96" s="5" t="s">
        <v>268</v>
      </c>
      <c r="E96" s="16" t="s">
        <v>65</v>
      </c>
      <c r="F96" s="7" t="s">
        <v>222</v>
      </c>
    </row>
    <row r="97" spans="1:6" x14ac:dyDescent="0.3">
      <c r="A97" s="2" t="s">
        <v>269</v>
      </c>
      <c r="B97" s="10" t="s">
        <v>270</v>
      </c>
      <c r="C97" s="4"/>
      <c r="D97" s="5" t="s">
        <v>271</v>
      </c>
      <c r="E97" s="16" t="s">
        <v>65</v>
      </c>
      <c r="F97" s="7" t="s">
        <v>222</v>
      </c>
    </row>
    <row r="98" spans="1:6" x14ac:dyDescent="0.3">
      <c r="A98" s="2" t="s">
        <v>272</v>
      </c>
      <c r="B98" s="10" t="s">
        <v>273</v>
      </c>
      <c r="C98" s="4"/>
      <c r="D98" s="5" t="s">
        <v>274</v>
      </c>
      <c r="E98" s="16" t="s">
        <v>65</v>
      </c>
      <c r="F98" s="7" t="s">
        <v>222</v>
      </c>
    </row>
    <row r="99" spans="1:6" x14ac:dyDescent="0.3">
      <c r="A99" s="2" t="s">
        <v>275</v>
      </c>
      <c r="B99" s="10" t="s">
        <v>276</v>
      </c>
      <c r="C99" s="4"/>
      <c r="D99" s="5" t="s">
        <v>277</v>
      </c>
      <c r="E99" s="16" t="s">
        <v>65</v>
      </c>
      <c r="F99" s="7" t="s">
        <v>222</v>
      </c>
    </row>
    <row r="100" spans="1:6" x14ac:dyDescent="0.3">
      <c r="A100" s="2" t="s">
        <v>278</v>
      </c>
      <c r="B100" s="10" t="s">
        <v>279</v>
      </c>
      <c r="C100" s="4"/>
      <c r="D100" s="5" t="s">
        <v>280</v>
      </c>
      <c r="E100" s="16" t="s">
        <v>65</v>
      </c>
      <c r="F100" s="7" t="s">
        <v>222</v>
      </c>
    </row>
    <row r="101" spans="1:6" x14ac:dyDescent="0.3">
      <c r="A101" s="2" t="s">
        <v>281</v>
      </c>
      <c r="B101" s="10" t="s">
        <v>282</v>
      </c>
      <c r="C101" s="4"/>
      <c r="D101" s="5" t="s">
        <v>283</v>
      </c>
      <c r="E101" s="16" t="s">
        <v>65</v>
      </c>
      <c r="F101" s="7" t="s">
        <v>222</v>
      </c>
    </row>
    <row r="102" spans="1:6" x14ac:dyDescent="0.3">
      <c r="A102" s="2" t="s">
        <v>284</v>
      </c>
      <c r="B102" s="10" t="s">
        <v>285</v>
      </c>
      <c r="C102" s="4"/>
      <c r="D102" s="5" t="s">
        <v>286</v>
      </c>
      <c r="E102" s="16" t="s">
        <v>65</v>
      </c>
      <c r="F102" s="7" t="s">
        <v>222</v>
      </c>
    </row>
    <row r="103" spans="1:6" x14ac:dyDescent="0.3">
      <c r="A103" s="2" t="s">
        <v>287</v>
      </c>
      <c r="B103" s="10" t="s">
        <v>288</v>
      </c>
      <c r="C103" s="4"/>
      <c r="D103" s="5" t="s">
        <v>289</v>
      </c>
      <c r="E103" s="16" t="s">
        <v>65</v>
      </c>
      <c r="F103" s="7" t="s">
        <v>222</v>
      </c>
    </row>
    <row r="104" spans="1:6" x14ac:dyDescent="0.3">
      <c r="A104" s="2" t="s">
        <v>290</v>
      </c>
      <c r="B104" s="10" t="s">
        <v>291</v>
      </c>
      <c r="C104" s="4"/>
      <c r="D104" s="5" t="s">
        <v>292</v>
      </c>
      <c r="E104" s="16" t="s">
        <v>65</v>
      </c>
      <c r="F104" s="7" t="s">
        <v>222</v>
      </c>
    </row>
    <row r="105" spans="1:6" x14ac:dyDescent="0.3">
      <c r="A105" s="2" t="s">
        <v>293</v>
      </c>
      <c r="B105" s="10" t="s">
        <v>294</v>
      </c>
      <c r="C105" s="4"/>
      <c r="D105" s="5" t="s">
        <v>295</v>
      </c>
      <c r="E105" s="16" t="s">
        <v>65</v>
      </c>
      <c r="F105" s="7" t="s">
        <v>222</v>
      </c>
    </row>
    <row r="106" spans="1:6" x14ac:dyDescent="0.3">
      <c r="A106" s="2" t="s">
        <v>296</v>
      </c>
      <c r="B106" s="10" t="s">
        <v>297</v>
      </c>
      <c r="C106" s="4"/>
      <c r="D106" s="5" t="s">
        <v>298</v>
      </c>
      <c r="E106" s="16" t="s">
        <v>65</v>
      </c>
      <c r="F106" s="7" t="s">
        <v>222</v>
      </c>
    </row>
    <row r="107" spans="1:6" x14ac:dyDescent="0.3">
      <c r="A107" s="2" t="s">
        <v>299</v>
      </c>
      <c r="B107" s="10" t="s">
        <v>300</v>
      </c>
      <c r="C107" s="4"/>
      <c r="D107" s="5" t="s">
        <v>256</v>
      </c>
      <c r="E107" s="16" t="s">
        <v>65</v>
      </c>
      <c r="F107" s="7" t="s">
        <v>222</v>
      </c>
    </row>
    <row r="108" spans="1:6" x14ac:dyDescent="0.3">
      <c r="A108" s="2" t="s">
        <v>301</v>
      </c>
      <c r="B108" s="10" t="s">
        <v>302</v>
      </c>
      <c r="C108" s="4"/>
      <c r="D108" s="5" t="s">
        <v>256</v>
      </c>
      <c r="E108" s="16" t="s">
        <v>65</v>
      </c>
      <c r="F108" s="7" t="s">
        <v>222</v>
      </c>
    </row>
    <row r="109" spans="1:6" ht="18.75" customHeight="1" x14ac:dyDescent="0.3">
      <c r="A109" s="118" t="s">
        <v>303</v>
      </c>
      <c r="B109" s="118"/>
      <c r="C109" s="118"/>
      <c r="D109" s="118"/>
      <c r="E109" s="118"/>
      <c r="F109" s="118"/>
    </row>
    <row r="110" spans="1:6" x14ac:dyDescent="0.3">
      <c r="A110" s="2" t="s">
        <v>304</v>
      </c>
      <c r="B110" s="10" t="s">
        <v>305</v>
      </c>
      <c r="C110" s="4" t="str">
        <f>C13</f>
        <v>4 + 1 Months</v>
      </c>
      <c r="D110" s="5" t="s">
        <v>306</v>
      </c>
      <c r="E110" s="13" t="s">
        <v>61</v>
      </c>
      <c r="F110" s="7" t="s">
        <v>307</v>
      </c>
    </row>
    <row r="111" spans="1:6" ht="18.75" customHeight="1" x14ac:dyDescent="0.3">
      <c r="A111" s="118" t="s">
        <v>308</v>
      </c>
      <c r="B111" s="118"/>
      <c r="C111" s="118"/>
      <c r="D111" s="118"/>
      <c r="E111" s="118"/>
      <c r="F111" s="118"/>
    </row>
    <row r="112" spans="1:6" x14ac:dyDescent="0.3">
      <c r="A112" s="2" t="s">
        <v>309</v>
      </c>
      <c r="B112" s="3" t="s">
        <v>310</v>
      </c>
      <c r="C112" s="4" t="str">
        <f>IF(C24="","XXX",C24)</f>
        <v>L&amp;T TLT Galvanizing plant</v>
      </c>
      <c r="D112" s="5" t="s">
        <v>75</v>
      </c>
      <c r="E112" s="13" t="s">
        <v>61</v>
      </c>
      <c r="F112" s="7" t="s">
        <v>311</v>
      </c>
    </row>
    <row r="113" spans="1:6" x14ac:dyDescent="0.3">
      <c r="A113" s="2" t="s">
        <v>312</v>
      </c>
      <c r="B113" s="3" t="s">
        <v>313</v>
      </c>
      <c r="C113" s="4" t="str">
        <f>IF(C25="","XXX",C25)</f>
        <v>Neervalur, Tamil Nadu</v>
      </c>
      <c r="D113" s="5" t="s">
        <v>79</v>
      </c>
      <c r="E113" s="13" t="s">
        <v>61</v>
      </c>
      <c r="F113" s="7" t="s">
        <v>311</v>
      </c>
    </row>
    <row r="114" spans="1:6" x14ac:dyDescent="0.3">
      <c r="A114" s="2" t="s">
        <v>314</v>
      </c>
      <c r="B114" s="3" t="s">
        <v>315</v>
      </c>
      <c r="C114" s="4">
        <f>C77</f>
        <v>20</v>
      </c>
      <c r="D114" s="5" t="s">
        <v>316</v>
      </c>
      <c r="E114" s="13" t="s">
        <v>61</v>
      </c>
      <c r="F114" s="7" t="s">
        <v>311</v>
      </c>
    </row>
    <row r="115" spans="1:6" x14ac:dyDescent="0.3">
      <c r="A115" s="2" t="s">
        <v>317</v>
      </c>
      <c r="B115" s="10" t="s">
        <v>318</v>
      </c>
      <c r="C115" s="4">
        <f>IF(C114=10,3,5)</f>
        <v>5</v>
      </c>
      <c r="D115" s="5" t="s">
        <v>84</v>
      </c>
      <c r="E115" s="13" t="s">
        <v>61</v>
      </c>
      <c r="F115" s="7" t="s">
        <v>316</v>
      </c>
    </row>
    <row r="116" spans="1:6" ht="18.75" customHeight="1" x14ac:dyDescent="0.3">
      <c r="A116" s="118" t="s">
        <v>319</v>
      </c>
      <c r="B116" s="118"/>
      <c r="C116" s="118"/>
      <c r="D116" s="118"/>
      <c r="E116" s="118"/>
      <c r="F116" s="118"/>
    </row>
    <row r="117" spans="1:6" x14ac:dyDescent="0.3">
      <c r="A117" s="2" t="s">
        <v>320</v>
      </c>
      <c r="B117" s="3" t="s">
        <v>321</v>
      </c>
      <c r="C117" s="4" t="str">
        <f>C114&amp;" Years"</f>
        <v>20 Years</v>
      </c>
      <c r="D117" s="5" t="s">
        <v>322</v>
      </c>
      <c r="E117" s="13" t="s">
        <v>61</v>
      </c>
      <c r="F117" s="7" t="s">
        <v>311</v>
      </c>
    </row>
    <row r="118" spans="1:6" x14ac:dyDescent="0.3">
      <c r="A118" s="2" t="s">
        <v>323</v>
      </c>
      <c r="B118" s="3" t="s">
        <v>324</v>
      </c>
      <c r="C118" s="4">
        <f>C16</f>
        <v>5.49</v>
      </c>
      <c r="D118" s="5" t="s">
        <v>52</v>
      </c>
      <c r="E118" s="13" t="s">
        <v>61</v>
      </c>
      <c r="F118" s="7" t="s">
        <v>311</v>
      </c>
    </row>
    <row r="119" spans="1:6" x14ac:dyDescent="0.3">
      <c r="A119" s="2" t="s">
        <v>325</v>
      </c>
      <c r="B119" s="3" t="s">
        <v>326</v>
      </c>
      <c r="C119" s="4" t="s">
        <v>327</v>
      </c>
      <c r="D119" s="5" t="s">
        <v>327</v>
      </c>
      <c r="E119" s="14" t="s">
        <v>65</v>
      </c>
      <c r="F119" s="7" t="s">
        <v>311</v>
      </c>
    </row>
    <row r="120" spans="1:6" x14ac:dyDescent="0.3">
      <c r="A120" s="2" t="s">
        <v>328</v>
      </c>
      <c r="B120" s="10" t="s">
        <v>329</v>
      </c>
      <c r="C120" s="4">
        <v>95.22</v>
      </c>
      <c r="D120" s="5" t="s">
        <v>330</v>
      </c>
      <c r="E120" s="6" t="s">
        <v>12</v>
      </c>
      <c r="F120" s="7" t="s">
        <v>311</v>
      </c>
    </row>
    <row r="121" spans="1:6" ht="18.75" customHeight="1" x14ac:dyDescent="0.3">
      <c r="A121" s="118" t="s">
        <v>331</v>
      </c>
      <c r="B121" s="118"/>
      <c r="C121" s="118"/>
      <c r="D121" s="118"/>
      <c r="E121" s="118"/>
      <c r="F121" s="118"/>
    </row>
    <row r="122" spans="1:6" x14ac:dyDescent="0.3">
      <c r="A122" s="2" t="s">
        <v>332</v>
      </c>
      <c r="B122" s="3" t="s">
        <v>333</v>
      </c>
      <c r="C122" s="4">
        <f>C15</f>
        <v>7.5</v>
      </c>
      <c r="D122" s="5" t="s">
        <v>49</v>
      </c>
      <c r="E122" s="13" t="s">
        <v>61</v>
      </c>
      <c r="F122" s="7" t="s">
        <v>334</v>
      </c>
    </row>
    <row r="123" spans="1:6" x14ac:dyDescent="0.3">
      <c r="A123" s="2" t="s">
        <v>335</v>
      </c>
      <c r="B123" s="3" t="s">
        <v>336</v>
      </c>
      <c r="C123" s="4">
        <f>C16</f>
        <v>5.49</v>
      </c>
      <c r="D123" s="5" t="s">
        <v>52</v>
      </c>
      <c r="E123" s="13" t="s">
        <v>61</v>
      </c>
      <c r="F123" s="7" t="s">
        <v>334</v>
      </c>
    </row>
    <row r="124" spans="1:6" x14ac:dyDescent="0.3">
      <c r="A124" s="2" t="s">
        <v>337</v>
      </c>
      <c r="B124" s="10" t="s">
        <v>338</v>
      </c>
      <c r="C124" s="4"/>
      <c r="D124" s="5" t="s">
        <v>52</v>
      </c>
      <c r="E124" s="16" t="s">
        <v>65</v>
      </c>
      <c r="F124" s="7" t="s">
        <v>334</v>
      </c>
    </row>
    <row r="125" spans="1:6" x14ac:dyDescent="0.3">
      <c r="A125" s="2" t="s">
        <v>339</v>
      </c>
      <c r="B125" s="3" t="s">
        <v>340</v>
      </c>
      <c r="C125" s="4">
        <f>C122-C123</f>
        <v>2.0099999999999998</v>
      </c>
      <c r="D125" s="5" t="s">
        <v>341</v>
      </c>
      <c r="E125" s="13" t="s">
        <v>61</v>
      </c>
      <c r="F125" s="7" t="s">
        <v>334</v>
      </c>
    </row>
    <row r="126" spans="1:6" x14ac:dyDescent="0.3">
      <c r="A126" s="2" t="s">
        <v>342</v>
      </c>
      <c r="B126" s="3" t="s">
        <v>343</v>
      </c>
      <c r="C126" s="8">
        <f>C7</f>
        <v>687222</v>
      </c>
      <c r="D126" s="5" t="s">
        <v>21</v>
      </c>
      <c r="E126" s="13" t="s">
        <v>61</v>
      </c>
      <c r="F126" s="7" t="s">
        <v>334</v>
      </c>
    </row>
    <row r="127" spans="1:6" x14ac:dyDescent="0.3">
      <c r="A127" s="2" t="s">
        <v>344</v>
      </c>
      <c r="B127" s="3" t="s">
        <v>345</v>
      </c>
      <c r="C127" s="8">
        <f>C126*C125</f>
        <v>1381316.2199999997</v>
      </c>
      <c r="D127" s="5" t="s">
        <v>346</v>
      </c>
      <c r="E127" s="13" t="s">
        <v>61</v>
      </c>
      <c r="F127" s="7" t="s">
        <v>334</v>
      </c>
    </row>
    <row r="128" spans="1:6" x14ac:dyDescent="0.3">
      <c r="A128" s="2" t="s">
        <v>347</v>
      </c>
      <c r="B128" s="3" t="s">
        <v>348</v>
      </c>
      <c r="C128" s="8">
        <f>C127*C114</f>
        <v>27626324.399999995</v>
      </c>
      <c r="D128" s="5" t="s">
        <v>349</v>
      </c>
      <c r="E128" s="13" t="s">
        <v>61</v>
      </c>
      <c r="F128" s="7" t="s">
        <v>334</v>
      </c>
    </row>
    <row r="129" spans="1:6" x14ac:dyDescent="0.3">
      <c r="A129" s="2" t="s">
        <v>350</v>
      </c>
      <c r="B129" s="10" t="s">
        <v>351</v>
      </c>
      <c r="C129" s="112" t="s">
        <v>567</v>
      </c>
      <c r="D129" s="5" t="s">
        <v>352</v>
      </c>
      <c r="E129" s="6" t="s">
        <v>12</v>
      </c>
      <c r="F129" s="7" t="s">
        <v>334</v>
      </c>
    </row>
    <row r="130" spans="1:6" ht="18.75" customHeight="1" x14ac:dyDescent="0.3">
      <c r="A130" s="118" t="s">
        <v>353</v>
      </c>
      <c r="B130" s="118"/>
      <c r="C130" s="118"/>
      <c r="D130" s="118"/>
      <c r="E130" s="118"/>
      <c r="F130" s="118"/>
    </row>
    <row r="131" spans="1:6" x14ac:dyDescent="0.3">
      <c r="A131" s="2" t="s">
        <v>354</v>
      </c>
      <c r="B131" s="10" t="s">
        <v>355</v>
      </c>
      <c r="C131" s="12">
        <f>'Environmental Benefits'!F17</f>
        <v>666.83699491499999</v>
      </c>
      <c r="D131" s="5" t="s">
        <v>60</v>
      </c>
      <c r="E131" s="13" t="s">
        <v>61</v>
      </c>
      <c r="F131" s="7" t="s">
        <v>356</v>
      </c>
    </row>
    <row r="132" spans="1:6" ht="18.75" customHeight="1" x14ac:dyDescent="0.3">
      <c r="A132" s="118" t="s">
        <v>357</v>
      </c>
      <c r="B132" s="118"/>
      <c r="C132" s="118"/>
      <c r="D132" s="118"/>
      <c r="E132" s="118"/>
      <c r="F132" s="118"/>
    </row>
    <row r="133" spans="1:6" x14ac:dyDescent="0.3">
      <c r="A133" s="2" t="s">
        <v>358</v>
      </c>
      <c r="B133" s="10" t="s">
        <v>359</v>
      </c>
      <c r="C133" s="8" t="str">
        <f>TEXT(C7/100000,"0.00")&amp;" L"</f>
        <v>6.87 L</v>
      </c>
      <c r="D133" s="5" t="s">
        <v>360</v>
      </c>
      <c r="E133" s="13" t="s">
        <v>61</v>
      </c>
      <c r="F133" s="7" t="s">
        <v>361</v>
      </c>
    </row>
    <row r="134" spans="1:6" x14ac:dyDescent="0.3">
      <c r="A134" s="2" t="s">
        <v>362</v>
      </c>
      <c r="B134" s="10" t="s">
        <v>363</v>
      </c>
      <c r="C134" s="11"/>
      <c r="D134" s="5" t="s">
        <v>364</v>
      </c>
      <c r="E134" s="16" t="s">
        <v>65</v>
      </c>
      <c r="F134" s="7" t="s">
        <v>361</v>
      </c>
    </row>
    <row r="135" spans="1:6" x14ac:dyDescent="0.3">
      <c r="A135" s="2" t="s">
        <v>365</v>
      </c>
      <c r="B135" s="10" t="s">
        <v>366</v>
      </c>
      <c r="C135" s="11" t="str">
        <f>"₹ "&amp;TRUNC(C127/100000,1)&amp;" L"</f>
        <v>₹ 13.8 L</v>
      </c>
      <c r="D135" s="5" t="s">
        <v>367</v>
      </c>
      <c r="E135" s="13" t="s">
        <v>61</v>
      </c>
      <c r="F135" s="7" t="s">
        <v>361</v>
      </c>
    </row>
    <row r="136" spans="1:6" x14ac:dyDescent="0.3">
      <c r="A136" s="2" t="s">
        <v>368</v>
      </c>
      <c r="B136" s="10" t="s">
        <v>369</v>
      </c>
      <c r="C136" s="8" t="str">
        <f>TEXT(C131/1,"0")&amp;" t"</f>
        <v>667 t</v>
      </c>
      <c r="D136" s="5" t="s">
        <v>370</v>
      </c>
      <c r="E136" s="13" t="s">
        <v>61</v>
      </c>
      <c r="F136" s="7" t="s">
        <v>361</v>
      </c>
    </row>
    <row r="137" spans="1:6" x14ac:dyDescent="0.3">
      <c r="A137" s="2" t="s">
        <v>371</v>
      </c>
      <c r="B137" s="10" t="s">
        <v>372</v>
      </c>
      <c r="C137" s="11" t="str">
        <f>C13</f>
        <v>4 + 1 Months</v>
      </c>
      <c r="D137" s="5" t="s">
        <v>373</v>
      </c>
      <c r="E137" s="13" t="s">
        <v>61</v>
      </c>
      <c r="F137" s="7" t="s">
        <v>361</v>
      </c>
    </row>
    <row r="138" spans="1:6" ht="18.75" customHeight="1" x14ac:dyDescent="0.3">
      <c r="A138" s="117" t="s">
        <v>569</v>
      </c>
      <c r="B138" s="117"/>
      <c r="C138" s="117"/>
      <c r="D138" s="117"/>
      <c r="E138" s="117"/>
      <c r="F138" s="117"/>
    </row>
    <row r="139" spans="1:6" x14ac:dyDescent="0.3">
      <c r="A139" s="2" t="s">
        <v>374</v>
      </c>
      <c r="B139" s="10" t="s">
        <v>375</v>
      </c>
      <c r="C139" s="8">
        <f>'Environmental Benefits'!C17</f>
        <v>323.10658516500007</v>
      </c>
      <c r="D139" s="5" t="s">
        <v>376</v>
      </c>
      <c r="E139" s="13" t="s">
        <v>61</v>
      </c>
      <c r="F139" s="7" t="s">
        <v>361</v>
      </c>
    </row>
    <row r="140" spans="1:6" x14ac:dyDescent="0.3">
      <c r="A140" s="2" t="s">
        <v>377</v>
      </c>
      <c r="B140" s="10" t="s">
        <v>378</v>
      </c>
      <c r="C140" s="12">
        <f>'Environmental Benefits'!G17</f>
        <v>1581159.88485</v>
      </c>
      <c r="D140" s="5" t="s">
        <v>379</v>
      </c>
      <c r="E140" s="13" t="s">
        <v>61</v>
      </c>
      <c r="F140" s="7" t="s">
        <v>361</v>
      </c>
    </row>
    <row r="141" spans="1:6" x14ac:dyDescent="0.3">
      <c r="A141" s="2" t="s">
        <v>380</v>
      </c>
      <c r="B141" s="10" t="s">
        <v>381</v>
      </c>
      <c r="C141" s="8">
        <f>'Environmental Benefits'!C19</f>
        <v>30627.545327698066</v>
      </c>
      <c r="D141" s="5" t="s">
        <v>382</v>
      </c>
      <c r="E141" s="13" t="s">
        <v>61</v>
      </c>
      <c r="F141" s="7" t="s">
        <v>361</v>
      </c>
    </row>
    <row r="142" spans="1:6" ht="18.75" customHeight="1" x14ac:dyDescent="0.3">
      <c r="A142" s="117" t="s">
        <v>568</v>
      </c>
      <c r="B142" s="117"/>
      <c r="C142" s="117"/>
      <c r="D142" s="117"/>
      <c r="E142" s="117"/>
      <c r="F142" s="117"/>
    </row>
    <row r="143" spans="1:6" x14ac:dyDescent="0.3">
      <c r="A143" s="2" t="s">
        <v>383</v>
      </c>
      <c r="B143" s="10" t="s">
        <v>384</v>
      </c>
      <c r="C143" s="12">
        <f ca="1">'Buyout values '!AP52</f>
        <v>42393.741627854906</v>
      </c>
      <c r="D143" s="5" t="s">
        <v>385</v>
      </c>
      <c r="E143" s="13" t="s">
        <v>61</v>
      </c>
      <c r="F143" s="7" t="s">
        <v>386</v>
      </c>
    </row>
    <row r="144" spans="1:6" x14ac:dyDescent="0.3">
      <c r="A144" s="2" t="s">
        <v>387</v>
      </c>
      <c r="B144" s="10" t="s">
        <v>388</v>
      </c>
      <c r="C144" s="12">
        <f ca="1">'Buyout values '!AP53</f>
        <v>41703.659909937516</v>
      </c>
      <c r="D144" s="5" t="s">
        <v>389</v>
      </c>
      <c r="E144" s="13" t="s">
        <v>61</v>
      </c>
      <c r="F144" s="7" t="s">
        <v>386</v>
      </c>
    </row>
    <row r="145" spans="1:6" x14ac:dyDescent="0.3">
      <c r="A145" s="2" t="s">
        <v>390</v>
      </c>
      <c r="B145" s="10" t="s">
        <v>391</v>
      </c>
      <c r="C145" s="12">
        <f ca="1">'Buyout values '!AP54</f>
        <v>40914.54741577134</v>
      </c>
      <c r="D145" s="5" t="s">
        <v>392</v>
      </c>
      <c r="E145" s="13" t="s">
        <v>61</v>
      </c>
      <c r="F145" s="7" t="s">
        <v>386</v>
      </c>
    </row>
    <row r="146" spans="1:6" x14ac:dyDescent="0.3">
      <c r="A146" s="2" t="s">
        <v>393</v>
      </c>
      <c r="B146" s="10" t="s">
        <v>394</v>
      </c>
      <c r="C146" s="12">
        <f ca="1">'Buyout values '!AP55</f>
        <v>40017.2184917782</v>
      </c>
      <c r="D146" s="5"/>
      <c r="E146" s="13" t="s">
        <v>61</v>
      </c>
      <c r="F146" s="7" t="s">
        <v>386</v>
      </c>
    </row>
    <row r="147" spans="1:6" x14ac:dyDescent="0.3">
      <c r="A147" s="2" t="s">
        <v>395</v>
      </c>
      <c r="B147" s="10" t="s">
        <v>396</v>
      </c>
      <c r="C147" s="12">
        <f ca="1">'Buyout values '!AP56</f>
        <v>39001.296743424886</v>
      </c>
      <c r="D147" s="5"/>
      <c r="E147" s="13" t="s">
        <v>61</v>
      </c>
      <c r="F147" s="7" t="s">
        <v>386</v>
      </c>
    </row>
    <row r="148" spans="1:6" x14ac:dyDescent="0.3">
      <c r="A148" s="2" t="s">
        <v>397</v>
      </c>
      <c r="B148" s="10" t="s">
        <v>398</v>
      </c>
      <c r="C148" s="12">
        <f ca="1">'Buyout values '!AP57</f>
        <v>37855.059661810847</v>
      </c>
      <c r="D148" s="5"/>
      <c r="E148" s="13" t="s">
        <v>61</v>
      </c>
      <c r="F148" s="7" t="s">
        <v>386</v>
      </c>
    </row>
    <row r="149" spans="1:6" x14ac:dyDescent="0.3">
      <c r="A149" s="2" t="s">
        <v>399</v>
      </c>
      <c r="B149" s="10" t="s">
        <v>400</v>
      </c>
      <c r="C149" s="12">
        <f ca="1">'Buyout values '!AP58</f>
        <v>36565.263108048151</v>
      </c>
      <c r="D149" s="5"/>
      <c r="E149" s="13" t="s">
        <v>61</v>
      </c>
      <c r="F149" s="7" t="s">
        <v>386</v>
      </c>
    </row>
    <row r="150" spans="1:6" x14ac:dyDescent="0.3">
      <c r="A150" s="2" t="s">
        <v>401</v>
      </c>
      <c r="B150" s="10" t="s">
        <v>402</v>
      </c>
      <c r="C150" s="12">
        <f ca="1">'Buyout values '!AP59</f>
        <v>35116.943079741315</v>
      </c>
      <c r="D150" s="5"/>
      <c r="E150" s="13" t="s">
        <v>61</v>
      </c>
      <c r="F150" s="7" t="s">
        <v>386</v>
      </c>
    </row>
    <row r="151" spans="1:6" x14ac:dyDescent="0.3">
      <c r="A151" s="2" t="s">
        <v>403</v>
      </c>
      <c r="B151" s="10" t="s">
        <v>404</v>
      </c>
      <c r="C151" s="12">
        <f ca="1">'Buyout values '!AP60</f>
        <v>33493.191858678962</v>
      </c>
      <c r="D151" s="5"/>
      <c r="E151" s="13" t="s">
        <v>61</v>
      </c>
      <c r="F151" s="7" t="s">
        <v>386</v>
      </c>
    </row>
    <row r="152" spans="1:6" x14ac:dyDescent="0.3">
      <c r="A152" s="2" t="s">
        <v>405</v>
      </c>
      <c r="B152" s="10" t="s">
        <v>406</v>
      </c>
      <c r="C152" s="12">
        <f ca="1">'Buyout values '!AP61</f>
        <v>31674.905273017219</v>
      </c>
      <c r="D152" s="5"/>
      <c r="E152" s="13" t="s">
        <v>61</v>
      </c>
      <c r="F152" s="7" t="s">
        <v>386</v>
      </c>
    </row>
    <row r="153" spans="1:6" x14ac:dyDescent="0.3">
      <c r="A153" s="2" t="s">
        <v>407</v>
      </c>
      <c r="B153" s="10" t="s">
        <v>408</v>
      </c>
      <c r="C153" s="12">
        <f ca="1">'Buyout values '!AP62</f>
        <v>30070.426645727715</v>
      </c>
      <c r="D153" s="5"/>
      <c r="E153" s="13" t="s">
        <v>61</v>
      </c>
      <c r="F153" s="7" t="s">
        <v>386</v>
      </c>
    </row>
    <row r="154" spans="1:6" x14ac:dyDescent="0.3">
      <c r="A154" s="2" t="s">
        <v>409</v>
      </c>
      <c r="B154" s="10" t="s">
        <v>410</v>
      </c>
      <c r="C154" s="12">
        <f ca="1">'Buyout values '!AP63</f>
        <v>28304.209642419613</v>
      </c>
      <c r="D154" s="5"/>
      <c r="E154" s="13" t="s">
        <v>61</v>
      </c>
      <c r="F154" s="7" t="s">
        <v>386</v>
      </c>
    </row>
    <row r="155" spans="1:6" x14ac:dyDescent="0.3">
      <c r="A155" s="2" t="s">
        <v>411</v>
      </c>
      <c r="B155" s="10" t="s">
        <v>412</v>
      </c>
      <c r="C155" s="12">
        <f ca="1">'Buyout values '!AP64</f>
        <v>26358.223150084112</v>
      </c>
      <c r="D155" s="5"/>
      <c r="E155" s="13" t="s">
        <v>61</v>
      </c>
      <c r="F155" s="7" t="s">
        <v>386</v>
      </c>
    </row>
    <row r="156" spans="1:6" x14ac:dyDescent="0.3">
      <c r="A156" s="2" t="s">
        <v>413</v>
      </c>
      <c r="B156" s="10" t="s">
        <v>414</v>
      </c>
      <c r="C156" s="12">
        <f ca="1">'Buyout values '!AP65</f>
        <v>24793.604798940734</v>
      </c>
      <c r="D156" s="5"/>
      <c r="E156" s="13" t="s">
        <v>61</v>
      </c>
      <c r="F156" s="7" t="s">
        <v>386</v>
      </c>
    </row>
    <row r="157" spans="1:6" x14ac:dyDescent="0.3">
      <c r="A157" s="2" t="s">
        <v>415</v>
      </c>
      <c r="B157" s="10" t="s">
        <v>416</v>
      </c>
      <c r="C157" s="12">
        <f ca="1">'Buyout values '!AP66</f>
        <v>21424.107810634301</v>
      </c>
      <c r="D157" s="5" t="s">
        <v>417</v>
      </c>
      <c r="E157" s="13" t="s">
        <v>61</v>
      </c>
      <c r="F157" s="7" t="s">
        <v>386</v>
      </c>
    </row>
    <row r="158" spans="1:6" x14ac:dyDescent="0.3">
      <c r="A158" s="2" t="s">
        <v>418</v>
      </c>
      <c r="B158" s="10" t="s">
        <v>419</v>
      </c>
      <c r="C158" s="12">
        <f ca="1">'Buyout values '!AP67</f>
        <v>17869.764009262311</v>
      </c>
      <c r="D158" s="5"/>
      <c r="E158" s="13" t="s">
        <v>61</v>
      </c>
      <c r="F158" s="7" t="s">
        <v>386</v>
      </c>
    </row>
    <row r="159" spans="1:6" x14ac:dyDescent="0.3">
      <c r="A159" s="2" t="s">
        <v>420</v>
      </c>
      <c r="B159" s="10" t="s">
        <v>421</v>
      </c>
      <c r="C159" s="12">
        <f ca="1">'Buyout values '!AP68</f>
        <v>13988.940825921603</v>
      </c>
      <c r="D159" s="5"/>
      <c r="E159" s="13" t="s">
        <v>61</v>
      </c>
      <c r="F159" s="7" t="s">
        <v>386</v>
      </c>
    </row>
    <row r="160" spans="1:6" x14ac:dyDescent="0.3">
      <c r="A160" s="2" t="s">
        <v>422</v>
      </c>
      <c r="B160" s="10" t="s">
        <v>423</v>
      </c>
      <c r="C160" s="12">
        <f ca="1">'Buyout values '!AP69</f>
        <v>9745.06114162837</v>
      </c>
      <c r="D160" s="5"/>
      <c r="E160" s="13" t="s">
        <v>61</v>
      </c>
      <c r="F160" s="7" t="s">
        <v>386</v>
      </c>
    </row>
    <row r="161" spans="1:6" x14ac:dyDescent="0.3">
      <c r="A161" s="2" t="s">
        <v>424</v>
      </c>
      <c r="B161" s="10" t="s">
        <v>425</v>
      </c>
      <c r="C161" s="12">
        <f ca="1">'Buyout values '!AP70</f>
        <v>5097.1322541146037</v>
      </c>
      <c r="D161" s="5"/>
      <c r="E161" s="13" t="s">
        <v>61</v>
      </c>
      <c r="F161" s="7" t="s">
        <v>386</v>
      </c>
    </row>
    <row r="162" spans="1:6" x14ac:dyDescent="0.3">
      <c r="A162" s="2" t="s">
        <v>426</v>
      </c>
      <c r="B162" s="10" t="s">
        <v>427</v>
      </c>
      <c r="C162" s="12">
        <f ca="1">'Buyout values '!AP71</f>
        <v>4.547454200720107E-10</v>
      </c>
      <c r="D162" s="5"/>
      <c r="E162" s="13" t="s">
        <v>61</v>
      </c>
      <c r="F162" s="7" t="s">
        <v>386</v>
      </c>
    </row>
    <row r="163" spans="1:6" x14ac:dyDescent="0.3">
      <c r="A163" s="2" t="s">
        <v>428</v>
      </c>
      <c r="B163" s="10" t="s">
        <v>429</v>
      </c>
      <c r="C163" s="12">
        <f ca="1">'Buyout values '!AP72</f>
        <v>5.0973627599624164E-10</v>
      </c>
      <c r="D163" s="5"/>
      <c r="E163" s="13" t="s">
        <v>61</v>
      </c>
      <c r="F163" s="7" t="s">
        <v>386</v>
      </c>
    </row>
    <row r="164" spans="1:6" x14ac:dyDescent="0.3">
      <c r="A164" s="2" t="s">
        <v>430</v>
      </c>
      <c r="B164" s="10" t="s">
        <v>431</v>
      </c>
      <c r="C164" s="12">
        <f ca="1">'Buyout values '!AP73</f>
        <v>5.7137699380319507E-10</v>
      </c>
      <c r="D164" s="5"/>
      <c r="E164" s="13" t="s">
        <v>61</v>
      </c>
      <c r="F164" s="7" t="s">
        <v>386</v>
      </c>
    </row>
    <row r="165" spans="1:6" x14ac:dyDescent="0.3">
      <c r="A165" s="2" t="s">
        <v>432</v>
      </c>
      <c r="B165" s="10" t="s">
        <v>433</v>
      </c>
      <c r="C165" s="12">
        <f ca="1">'Buyout values '!AP74</f>
        <v>6.4047171924248834E-10</v>
      </c>
      <c r="D165" s="5"/>
      <c r="E165" s="13" t="s">
        <v>61</v>
      </c>
      <c r="F165" s="7" t="s">
        <v>386</v>
      </c>
    </row>
    <row r="166" spans="1:6" x14ac:dyDescent="0.3">
      <c r="A166" s="2" t="s">
        <v>434</v>
      </c>
      <c r="B166" s="10" t="s">
        <v>435</v>
      </c>
      <c r="C166" s="12">
        <f ca="1">'Buyout values '!AP75</f>
        <v>7.1792184074306541E-10</v>
      </c>
      <c r="D166" s="5"/>
      <c r="E166" s="13" t="s">
        <v>61</v>
      </c>
      <c r="F166" s="7" t="s">
        <v>386</v>
      </c>
    </row>
    <row r="167" spans="1:6" x14ac:dyDescent="0.3">
      <c r="A167" s="2" t="s">
        <v>436</v>
      </c>
      <c r="B167" s="10" t="s">
        <v>437</v>
      </c>
      <c r="C167" s="12">
        <f ca="1">'Buyout values '!AP76</f>
        <v>8.0473774864799558E-10</v>
      </c>
      <c r="D167" s="5"/>
      <c r="E167" s="13" t="s">
        <v>61</v>
      </c>
      <c r="F167" s="7" t="s">
        <v>386</v>
      </c>
    </row>
    <row r="168" spans="1:6" ht="18.75" customHeight="1" x14ac:dyDescent="0.3">
      <c r="A168" s="118" t="s">
        <v>438</v>
      </c>
      <c r="B168" s="118"/>
      <c r="C168" s="118"/>
      <c r="D168" s="118"/>
      <c r="E168" s="118"/>
      <c r="F168" s="118"/>
    </row>
    <row r="169" spans="1:6" x14ac:dyDescent="0.3">
      <c r="A169" s="2" t="s">
        <v>439</v>
      </c>
      <c r="B169" s="10" t="s">
        <v>440</v>
      </c>
      <c r="C169" s="8">
        <f>'Environmental Benefits'!C17</f>
        <v>323.10658516500007</v>
      </c>
      <c r="D169" s="5" t="s">
        <v>441</v>
      </c>
      <c r="E169" s="13" t="s">
        <v>61</v>
      </c>
      <c r="F169" s="7" t="s">
        <v>356</v>
      </c>
    </row>
    <row r="170" spans="1:6" x14ac:dyDescent="0.3">
      <c r="A170" s="2" t="s">
        <v>442</v>
      </c>
      <c r="B170" s="10" t="s">
        <v>443</v>
      </c>
      <c r="C170" s="8">
        <f>'Environmental Benefits'!F17</f>
        <v>666.83699491499999</v>
      </c>
      <c r="D170" s="5" t="s">
        <v>441</v>
      </c>
      <c r="E170" s="13" t="s">
        <v>61</v>
      </c>
      <c r="F170" s="7" t="s">
        <v>356</v>
      </c>
    </row>
    <row r="171" spans="1:6" x14ac:dyDescent="0.3">
      <c r="A171" s="2" t="s">
        <v>444</v>
      </c>
      <c r="B171" s="10" t="s">
        <v>445</v>
      </c>
      <c r="C171" s="8">
        <f>'Environmental Benefits'!G17</f>
        <v>1581159.88485</v>
      </c>
      <c r="D171" s="5" t="s">
        <v>446</v>
      </c>
      <c r="E171" s="13" t="s">
        <v>61</v>
      </c>
      <c r="F171" s="7" t="s">
        <v>356</v>
      </c>
    </row>
    <row r="172" spans="1:6" x14ac:dyDescent="0.3">
      <c r="A172" s="2" t="s">
        <v>447</v>
      </c>
      <c r="B172" s="10" t="s">
        <v>448</v>
      </c>
      <c r="C172" s="8">
        <f>'Environmental Benefits'!C19</f>
        <v>30627.545327698066</v>
      </c>
      <c r="D172" s="5" t="s">
        <v>449</v>
      </c>
      <c r="E172" s="13" t="s">
        <v>61</v>
      </c>
      <c r="F172" s="7" t="s">
        <v>356</v>
      </c>
    </row>
  </sheetData>
  <mergeCells count="17">
    <mergeCell ref="A1:F1"/>
    <mergeCell ref="A2:F2"/>
    <mergeCell ref="A4:F4"/>
    <mergeCell ref="A23:F23"/>
    <mergeCell ref="A37:F37"/>
    <mergeCell ref="A46:F46"/>
    <mergeCell ref="A72:F72"/>
    <mergeCell ref="A79:F79"/>
    <mergeCell ref="A109:F109"/>
    <mergeCell ref="A111:F111"/>
    <mergeCell ref="A142:F142"/>
    <mergeCell ref="A168:F168"/>
    <mergeCell ref="A116:F116"/>
    <mergeCell ref="A121:F121"/>
    <mergeCell ref="A130:F130"/>
    <mergeCell ref="A132:F132"/>
    <mergeCell ref="A138:F1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R25"/>
  <sheetViews>
    <sheetView zoomScale="115" zoomScaleNormal="115" workbookViewId="0">
      <selection activeCell="C12" sqref="C12"/>
    </sheetView>
  </sheetViews>
  <sheetFormatPr defaultColWidth="8.6640625" defaultRowHeight="14.4" x14ac:dyDescent="0.3"/>
  <cols>
    <col min="2" max="2" width="41.88671875" customWidth="1"/>
    <col min="3" max="3" width="13.109375" customWidth="1"/>
    <col min="4" max="7" width="15" customWidth="1"/>
    <col min="10" max="10" width="12.5546875" customWidth="1"/>
  </cols>
  <sheetData>
    <row r="2" spans="1:18" s="19" customFormat="1" ht="15" customHeight="1" x14ac:dyDescent="0.3">
      <c r="A2" s="18"/>
      <c r="B2" s="121" t="s">
        <v>450</v>
      </c>
      <c r="C2" s="121"/>
      <c r="D2" s="121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19" customFormat="1" x14ac:dyDescent="0.3">
      <c r="A3" s="18"/>
      <c r="B3" s="20" t="s">
        <v>451</v>
      </c>
      <c r="C3" s="18"/>
      <c r="D3" s="18"/>
      <c r="E3" s="18"/>
      <c r="F3" s="18"/>
      <c r="G3" s="2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19" customFormat="1" x14ac:dyDescent="0.3">
      <c r="A4" s="18"/>
      <c r="B4" s="22" t="s">
        <v>452</v>
      </c>
      <c r="C4" s="23">
        <v>0.47</v>
      </c>
      <c r="D4" s="22" t="s">
        <v>453</v>
      </c>
      <c r="E4" s="18"/>
      <c r="F4" s="18"/>
      <c r="G4" s="21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19" customFormat="1" x14ac:dyDescent="0.3">
      <c r="A5" s="18"/>
      <c r="B5" s="22" t="s">
        <v>454</v>
      </c>
      <c r="C5" s="23">
        <v>0.97</v>
      </c>
      <c r="D5" s="22" t="s">
        <v>453</v>
      </c>
      <c r="E5" s="18"/>
      <c r="G5" s="24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19" customFormat="1" x14ac:dyDescent="0.3">
      <c r="B6" s="22" t="s">
        <v>455</v>
      </c>
      <c r="C6" s="23">
        <v>7.0000000000000001E-3</v>
      </c>
      <c r="D6" s="22" t="s">
        <v>453</v>
      </c>
      <c r="E6" s="18"/>
      <c r="F6" s="25"/>
      <c r="G6" s="26"/>
      <c r="H6" s="27"/>
      <c r="I6" s="18"/>
      <c r="J6" s="28"/>
      <c r="K6" s="18"/>
      <c r="L6" s="18"/>
      <c r="M6" s="18"/>
      <c r="N6" s="18"/>
      <c r="O6" s="18"/>
      <c r="P6" s="18"/>
      <c r="Q6" s="18"/>
      <c r="R6" s="18"/>
    </row>
    <row r="7" spans="1:18" s="19" customFormat="1" x14ac:dyDescent="0.3">
      <c r="B7" s="22" t="s">
        <v>456</v>
      </c>
      <c r="C7" s="23">
        <v>4.3E-3</v>
      </c>
      <c r="D7" s="22" t="s">
        <v>453</v>
      </c>
      <c r="E7" s="18"/>
      <c r="F7" s="18"/>
      <c r="G7" s="18"/>
      <c r="H7" s="18"/>
      <c r="I7" s="18"/>
      <c r="J7" s="28"/>
      <c r="K7" s="18"/>
      <c r="L7" s="18"/>
      <c r="M7" s="18"/>
      <c r="N7" s="18"/>
      <c r="O7" s="18"/>
      <c r="P7" s="18"/>
      <c r="Q7" s="18"/>
      <c r="R7" s="18"/>
    </row>
    <row r="8" spans="1:18" s="19" customFormat="1" x14ac:dyDescent="0.3">
      <c r="B8" s="22" t="s">
        <v>457</v>
      </c>
      <c r="C8" s="23">
        <v>2.2999999999999998</v>
      </c>
      <c r="D8" s="22" t="s">
        <v>458</v>
      </c>
      <c r="E8" s="18"/>
      <c r="F8" s="18"/>
      <c r="G8" s="18"/>
      <c r="H8" s="18"/>
      <c r="I8" s="18"/>
      <c r="J8" s="29"/>
      <c r="K8" s="18"/>
      <c r="L8" s="18"/>
      <c r="M8" s="18"/>
      <c r="N8" s="18"/>
      <c r="O8" s="18"/>
      <c r="P8" s="18"/>
    </row>
    <row r="9" spans="1:18" s="19" customFormat="1" x14ac:dyDescent="0.3">
      <c r="B9" s="22" t="s">
        <v>459</v>
      </c>
      <c r="C9" s="22">
        <f>48/2.20462</f>
        <v>21.772459652910708</v>
      </c>
      <c r="D9" s="22" t="s">
        <v>460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8" s="19" customFormat="1" x14ac:dyDescent="0.3">
      <c r="B10" s="22" t="s">
        <v>461</v>
      </c>
      <c r="C10" s="30">
        <f>'Proposal Inputs'!C5</f>
        <v>499.59</v>
      </c>
      <c r="D10" s="22" t="s">
        <v>462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8" s="19" customFormat="1" x14ac:dyDescent="0.3">
      <c r="B11" s="22" t="s">
        <v>463</v>
      </c>
      <c r="C11" s="31">
        <v>3.77</v>
      </c>
      <c r="D11" s="22" t="s">
        <v>464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8" s="19" customFormat="1" x14ac:dyDescent="0.3">
      <c r="B12" s="22" t="s">
        <v>465</v>
      </c>
      <c r="C12" s="32">
        <f>C11*365*C10</f>
        <v>687460.81949999998</v>
      </c>
      <c r="D12" s="22" t="s">
        <v>466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8" s="19" customFormat="1" x14ac:dyDescent="0.3">
      <c r="B13" s="22" t="s">
        <v>467</v>
      </c>
      <c r="C13" s="33">
        <f>C12/(C10*365*24)</f>
        <v>0.15708333333333335</v>
      </c>
      <c r="D13" s="22" t="s">
        <v>468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8" s="19" customFormat="1" x14ac:dyDescent="0.3"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8" s="19" customFormat="1" x14ac:dyDescent="0.3">
      <c r="B15" s="20" t="s">
        <v>469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9"/>
      <c r="Q15" s="18"/>
      <c r="R15" s="18"/>
    </row>
    <row r="16" spans="1:18" s="34" customFormat="1" ht="28.5" customHeight="1" x14ac:dyDescent="0.3">
      <c r="B16" s="35" t="s">
        <v>470</v>
      </c>
      <c r="C16" s="36" t="s">
        <v>471</v>
      </c>
      <c r="D16" s="36" t="s">
        <v>472</v>
      </c>
      <c r="E16" s="36" t="s">
        <v>473</v>
      </c>
      <c r="F16" s="36" t="s">
        <v>474</v>
      </c>
      <c r="G16" s="36" t="s">
        <v>475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2:18" s="19" customFormat="1" x14ac:dyDescent="0.3">
      <c r="B17" s="22" t="s">
        <v>476</v>
      </c>
      <c r="C17" s="38">
        <f>C10*C13*24*365*C4/10^3</f>
        <v>323.10658516500007</v>
      </c>
      <c r="D17" s="38">
        <f>C10*C13*24*365*C6/10^3</f>
        <v>4.8122257365000003</v>
      </c>
      <c r="E17" s="38">
        <f>C10*C13*24*365*C7/10^3</f>
        <v>2.9560815238500004</v>
      </c>
      <c r="F17" s="38">
        <f>C10*C13*24*365*C5/10^3</f>
        <v>666.83699491499999</v>
      </c>
      <c r="G17" s="38">
        <f>C10*C13*24*365*C8</f>
        <v>1581159.88485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2:18" s="19" customFormat="1" x14ac:dyDescent="0.3">
      <c r="C18" s="18"/>
      <c r="D18" s="18"/>
      <c r="E18" s="18"/>
      <c r="F18" s="18"/>
      <c r="G18" s="2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2:18" s="19" customFormat="1" ht="28.5" customHeight="1" x14ac:dyDescent="0.3">
      <c r="B19" s="35" t="s">
        <v>477</v>
      </c>
      <c r="C19" s="39">
        <f>F17/C9*10^3</f>
        <v>30627.545327698066</v>
      </c>
      <c r="D19" s="40"/>
      <c r="E19" s="29"/>
      <c r="F19" s="21"/>
      <c r="G19" s="29"/>
      <c r="H19" s="18"/>
      <c r="I19" s="18"/>
      <c r="J19" s="18"/>
      <c r="K19" s="18"/>
      <c r="L19" s="18"/>
      <c r="M19" s="18"/>
      <c r="N19" s="18"/>
      <c r="O19" s="18"/>
      <c r="P19" s="18"/>
    </row>
    <row r="20" spans="2:18" s="19" customFormat="1" ht="41.7" customHeight="1" x14ac:dyDescent="0.3">
      <c r="B20" s="122" t="s">
        <v>478</v>
      </c>
      <c r="C20" s="122"/>
      <c r="D20" s="122"/>
      <c r="E20" s="18"/>
      <c r="F20" s="18"/>
      <c r="G20" s="29"/>
      <c r="H20" s="18"/>
      <c r="I20" s="18"/>
      <c r="J20" s="18"/>
      <c r="K20" s="18"/>
      <c r="L20" s="18"/>
      <c r="M20" s="18"/>
      <c r="N20" s="18"/>
      <c r="O20" s="18"/>
      <c r="P20" s="18"/>
    </row>
    <row r="21" spans="2:18" x14ac:dyDescent="0.3">
      <c r="B21" s="41" t="s">
        <v>479</v>
      </c>
    </row>
    <row r="22" spans="2:18" x14ac:dyDescent="0.3">
      <c r="B22" s="41" t="s">
        <v>480</v>
      </c>
    </row>
    <row r="23" spans="2:18" x14ac:dyDescent="0.3">
      <c r="B23" s="41" t="s">
        <v>481</v>
      </c>
    </row>
    <row r="25" spans="2:18" x14ac:dyDescent="0.3">
      <c r="C25" s="42"/>
      <c r="D25" s="42"/>
      <c r="E25" s="42"/>
    </row>
  </sheetData>
  <mergeCells count="2">
    <mergeCell ref="B2:D2"/>
    <mergeCell ref="B20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89"/>
  <sheetViews>
    <sheetView zoomScale="70" zoomScaleNormal="70" workbookViewId="0">
      <selection activeCell="E16" sqref="E16"/>
    </sheetView>
  </sheetViews>
  <sheetFormatPr defaultColWidth="8.88671875" defaultRowHeight="14.4" x14ac:dyDescent="0.3"/>
  <cols>
    <col min="1" max="1" width="7.33203125" style="43" customWidth="1"/>
    <col min="2" max="2" width="16.88671875" style="43" customWidth="1"/>
    <col min="3" max="3" width="19" style="43" customWidth="1"/>
    <col min="4" max="4" width="9" style="43" customWidth="1"/>
    <col min="5" max="6" width="16.88671875" style="43" customWidth="1"/>
    <col min="7" max="7" width="28" style="43" customWidth="1"/>
    <col min="8" max="9" width="16.88671875" style="43" customWidth="1"/>
    <col min="10" max="10" width="16.88671875" style="43" hidden="1" customWidth="1"/>
    <col min="11" max="11" width="23.88671875" style="43" hidden="1" customWidth="1"/>
    <col min="12" max="12" width="28" style="43" hidden="1" customWidth="1"/>
    <col min="13" max="13" width="14.6640625" style="43" hidden="1" customWidth="1"/>
    <col min="14" max="14" width="14.109375" style="43" hidden="1" customWidth="1"/>
    <col min="15" max="15" width="16.109375" style="43" hidden="1" customWidth="1"/>
    <col min="16" max="16" width="13.109375" style="43" hidden="1" customWidth="1"/>
    <col min="17" max="17" width="11.33203125" style="43" hidden="1" customWidth="1"/>
    <col min="18" max="18" width="13.109375" style="43" customWidth="1"/>
    <col min="19" max="19" width="18.33203125" style="44" customWidth="1"/>
    <col min="20" max="20" width="28" style="43" hidden="1" customWidth="1"/>
    <col min="21" max="23" width="23" style="43" hidden="1" customWidth="1"/>
    <col min="24" max="24" width="16.44140625" style="43" hidden="1" customWidth="1"/>
    <col min="25" max="25" width="13.109375" style="43" hidden="1" customWidth="1"/>
    <col min="26" max="26" width="16.33203125" style="43" hidden="1" customWidth="1"/>
    <col min="27" max="27" width="16.5546875" style="43" hidden="1" customWidth="1"/>
    <col min="28" max="28" width="14.88671875" style="43" hidden="1" customWidth="1"/>
    <col min="29" max="29" width="16.6640625" style="43" hidden="1" customWidth="1"/>
    <col min="30" max="30" width="5.109375" style="43" hidden="1" customWidth="1"/>
    <col min="31" max="34" width="13.33203125" style="43" hidden="1" customWidth="1"/>
    <col min="35" max="36" width="11.5546875" style="43" hidden="1" customWidth="1"/>
    <col min="37" max="39" width="8.88671875" style="43"/>
    <col min="41" max="41" width="17.77734375" customWidth="1"/>
    <col min="42" max="42" width="43.44140625" customWidth="1"/>
    <col min="45" max="16384" width="8.88671875" style="43"/>
  </cols>
  <sheetData>
    <row r="1" spans="1:28" ht="15" customHeight="1" x14ac:dyDescent="0.3">
      <c r="A1" s="131" t="s">
        <v>482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45"/>
      <c r="P1" s="45"/>
      <c r="Q1" s="45"/>
      <c r="R1" s="45"/>
      <c r="S1" s="46"/>
      <c r="T1" s="45"/>
      <c r="U1" s="45"/>
      <c r="V1" s="45"/>
      <c r="W1" s="45"/>
      <c r="X1" s="45"/>
      <c r="Y1" s="47"/>
    </row>
    <row r="2" spans="1:28" x14ac:dyDescent="0.3">
      <c r="A2" s="48"/>
      <c r="B2" s="49"/>
      <c r="C2" s="48" t="s">
        <v>483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48"/>
      <c r="U2" s="48"/>
      <c r="V2" s="48"/>
      <c r="W2" s="48"/>
      <c r="X2" s="48"/>
      <c r="Y2" s="48"/>
    </row>
    <row r="3" spans="1:28" ht="15" customHeight="1" x14ac:dyDescent="0.3">
      <c r="R3" s="48"/>
      <c r="S3" s="50"/>
      <c r="T3" s="48"/>
    </row>
    <row r="4" spans="1:28" ht="14.25" customHeight="1" x14ac:dyDescent="0.3">
      <c r="B4" s="132" t="s">
        <v>484</v>
      </c>
      <c r="C4" s="132"/>
      <c r="D4" s="132"/>
      <c r="E4" s="51">
        <f>'Proposal Inputs'!C77</f>
        <v>20</v>
      </c>
      <c r="G4" s="52" t="s">
        <v>485</v>
      </c>
      <c r="K4" s="53" t="s">
        <v>486</v>
      </c>
      <c r="R4" s="48"/>
      <c r="S4" s="50"/>
      <c r="T4" s="48"/>
    </row>
    <row r="5" spans="1:28" ht="23.85" customHeight="1" x14ac:dyDescent="0.3">
      <c r="B5" s="133" t="s">
        <v>487</v>
      </c>
      <c r="C5" s="133"/>
      <c r="D5" s="133"/>
      <c r="E5" s="54">
        <f>3500000*0</f>
        <v>0</v>
      </c>
      <c r="G5" s="55" t="s">
        <v>488</v>
      </c>
      <c r="H5" s="56">
        <v>0.76</v>
      </c>
      <c r="K5" s="55" t="s">
        <v>489</v>
      </c>
      <c r="L5" s="56">
        <v>0.7</v>
      </c>
      <c r="AA5" s="57"/>
    </row>
    <row r="6" spans="1:28" ht="14.25" customHeight="1" x14ac:dyDescent="0.3">
      <c r="B6" s="134" t="s">
        <v>490</v>
      </c>
      <c r="C6" s="134"/>
      <c r="D6" s="134"/>
      <c r="E6" s="58">
        <f>'Proposal Inputs'!C123</f>
        <v>5.49</v>
      </c>
      <c r="G6" s="55" t="s">
        <v>491</v>
      </c>
      <c r="H6" s="59">
        <v>6.7000000000000002E-3</v>
      </c>
      <c r="K6" s="55" t="s">
        <v>492</v>
      </c>
      <c r="L6" s="59">
        <v>9.2999999999999999E-2</v>
      </c>
      <c r="AA6" s="60"/>
    </row>
    <row r="7" spans="1:28" ht="14.25" customHeight="1" x14ac:dyDescent="0.3">
      <c r="B7" s="135" t="s">
        <v>493</v>
      </c>
      <c r="C7" s="135"/>
      <c r="D7" s="135"/>
      <c r="E7" s="61">
        <v>0</v>
      </c>
      <c r="G7" s="55" t="s">
        <v>494</v>
      </c>
      <c r="H7" s="56">
        <v>0.02</v>
      </c>
      <c r="K7" s="55" t="s">
        <v>495</v>
      </c>
      <c r="L7" s="55">
        <f>MIN(E4*80%,15)</f>
        <v>15</v>
      </c>
      <c r="AA7" s="62"/>
    </row>
    <row r="8" spans="1:28" ht="14.25" customHeight="1" x14ac:dyDescent="0.3">
      <c r="B8" s="128" t="s">
        <v>496</v>
      </c>
      <c r="C8" s="128"/>
      <c r="D8" s="128"/>
      <c r="E8" s="63">
        <v>3.55</v>
      </c>
      <c r="F8" s="64"/>
      <c r="G8" s="55" t="s">
        <v>497</v>
      </c>
      <c r="H8" s="59">
        <v>2.5000000000000001E-3</v>
      </c>
      <c r="J8" s="64"/>
      <c r="AA8" s="65"/>
    </row>
    <row r="9" spans="1:28" ht="15" customHeight="1" x14ac:dyDescent="0.3">
      <c r="B9" s="129" t="s">
        <v>498</v>
      </c>
      <c r="C9" s="129"/>
      <c r="D9" s="129"/>
      <c r="E9" s="66">
        <f>E8*365/H5</f>
        <v>1704.9342105263158</v>
      </c>
      <c r="F9" s="64"/>
      <c r="G9" s="67" t="s">
        <v>499</v>
      </c>
      <c r="H9" s="68">
        <f>15%*1.12*1.04</f>
        <v>0.17472000000000001</v>
      </c>
      <c r="J9" s="64"/>
      <c r="K9" s="69" t="s">
        <v>500</v>
      </c>
      <c r="L9" s="69" t="s">
        <v>501</v>
      </c>
      <c r="M9" s="69" t="s">
        <v>502</v>
      </c>
    </row>
    <row r="10" spans="1:28" ht="15" customHeight="1" x14ac:dyDescent="0.3">
      <c r="F10" s="64"/>
      <c r="G10" s="67" t="s">
        <v>503</v>
      </c>
      <c r="H10" s="68">
        <v>0.34</v>
      </c>
      <c r="J10" s="64"/>
      <c r="K10" s="70" t="s">
        <v>504</v>
      </c>
      <c r="L10" s="70" t="s">
        <v>505</v>
      </c>
      <c r="M10" s="70">
        <v>400</v>
      </c>
    </row>
    <row r="11" spans="1:28" x14ac:dyDescent="0.3">
      <c r="B11" s="130" t="s">
        <v>506</v>
      </c>
      <c r="C11" s="130"/>
      <c r="D11" s="130"/>
      <c r="E11" s="113">
        <f>'Proposal Inputs'!C5</f>
        <v>499.59</v>
      </c>
      <c r="F11" s="64"/>
      <c r="G11" s="67" t="s">
        <v>507</v>
      </c>
      <c r="H11" s="68">
        <f>1/E4</f>
        <v>0.05</v>
      </c>
      <c r="J11" s="64"/>
      <c r="K11" s="70" t="s">
        <v>508</v>
      </c>
      <c r="L11" s="70" t="s">
        <v>509</v>
      </c>
      <c r="M11" s="70">
        <v>350</v>
      </c>
    </row>
    <row r="12" spans="1:28" x14ac:dyDescent="0.3">
      <c r="A12" s="71"/>
      <c r="B12" s="125" t="s">
        <v>510</v>
      </c>
      <c r="C12" s="125"/>
      <c r="D12" s="125"/>
      <c r="E12" s="72">
        <v>30.54</v>
      </c>
      <c r="G12" s="73" t="s">
        <v>511</v>
      </c>
      <c r="H12" s="56">
        <v>0.4</v>
      </c>
      <c r="K12" s="70" t="s">
        <v>512</v>
      </c>
      <c r="L12" s="70" t="s">
        <v>513</v>
      </c>
      <c r="M12" s="70">
        <v>250</v>
      </c>
      <c r="AA12" s="74"/>
      <c r="AB12" s="74"/>
    </row>
    <row r="13" spans="1:28" x14ac:dyDescent="0.3">
      <c r="B13" s="125" t="s">
        <v>514</v>
      </c>
      <c r="C13" s="125"/>
      <c r="D13" s="125"/>
      <c r="E13" s="72">
        <v>0</v>
      </c>
      <c r="G13" s="67" t="s">
        <v>515</v>
      </c>
      <c r="H13" s="56">
        <v>0.2</v>
      </c>
      <c r="AA13" s="74"/>
      <c r="AB13" s="74"/>
    </row>
    <row r="14" spans="1:28" x14ac:dyDescent="0.3">
      <c r="B14" s="125" t="s">
        <v>516</v>
      </c>
      <c r="C14" s="125"/>
      <c r="D14" s="125"/>
      <c r="E14" s="75">
        <f>E15-E12</f>
        <v>12.079999999999998</v>
      </c>
      <c r="G14" s="55" t="s">
        <v>517</v>
      </c>
      <c r="H14" s="55" t="str">
        <f>IF(E11&lt;250,"Small",IF(E11&gt;=1000,"Large","Medium"))</f>
        <v>Medium</v>
      </c>
      <c r="Z14" s="76"/>
      <c r="AA14" s="77"/>
      <c r="AB14" s="77"/>
    </row>
    <row r="15" spans="1:28" x14ac:dyDescent="0.3">
      <c r="B15" s="126" t="s">
        <v>518</v>
      </c>
      <c r="C15" s="126"/>
      <c r="D15" s="126"/>
      <c r="E15" s="78">
        <v>42.62</v>
      </c>
      <c r="F15" s="79"/>
      <c r="G15" s="70" t="s">
        <v>519</v>
      </c>
      <c r="H15" s="80">
        <f>(VLOOKUP(H14,K10:M12,3,0)+29)*1.18</f>
        <v>447.21999999999997</v>
      </c>
      <c r="Z15" s="76"/>
      <c r="AA15" s="77"/>
      <c r="AB15" s="77"/>
    </row>
    <row r="16" spans="1:28" x14ac:dyDescent="0.3">
      <c r="B16" s="125" t="s">
        <v>520</v>
      </c>
      <c r="C16" s="125"/>
      <c r="D16" s="125"/>
      <c r="E16" s="75">
        <f>E15*70%*1.25%</f>
        <v>0.37292499999999995</v>
      </c>
      <c r="G16" s="70" t="s">
        <v>521</v>
      </c>
      <c r="H16" s="81">
        <v>0.05</v>
      </c>
      <c r="J16" s="48"/>
      <c r="N16" s="48"/>
      <c r="O16" s="48"/>
      <c r="P16" s="48"/>
      <c r="Q16" s="48"/>
      <c r="R16" s="48"/>
      <c r="S16" s="50"/>
      <c r="AB16" s="77"/>
    </row>
    <row r="17" spans="1:34" x14ac:dyDescent="0.3">
      <c r="B17" s="126" t="s">
        <v>522</v>
      </c>
      <c r="C17" s="126"/>
      <c r="D17" s="126"/>
      <c r="E17" s="75">
        <f>E15+E16</f>
        <v>42.992925</v>
      </c>
      <c r="G17" s="82" t="s">
        <v>523</v>
      </c>
      <c r="H17" s="83">
        <f>IRR(L21:L46)</f>
        <v>0.12092668446341448</v>
      </c>
      <c r="J17" s="48"/>
      <c r="O17" s="48"/>
      <c r="P17" s="48"/>
      <c r="Q17" s="48"/>
      <c r="R17" s="48"/>
      <c r="S17" s="50"/>
      <c r="AB17" s="77"/>
    </row>
    <row r="18" spans="1:34" ht="15" customHeight="1" x14ac:dyDescent="0.3">
      <c r="B18" s="127" t="s">
        <v>524</v>
      </c>
      <c r="C18" s="127"/>
      <c r="D18" s="127"/>
      <c r="E18" s="84">
        <f>E17*E11*1000</f>
        <v>21478835.40075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0"/>
      <c r="T18" s="85">
        <f ca="1">S24-S25</f>
        <v>897.32892399314005</v>
      </c>
      <c r="AB18" s="77"/>
    </row>
    <row r="19" spans="1:34" x14ac:dyDescent="0.3">
      <c r="A19" s="86"/>
      <c r="B19" s="123" t="s">
        <v>525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43">
        <f ca="1">T18/S22</f>
        <v>2.1166542266312913E-2</v>
      </c>
      <c r="AB19" s="77"/>
      <c r="AE19" s="123" t="s">
        <v>526</v>
      </c>
      <c r="AF19" s="123"/>
      <c r="AG19" s="123"/>
      <c r="AH19" s="123"/>
    </row>
    <row r="20" spans="1:34" s="37" customFormat="1" ht="56.25" customHeight="1" x14ac:dyDescent="0.3">
      <c r="A20" s="35" t="s">
        <v>527</v>
      </c>
      <c r="B20" s="87" t="s">
        <v>488</v>
      </c>
      <c r="C20" s="87" t="s">
        <v>528</v>
      </c>
      <c r="D20" s="87" t="s">
        <v>529</v>
      </c>
      <c r="E20" s="87" t="s">
        <v>530</v>
      </c>
      <c r="F20" s="87" t="s">
        <v>531</v>
      </c>
      <c r="G20" s="87" t="s">
        <v>532</v>
      </c>
      <c r="H20" s="87" t="s">
        <v>533</v>
      </c>
      <c r="I20" s="87" t="s">
        <v>534</v>
      </c>
      <c r="J20" s="87" t="s">
        <v>535</v>
      </c>
      <c r="K20" s="87" t="s">
        <v>536</v>
      </c>
      <c r="L20" s="87" t="s">
        <v>537</v>
      </c>
      <c r="M20" s="87" t="s">
        <v>538</v>
      </c>
      <c r="N20" s="35" t="s">
        <v>539</v>
      </c>
      <c r="O20" s="35" t="s">
        <v>537</v>
      </c>
      <c r="P20" s="35" t="s">
        <v>540</v>
      </c>
      <c r="Q20" s="35" t="s">
        <v>541</v>
      </c>
      <c r="R20" s="35" t="s">
        <v>542</v>
      </c>
      <c r="S20" s="88" t="s">
        <v>543</v>
      </c>
      <c r="U20" s="35" t="s">
        <v>544</v>
      </c>
      <c r="V20" s="35" t="s">
        <v>545</v>
      </c>
      <c r="W20" s="35" t="s">
        <v>546</v>
      </c>
      <c r="X20" s="35" t="s">
        <v>547</v>
      </c>
      <c r="Y20" s="87" t="s">
        <v>548</v>
      </c>
      <c r="Z20" s="87" t="s">
        <v>549</v>
      </c>
      <c r="AA20" s="69" t="s">
        <v>550</v>
      </c>
      <c r="AB20" s="69" t="s">
        <v>551</v>
      </c>
      <c r="AC20" s="69" t="s">
        <v>552</v>
      </c>
      <c r="AD20" s="43"/>
      <c r="AE20" s="87" t="s">
        <v>553</v>
      </c>
      <c r="AF20" s="35" t="s">
        <v>554</v>
      </c>
      <c r="AG20" s="87" t="s">
        <v>555</v>
      </c>
      <c r="AH20" s="87" t="s">
        <v>540</v>
      </c>
    </row>
    <row r="21" spans="1:34" x14ac:dyDescent="0.3">
      <c r="A21" s="55"/>
      <c r="B21" s="55"/>
      <c r="C21" s="55"/>
      <c r="D21" s="55"/>
      <c r="E21" s="55"/>
      <c r="F21" s="55"/>
      <c r="G21" s="55"/>
      <c r="H21" s="55"/>
      <c r="I21" s="55"/>
      <c r="J21" s="89">
        <f>-X21</f>
        <v>-21478835.40075</v>
      </c>
      <c r="K21" s="89"/>
      <c r="L21" s="89">
        <f>J21</f>
        <v>-21478835.40075</v>
      </c>
      <c r="M21" s="89"/>
      <c r="N21" s="89"/>
      <c r="O21" s="89"/>
      <c r="P21" s="89">
        <f>-L21</f>
        <v>21478835.40075</v>
      </c>
      <c r="Q21" s="89"/>
      <c r="R21" s="89">
        <f>P21</f>
        <v>21478835.40075</v>
      </c>
      <c r="S21" s="90"/>
      <c r="U21" s="91"/>
      <c r="V21" s="91"/>
      <c r="W21" s="91"/>
      <c r="X21" s="91">
        <f>E18</f>
        <v>21478835.40075</v>
      </c>
      <c r="Y21" s="92">
        <v>0</v>
      </c>
      <c r="Z21" s="91">
        <f t="shared" ref="Z21:Z46" si="0">X21-Y21</f>
        <v>21478835.40075</v>
      </c>
      <c r="AA21" s="93">
        <f>X21</f>
        <v>21478835.40075</v>
      </c>
      <c r="AB21" s="94">
        <v>0</v>
      </c>
      <c r="AC21" s="94">
        <f t="shared" ref="AC21:AC46" si="1">AA21-AB21</f>
        <v>21478835.40075</v>
      </c>
      <c r="AE21" s="92"/>
      <c r="AF21" s="92"/>
      <c r="AG21" s="92"/>
    </row>
    <row r="22" spans="1:34" x14ac:dyDescent="0.3">
      <c r="A22" s="55">
        <f>1</f>
        <v>1</v>
      </c>
      <c r="B22" s="95">
        <f>H5</f>
        <v>0.76</v>
      </c>
      <c r="C22" s="96">
        <f t="shared" ref="C22:C46" si="2">$E$11*$E$9*B22</f>
        <v>647343.74250000005</v>
      </c>
      <c r="D22" s="96">
        <f t="shared" ref="D22:D46" si="3">IF(A22&lt;=$E$4,1,0)</f>
        <v>1</v>
      </c>
      <c r="E22" s="97">
        <f>E6*D22</f>
        <v>5.49</v>
      </c>
      <c r="F22" s="96">
        <f t="shared" ref="F22:F46" si="4">C22*E22*(1-$H$7)</f>
        <v>3482838.8033985007</v>
      </c>
      <c r="G22" s="96">
        <f>(H15*E11*D22)</f>
        <v>223426.63979999998</v>
      </c>
      <c r="H22" s="96">
        <f t="shared" ref="H22:H32" si="5">Z21*$H$8</f>
        <v>53697.088501874998</v>
      </c>
      <c r="I22" s="96">
        <f t="shared" ref="I22:I46" si="6">IF(A22&gt;10,$X$21*1%,0)*D22</f>
        <v>0</v>
      </c>
      <c r="J22" s="96">
        <f t="shared" ref="J22:J46" si="7">F22-SUM(G22:I22)</f>
        <v>3205715.0750966258</v>
      </c>
      <c r="K22" s="96">
        <f t="shared" ref="K22:K46" si="8">W22</f>
        <v>0</v>
      </c>
      <c r="L22" s="96">
        <f t="shared" ref="L22:L46" si="9">J22-K22</f>
        <v>3205715.0750966258</v>
      </c>
      <c r="M22" s="96">
        <f t="shared" ref="M22:M46" si="10">P21</f>
        <v>21478835.40075</v>
      </c>
      <c r="N22" s="89">
        <f t="shared" ref="N22:N46" si="11">M22*$H$17</f>
        <v>2597364.3511481117</v>
      </c>
      <c r="O22" s="89">
        <f t="shared" ref="O22:O46" si="12">L22</f>
        <v>3205715.0750966258</v>
      </c>
      <c r="P22" s="96">
        <f t="shared" ref="P22:P46" si="13">M22+N22-O22</f>
        <v>20870484.676801484</v>
      </c>
      <c r="Q22" s="89">
        <f t="shared" ref="Q22:Q46" ca="1" si="14">MAX((R22-AC22+V22)*$H$10,0)</f>
        <v>309004.7030585488</v>
      </c>
      <c r="R22" s="89">
        <f t="shared" ref="R22:R46" ca="1" si="15">P22+Q22</f>
        <v>21179489.379860032</v>
      </c>
      <c r="S22" s="98">
        <f t="shared" ref="S22:S46" ca="1" si="16">R22/$E$11</f>
        <v>42393.741627854906</v>
      </c>
      <c r="T22" s="99">
        <f t="shared" ref="T22:T46" ca="1" si="17">S22*875</f>
        <v>37094523.924373046</v>
      </c>
      <c r="U22" s="89">
        <f t="shared" ref="U22:U46" si="18">J22-AB22-AF22</f>
        <v>-11679117.857623123</v>
      </c>
      <c r="V22" s="89">
        <f>U22</f>
        <v>-11679117.857623123</v>
      </c>
      <c r="W22" s="89">
        <f t="shared" ref="W22:W46" si="19">IF(V22=0,(U22*$H$9),0)</f>
        <v>0</v>
      </c>
      <c r="X22" s="89">
        <f t="shared" ref="X22:X46" si="20">Z21</f>
        <v>21478835.40075</v>
      </c>
      <c r="Y22" s="89">
        <f t="shared" ref="Y22:Y46" si="21">IF(X22&gt;0,$X$21*$H$11*D22,0)</f>
        <v>1073941.7700375</v>
      </c>
      <c r="Z22" s="89">
        <f t="shared" si="0"/>
        <v>20404893.630712502</v>
      </c>
      <c r="AA22" s="94">
        <f t="shared" ref="AA22:AA46" si="22">IF(D23=1,AC21,0)</f>
        <v>21478835.40075</v>
      </c>
      <c r="AB22" s="94">
        <f>AA22*H12+AA22*H13</f>
        <v>12887301.240449999</v>
      </c>
      <c r="AC22" s="94">
        <f t="shared" si="1"/>
        <v>8591534.1603000015</v>
      </c>
      <c r="AE22" s="89">
        <f>X21</f>
        <v>21478835.40075</v>
      </c>
      <c r="AF22" s="89">
        <f t="shared" ref="AF22:AF46" si="23">AE22*$L$6</f>
        <v>1997531.6922697499</v>
      </c>
      <c r="AG22" s="89">
        <f t="shared" ref="AG22:AG46" si="24">IF(AE22&gt;0,PMT($L$6,($L$7),$AE$22,0,0),0)</f>
        <v>-2712009.574750822</v>
      </c>
      <c r="AH22" s="89">
        <f t="shared" ref="AH22:AH46" si="25">MAX(AE22+AF22+AG22,0)</f>
        <v>20764357.518268928</v>
      </c>
    </row>
    <row r="23" spans="1:34" x14ac:dyDescent="0.3">
      <c r="A23" s="55">
        <f t="shared" ref="A23:A46" si="26">A22+1</f>
        <v>2</v>
      </c>
      <c r="B23" s="100">
        <f>B22*(1-A22*$H$6)</f>
        <v>0.75490800000000002</v>
      </c>
      <c r="C23" s="96">
        <f t="shared" si="2"/>
        <v>643006.53942525003</v>
      </c>
      <c r="D23" s="96">
        <f t="shared" si="3"/>
        <v>1</v>
      </c>
      <c r="E23" s="97">
        <f t="shared" ref="E23:E46" si="27">E22*(1+$E$7)*D23</f>
        <v>5.49</v>
      </c>
      <c r="F23" s="96">
        <f t="shared" si="4"/>
        <v>3459503.7834157301</v>
      </c>
      <c r="G23" s="96">
        <f t="shared" ref="G23:G46" si="28">G22*(1+$H$16)*D23</f>
        <v>234597.97178999998</v>
      </c>
      <c r="H23" s="96">
        <f t="shared" si="5"/>
        <v>51012.234076781257</v>
      </c>
      <c r="I23" s="96">
        <f t="shared" si="6"/>
        <v>0</v>
      </c>
      <c r="J23" s="96">
        <f t="shared" si="7"/>
        <v>3173893.577548949</v>
      </c>
      <c r="K23" s="96">
        <f t="shared" si="8"/>
        <v>0</v>
      </c>
      <c r="L23" s="96">
        <f t="shared" si="9"/>
        <v>3173893.577548949</v>
      </c>
      <c r="M23" s="96">
        <f t="shared" si="10"/>
        <v>20870484.676801484</v>
      </c>
      <c r="N23" s="89">
        <f t="shared" si="11"/>
        <v>2523798.5151101002</v>
      </c>
      <c r="O23" s="89">
        <f t="shared" si="12"/>
        <v>3173893.577548949</v>
      </c>
      <c r="P23" s="96">
        <f t="shared" si="13"/>
        <v>20220389.614362635</v>
      </c>
      <c r="Q23" s="89">
        <f t="shared" ca="1" si="14"/>
        <v>614341.84004304896</v>
      </c>
      <c r="R23" s="89">
        <f t="shared" ca="1" si="15"/>
        <v>20834731.454405684</v>
      </c>
      <c r="S23" s="98">
        <f t="shared" ca="1" si="16"/>
        <v>41703.659909937516</v>
      </c>
      <c r="T23" s="99">
        <f t="shared" ca="1" si="17"/>
        <v>36490702.421195328</v>
      </c>
      <c r="U23" s="89">
        <f t="shared" si="18"/>
        <v>-2193805.3357700622</v>
      </c>
      <c r="V23" s="89">
        <f t="shared" ref="V23:V46" si="29">MIN(V22+U23,0)</f>
        <v>-13872923.193393186</v>
      </c>
      <c r="W23" s="89">
        <f t="shared" si="19"/>
        <v>0</v>
      </c>
      <c r="X23" s="89">
        <f t="shared" si="20"/>
        <v>20404893.630712502</v>
      </c>
      <c r="Y23" s="89">
        <f t="shared" si="21"/>
        <v>1073941.7700375</v>
      </c>
      <c r="Z23" s="89">
        <f t="shared" si="0"/>
        <v>19330951.860675003</v>
      </c>
      <c r="AA23" s="94">
        <f t="shared" si="22"/>
        <v>8591534.1603000015</v>
      </c>
      <c r="AB23" s="94">
        <f t="shared" ref="AB23:AB46" si="30">AA23*$H$12</f>
        <v>3436613.6641200008</v>
      </c>
      <c r="AC23" s="94">
        <f t="shared" si="1"/>
        <v>5154920.4961800007</v>
      </c>
      <c r="AE23" s="89">
        <f t="shared" ref="AE23:AE46" si="31">AH22</f>
        <v>20764357.518268928</v>
      </c>
      <c r="AF23" s="89">
        <f t="shared" si="23"/>
        <v>1931085.2491990102</v>
      </c>
      <c r="AG23" s="89">
        <f t="shared" si="24"/>
        <v>-2712009.574750822</v>
      </c>
      <c r="AH23" s="89">
        <f t="shared" si="25"/>
        <v>19983433.192717116</v>
      </c>
    </row>
    <row r="24" spans="1:34" x14ac:dyDescent="0.3">
      <c r="A24" s="55">
        <f t="shared" si="26"/>
        <v>3</v>
      </c>
      <c r="B24" s="100">
        <f t="shared" ref="B24:B46" si="32">B23*(1-$H$6)</f>
        <v>0.74985011639999999</v>
      </c>
      <c r="C24" s="96">
        <f t="shared" si="2"/>
        <v>638698.39561110083</v>
      </c>
      <c r="D24" s="96">
        <f t="shared" si="3"/>
        <v>1</v>
      </c>
      <c r="E24" s="97">
        <f t="shared" si="27"/>
        <v>5.49</v>
      </c>
      <c r="F24" s="96">
        <f t="shared" si="4"/>
        <v>3436325.1080668448</v>
      </c>
      <c r="G24" s="96">
        <f t="shared" si="28"/>
        <v>246327.8703795</v>
      </c>
      <c r="H24" s="96">
        <f t="shared" si="5"/>
        <v>48327.379651687508</v>
      </c>
      <c r="I24" s="96">
        <f t="shared" si="6"/>
        <v>0</v>
      </c>
      <c r="J24" s="96">
        <f t="shared" si="7"/>
        <v>3141669.8580356571</v>
      </c>
      <c r="K24" s="96">
        <f t="shared" si="8"/>
        <v>0</v>
      </c>
      <c r="L24" s="96">
        <f t="shared" si="9"/>
        <v>3141669.8580356571</v>
      </c>
      <c r="M24" s="96">
        <f t="shared" si="10"/>
        <v>20220389.614362635</v>
      </c>
      <c r="N24" s="89">
        <f t="shared" si="11"/>
        <v>2445184.6746233334</v>
      </c>
      <c r="O24" s="89">
        <f t="shared" si="12"/>
        <v>3141669.8580356571</v>
      </c>
      <c r="P24" s="96">
        <f t="shared" si="13"/>
        <v>19523904.43095031</v>
      </c>
      <c r="Q24" s="89">
        <f t="shared" ca="1" si="14"/>
        <v>916594.31249489379</v>
      </c>
      <c r="R24" s="89">
        <f t="shared" ca="1" si="15"/>
        <v>20440498.743445203</v>
      </c>
      <c r="S24" s="98">
        <f t="shared" ca="1" si="16"/>
        <v>40914.54741577134</v>
      </c>
      <c r="T24" s="99">
        <f t="shared" ca="1" si="17"/>
        <v>35800228.988799922</v>
      </c>
      <c r="U24" s="89">
        <f t="shared" si="18"/>
        <v>-778757.62735903519</v>
      </c>
      <c r="V24" s="89">
        <f t="shared" si="29"/>
        <v>-14651680.82075222</v>
      </c>
      <c r="W24" s="89">
        <f t="shared" si="19"/>
        <v>0</v>
      </c>
      <c r="X24" s="89">
        <f t="shared" si="20"/>
        <v>19330951.860675003</v>
      </c>
      <c r="Y24" s="89">
        <f t="shared" si="21"/>
        <v>1073941.7700375</v>
      </c>
      <c r="Z24" s="89">
        <f t="shared" si="0"/>
        <v>18257010.090637505</v>
      </c>
      <c r="AA24" s="94">
        <f t="shared" si="22"/>
        <v>5154920.4961800007</v>
      </c>
      <c r="AB24" s="94">
        <f t="shared" si="30"/>
        <v>2061968.1984720004</v>
      </c>
      <c r="AC24" s="94">
        <f t="shared" si="1"/>
        <v>3092952.2977080001</v>
      </c>
      <c r="AE24" s="89">
        <f t="shared" si="31"/>
        <v>19983433.192717116</v>
      </c>
      <c r="AF24" s="89">
        <f t="shared" si="23"/>
        <v>1858459.2869226919</v>
      </c>
      <c r="AG24" s="89">
        <f t="shared" si="24"/>
        <v>-2712009.574750822</v>
      </c>
      <c r="AH24" s="89">
        <f t="shared" si="25"/>
        <v>19129882.904888988</v>
      </c>
    </row>
    <row r="25" spans="1:34" x14ac:dyDescent="0.3">
      <c r="A25" s="55">
        <f t="shared" si="26"/>
        <v>4</v>
      </c>
      <c r="B25" s="100">
        <f t="shared" si="32"/>
        <v>0.74482612062011999</v>
      </c>
      <c r="C25" s="96">
        <f t="shared" si="2"/>
        <v>634419.11636050651</v>
      </c>
      <c r="D25" s="96">
        <f t="shared" si="3"/>
        <v>1</v>
      </c>
      <c r="E25" s="97">
        <f t="shared" si="27"/>
        <v>5.49</v>
      </c>
      <c r="F25" s="96">
        <f t="shared" si="4"/>
        <v>3413301.7298427974</v>
      </c>
      <c r="G25" s="96">
        <f t="shared" si="28"/>
        <v>258644.26389847501</v>
      </c>
      <c r="H25" s="96">
        <f t="shared" si="5"/>
        <v>45642.525226593767</v>
      </c>
      <c r="I25" s="96">
        <f t="shared" si="6"/>
        <v>0</v>
      </c>
      <c r="J25" s="96">
        <f t="shared" si="7"/>
        <v>3109014.9407177288</v>
      </c>
      <c r="K25" s="96">
        <f t="shared" si="8"/>
        <v>0</v>
      </c>
      <c r="L25" s="96">
        <f t="shared" si="9"/>
        <v>3109014.9407177288</v>
      </c>
      <c r="M25" s="96">
        <f t="shared" si="10"/>
        <v>19523904.43095031</v>
      </c>
      <c r="N25" s="89">
        <f t="shared" si="11"/>
        <v>2360961.030615388</v>
      </c>
      <c r="O25" s="89">
        <f t="shared" si="12"/>
        <v>3109014.9407177288</v>
      </c>
      <c r="P25" s="96">
        <f t="shared" si="13"/>
        <v>18775850.520847969</v>
      </c>
      <c r="Q25" s="89">
        <f t="shared" ca="1" si="14"/>
        <v>1216351.6654595032</v>
      </c>
      <c r="R25" s="89">
        <f t="shared" ca="1" si="15"/>
        <v>19992202.186307471</v>
      </c>
      <c r="S25" s="98">
        <f t="shared" ca="1" si="16"/>
        <v>40017.2184917782</v>
      </c>
      <c r="T25" s="99">
        <f t="shared" ca="1" si="17"/>
        <v>35015066.180305928</v>
      </c>
      <c r="U25" s="89">
        <f t="shared" si="18"/>
        <v>92754.911479852861</v>
      </c>
      <c r="V25" s="89">
        <f t="shared" si="29"/>
        <v>-14558925.909272367</v>
      </c>
      <c r="W25" s="89">
        <f t="shared" si="19"/>
        <v>0</v>
      </c>
      <c r="X25" s="89">
        <f t="shared" si="20"/>
        <v>18257010.090637505</v>
      </c>
      <c r="Y25" s="89">
        <f t="shared" si="21"/>
        <v>1073941.7700375</v>
      </c>
      <c r="Z25" s="89">
        <f t="shared" si="0"/>
        <v>17183068.320600007</v>
      </c>
      <c r="AA25" s="94">
        <f t="shared" si="22"/>
        <v>3092952.2977080001</v>
      </c>
      <c r="AB25" s="94">
        <f t="shared" si="30"/>
        <v>1237180.9190832002</v>
      </c>
      <c r="AC25" s="94">
        <f t="shared" si="1"/>
        <v>1855771.3786247999</v>
      </c>
      <c r="AE25" s="89">
        <f t="shared" si="31"/>
        <v>19129882.904888988</v>
      </c>
      <c r="AF25" s="89">
        <f t="shared" si="23"/>
        <v>1779079.1101546758</v>
      </c>
      <c r="AG25" s="89">
        <f t="shared" si="24"/>
        <v>-2712009.574750822</v>
      </c>
      <c r="AH25" s="89">
        <f t="shared" si="25"/>
        <v>18196952.440292843</v>
      </c>
    </row>
    <row r="26" spans="1:34" x14ac:dyDescent="0.3">
      <c r="A26" s="55">
        <f t="shared" si="26"/>
        <v>5</v>
      </c>
      <c r="B26" s="100">
        <f t="shared" si="32"/>
        <v>0.73983578561196517</v>
      </c>
      <c r="C26" s="96">
        <f t="shared" si="2"/>
        <v>630168.50828089111</v>
      </c>
      <c r="D26" s="96">
        <f t="shared" si="3"/>
        <v>1</v>
      </c>
      <c r="E26" s="97">
        <f t="shared" si="27"/>
        <v>5.49</v>
      </c>
      <c r="F26" s="96">
        <f t="shared" si="4"/>
        <v>3390432.6082528504</v>
      </c>
      <c r="G26" s="96">
        <f t="shared" si="28"/>
        <v>271576.47709339875</v>
      </c>
      <c r="H26" s="96">
        <f t="shared" si="5"/>
        <v>42957.670801500019</v>
      </c>
      <c r="I26" s="96">
        <f t="shared" si="6"/>
        <v>0</v>
      </c>
      <c r="J26" s="96">
        <f t="shared" si="7"/>
        <v>3075898.4603579515</v>
      </c>
      <c r="K26" s="96">
        <f t="shared" si="8"/>
        <v>0</v>
      </c>
      <c r="L26" s="96">
        <f t="shared" si="9"/>
        <v>3075898.4603579515</v>
      </c>
      <c r="M26" s="96">
        <f t="shared" si="10"/>
        <v>18775850.520847969</v>
      </c>
      <c r="N26" s="89">
        <f t="shared" si="11"/>
        <v>2270501.3514668187</v>
      </c>
      <c r="O26" s="89">
        <f t="shared" si="12"/>
        <v>3075898.4603579515</v>
      </c>
      <c r="P26" s="96">
        <f t="shared" si="13"/>
        <v>17970453.411956836</v>
      </c>
      <c r="Q26" s="89">
        <f t="shared" ca="1" si="14"/>
        <v>1514204.4280908045</v>
      </c>
      <c r="R26" s="89">
        <f t="shared" ca="1" si="15"/>
        <v>19484657.840047639</v>
      </c>
      <c r="S26" s="98">
        <f t="shared" ca="1" si="16"/>
        <v>39001.296743424886</v>
      </c>
      <c r="T26" s="99">
        <f t="shared" ca="1" si="17"/>
        <v>34126134.650496773</v>
      </c>
      <c r="U26" s="89">
        <f t="shared" si="18"/>
        <v>641273.33196079708</v>
      </c>
      <c r="V26" s="89">
        <f t="shared" si="29"/>
        <v>-13917652.57731157</v>
      </c>
      <c r="W26" s="89">
        <f t="shared" si="19"/>
        <v>0</v>
      </c>
      <c r="X26" s="89">
        <f t="shared" si="20"/>
        <v>17183068.320600007</v>
      </c>
      <c r="Y26" s="89">
        <f t="shared" si="21"/>
        <v>1073941.7700375</v>
      </c>
      <c r="Z26" s="89">
        <f t="shared" si="0"/>
        <v>16109126.550562507</v>
      </c>
      <c r="AA26" s="94">
        <f t="shared" si="22"/>
        <v>1855771.3786247999</v>
      </c>
      <c r="AB26" s="94">
        <f t="shared" si="30"/>
        <v>742308.55144992005</v>
      </c>
      <c r="AC26" s="94">
        <f t="shared" si="1"/>
        <v>1113462.8271748798</v>
      </c>
      <c r="AE26" s="89">
        <f t="shared" si="31"/>
        <v>18196952.440292843</v>
      </c>
      <c r="AF26" s="89">
        <f t="shared" si="23"/>
        <v>1692316.5769472343</v>
      </c>
      <c r="AG26" s="89">
        <f t="shared" si="24"/>
        <v>-2712009.574750822</v>
      </c>
      <c r="AH26" s="89">
        <f t="shared" si="25"/>
        <v>17177259.442489255</v>
      </c>
    </row>
    <row r="27" spans="1:34" x14ac:dyDescent="0.3">
      <c r="A27" s="55">
        <f t="shared" si="26"/>
        <v>6</v>
      </c>
      <c r="B27" s="100">
        <f t="shared" si="32"/>
        <v>0.73487888584836503</v>
      </c>
      <c r="C27" s="96">
        <f t="shared" si="2"/>
        <v>625946.37927540916</v>
      </c>
      <c r="D27" s="96">
        <f t="shared" si="3"/>
        <v>1</v>
      </c>
      <c r="E27" s="97">
        <f t="shared" si="27"/>
        <v>5.49</v>
      </c>
      <c r="F27" s="96">
        <f t="shared" si="4"/>
        <v>3367716.7097775564</v>
      </c>
      <c r="G27" s="96">
        <f t="shared" si="28"/>
        <v>285155.30094806867</v>
      </c>
      <c r="H27" s="96">
        <f t="shared" si="5"/>
        <v>40272.81637640627</v>
      </c>
      <c r="I27" s="96">
        <f t="shared" si="6"/>
        <v>0</v>
      </c>
      <c r="J27" s="96">
        <f t="shared" si="7"/>
        <v>3042288.5924530812</v>
      </c>
      <c r="K27" s="96">
        <f t="shared" si="8"/>
        <v>0</v>
      </c>
      <c r="L27" s="96">
        <f t="shared" si="9"/>
        <v>3042288.5924530812</v>
      </c>
      <c r="M27" s="96">
        <f t="shared" si="10"/>
        <v>17970453.411956836</v>
      </c>
      <c r="N27" s="89">
        <f t="shared" si="11"/>
        <v>2173107.3494121945</v>
      </c>
      <c r="O27" s="89">
        <f t="shared" si="12"/>
        <v>3042288.5924530812</v>
      </c>
      <c r="P27" s="96">
        <f t="shared" si="13"/>
        <v>17101272.16891595</v>
      </c>
      <c r="Q27" s="89">
        <f t="shared" ca="1" si="14"/>
        <v>1810737.0875281319</v>
      </c>
      <c r="R27" s="89">
        <f t="shared" ca="1" si="15"/>
        <v>18912009.256444082</v>
      </c>
      <c r="S27" s="101">
        <f t="shared" ca="1" si="16"/>
        <v>37855.059661810847</v>
      </c>
      <c r="T27" s="99">
        <f t="shared" ca="1" si="17"/>
        <v>33123177.204084489</v>
      </c>
      <c r="U27" s="89">
        <f t="shared" si="18"/>
        <v>999418.3334316283</v>
      </c>
      <c r="V27" s="89">
        <f t="shared" si="29"/>
        <v>-12918234.243879942</v>
      </c>
      <c r="W27" s="89">
        <f t="shared" si="19"/>
        <v>0</v>
      </c>
      <c r="X27" s="89">
        <f t="shared" si="20"/>
        <v>16109126.550562507</v>
      </c>
      <c r="Y27" s="89">
        <f t="shared" si="21"/>
        <v>1073941.7700375</v>
      </c>
      <c r="Z27" s="89">
        <f t="shared" si="0"/>
        <v>15035184.780525006</v>
      </c>
      <c r="AA27" s="94">
        <f t="shared" si="22"/>
        <v>1113462.8271748798</v>
      </c>
      <c r="AB27" s="94">
        <f t="shared" si="30"/>
        <v>445385.13086995197</v>
      </c>
      <c r="AC27" s="94">
        <f t="shared" si="1"/>
        <v>668077.69630492781</v>
      </c>
      <c r="AE27" s="89">
        <f t="shared" si="31"/>
        <v>17177259.442489255</v>
      </c>
      <c r="AF27" s="89">
        <f t="shared" si="23"/>
        <v>1597485.1281515008</v>
      </c>
      <c r="AG27" s="89">
        <f t="shared" si="24"/>
        <v>-2712009.574750822</v>
      </c>
      <c r="AH27" s="89">
        <f t="shared" si="25"/>
        <v>16062734.995889936</v>
      </c>
    </row>
    <row r="28" spans="1:34" x14ac:dyDescent="0.3">
      <c r="A28" s="55">
        <f t="shared" si="26"/>
        <v>7</v>
      </c>
      <c r="B28" s="100">
        <f t="shared" si="32"/>
        <v>0.72995519731318093</v>
      </c>
      <c r="C28" s="96">
        <f t="shared" si="2"/>
        <v>621752.53853426385</v>
      </c>
      <c r="D28" s="96">
        <f t="shared" si="3"/>
        <v>1</v>
      </c>
      <c r="E28" s="97">
        <f t="shared" si="27"/>
        <v>5.49</v>
      </c>
      <c r="F28" s="96">
        <f t="shared" si="4"/>
        <v>3345153.0078220461</v>
      </c>
      <c r="G28" s="96">
        <f t="shared" si="28"/>
        <v>299413.06599547213</v>
      </c>
      <c r="H28" s="96">
        <f t="shared" si="5"/>
        <v>37587.961951312514</v>
      </c>
      <c r="I28" s="96">
        <f t="shared" si="6"/>
        <v>0</v>
      </c>
      <c r="J28" s="96">
        <f t="shared" si="7"/>
        <v>3008151.9798752614</v>
      </c>
      <c r="K28" s="96">
        <f t="shared" si="8"/>
        <v>0</v>
      </c>
      <c r="L28" s="96">
        <f t="shared" si="9"/>
        <v>3008151.9798752614</v>
      </c>
      <c r="M28" s="96">
        <f t="shared" si="10"/>
        <v>17101272.16891595</v>
      </c>
      <c r="N28" s="89">
        <f t="shared" si="11"/>
        <v>2068000.1434934707</v>
      </c>
      <c r="O28" s="89">
        <f t="shared" si="12"/>
        <v>3008151.9798752614</v>
      </c>
      <c r="P28" s="96">
        <f t="shared" si="13"/>
        <v>16161120.332534159</v>
      </c>
      <c r="Q28" s="89">
        <f t="shared" ca="1" si="14"/>
        <v>2106519.4636156168</v>
      </c>
      <c r="R28" s="89">
        <f t="shared" ca="1" si="15"/>
        <v>18267639.796149775</v>
      </c>
      <c r="S28" s="101">
        <f t="shared" ca="1" si="16"/>
        <v>36565.263108048151</v>
      </c>
      <c r="T28" s="99">
        <f t="shared" ca="1" si="17"/>
        <v>31994605.219542131</v>
      </c>
      <c r="U28" s="89">
        <f t="shared" si="18"/>
        <v>1247086.5467355263</v>
      </c>
      <c r="V28" s="89">
        <f t="shared" si="29"/>
        <v>-11671147.697144415</v>
      </c>
      <c r="W28" s="89">
        <f t="shared" si="19"/>
        <v>0</v>
      </c>
      <c r="X28" s="89">
        <f t="shared" si="20"/>
        <v>15035184.780525006</v>
      </c>
      <c r="Y28" s="89">
        <f t="shared" si="21"/>
        <v>1073941.7700375</v>
      </c>
      <c r="Z28" s="89">
        <f t="shared" si="0"/>
        <v>13961243.010487506</v>
      </c>
      <c r="AA28" s="94">
        <f t="shared" si="22"/>
        <v>668077.69630492781</v>
      </c>
      <c r="AB28" s="94">
        <f t="shared" si="30"/>
        <v>267231.07852197113</v>
      </c>
      <c r="AC28" s="94">
        <f t="shared" si="1"/>
        <v>400846.61778295669</v>
      </c>
      <c r="AE28" s="89">
        <f t="shared" si="31"/>
        <v>16062734.995889936</v>
      </c>
      <c r="AF28" s="89">
        <f t="shared" si="23"/>
        <v>1493834.354617764</v>
      </c>
      <c r="AG28" s="89">
        <f t="shared" si="24"/>
        <v>-2712009.574750822</v>
      </c>
      <c r="AH28" s="89">
        <f t="shared" si="25"/>
        <v>14844559.775756877</v>
      </c>
    </row>
    <row r="29" spans="1:34" x14ac:dyDescent="0.3">
      <c r="A29" s="55">
        <f t="shared" si="26"/>
        <v>8</v>
      </c>
      <c r="B29" s="100">
        <f t="shared" si="32"/>
        <v>0.72506449749118262</v>
      </c>
      <c r="C29" s="96">
        <f t="shared" si="2"/>
        <v>617586.7965260843</v>
      </c>
      <c r="D29" s="96">
        <f t="shared" si="3"/>
        <v>1</v>
      </c>
      <c r="E29" s="97">
        <f t="shared" si="27"/>
        <v>5.49</v>
      </c>
      <c r="F29" s="96">
        <f t="shared" si="4"/>
        <v>3322740.4826696385</v>
      </c>
      <c r="G29" s="96">
        <f t="shared" si="28"/>
        <v>314383.71929524577</v>
      </c>
      <c r="H29" s="96">
        <f t="shared" si="5"/>
        <v>34903.107526218766</v>
      </c>
      <c r="I29" s="96">
        <f t="shared" si="6"/>
        <v>0</v>
      </c>
      <c r="J29" s="96">
        <f t="shared" si="7"/>
        <v>2973453.6558481739</v>
      </c>
      <c r="K29" s="96">
        <f t="shared" si="8"/>
        <v>0</v>
      </c>
      <c r="L29" s="96">
        <f t="shared" si="9"/>
        <v>2973453.6558481739</v>
      </c>
      <c r="M29" s="96">
        <f t="shared" si="10"/>
        <v>16161120.332534159</v>
      </c>
      <c r="N29" s="89">
        <f t="shared" si="11"/>
        <v>1954310.6990276303</v>
      </c>
      <c r="O29" s="89">
        <f t="shared" si="12"/>
        <v>2973453.6558481739</v>
      </c>
      <c r="P29" s="96">
        <f t="shared" si="13"/>
        <v>15141977.375713615</v>
      </c>
      <c r="Q29" s="89">
        <f t="shared" ca="1" si="14"/>
        <v>2402096.2174943485</v>
      </c>
      <c r="R29" s="89">
        <f t="shared" ca="1" si="15"/>
        <v>17544073.593207963</v>
      </c>
      <c r="S29" s="101">
        <f t="shared" ca="1" si="16"/>
        <v>35116.943079741315</v>
      </c>
      <c r="T29" s="99">
        <f t="shared" ca="1" si="17"/>
        <v>30727325.194773652</v>
      </c>
      <c r="U29" s="89">
        <f t="shared" si="18"/>
        <v>1432570.9495896017</v>
      </c>
      <c r="V29" s="89">
        <f t="shared" si="29"/>
        <v>-10238576.747554813</v>
      </c>
      <c r="W29" s="89">
        <f t="shared" si="19"/>
        <v>0</v>
      </c>
      <c r="X29" s="89">
        <f t="shared" si="20"/>
        <v>13961243.010487506</v>
      </c>
      <c r="Y29" s="89">
        <f t="shared" si="21"/>
        <v>1073941.7700375</v>
      </c>
      <c r="Z29" s="89">
        <f t="shared" si="0"/>
        <v>12887301.240450006</v>
      </c>
      <c r="AA29" s="94">
        <f t="shared" si="22"/>
        <v>400846.61778295669</v>
      </c>
      <c r="AB29" s="94">
        <f t="shared" si="30"/>
        <v>160338.6471131827</v>
      </c>
      <c r="AC29" s="94">
        <f t="shared" si="1"/>
        <v>240507.97066977399</v>
      </c>
      <c r="AE29" s="89">
        <f t="shared" si="31"/>
        <v>14844559.775756877</v>
      </c>
      <c r="AF29" s="89">
        <f t="shared" si="23"/>
        <v>1380544.0591453896</v>
      </c>
      <c r="AG29" s="89">
        <f t="shared" si="24"/>
        <v>-2712009.574750822</v>
      </c>
      <c r="AH29" s="89">
        <f t="shared" si="25"/>
        <v>13513094.260151444</v>
      </c>
    </row>
    <row r="30" spans="1:34" x14ac:dyDescent="0.3">
      <c r="A30" s="55">
        <f t="shared" si="26"/>
        <v>9</v>
      </c>
      <c r="B30" s="100">
        <f t="shared" si="32"/>
        <v>0.72020656535799166</v>
      </c>
      <c r="C30" s="96">
        <f t="shared" si="2"/>
        <v>613448.96498935949</v>
      </c>
      <c r="D30" s="96">
        <f t="shared" si="3"/>
        <v>1</v>
      </c>
      <c r="E30" s="97">
        <f t="shared" si="27"/>
        <v>5.49</v>
      </c>
      <c r="F30" s="96">
        <f t="shared" si="4"/>
        <v>3300478.1214357521</v>
      </c>
      <c r="G30" s="96">
        <f t="shared" si="28"/>
        <v>330102.90526000806</v>
      </c>
      <c r="H30" s="96">
        <f t="shared" si="5"/>
        <v>32218.253101125014</v>
      </c>
      <c r="I30" s="96">
        <f t="shared" si="6"/>
        <v>0</v>
      </c>
      <c r="J30" s="96">
        <f t="shared" si="7"/>
        <v>2938156.963074619</v>
      </c>
      <c r="K30" s="96">
        <f t="shared" si="8"/>
        <v>0</v>
      </c>
      <c r="L30" s="96">
        <f t="shared" si="9"/>
        <v>2938156.963074619</v>
      </c>
      <c r="M30" s="96">
        <f t="shared" si="10"/>
        <v>15141977.375713615</v>
      </c>
      <c r="N30" s="89">
        <f t="shared" si="11"/>
        <v>1831069.1202650811</v>
      </c>
      <c r="O30" s="89">
        <f t="shared" si="12"/>
        <v>2938156.963074619</v>
      </c>
      <c r="P30" s="96">
        <f t="shared" si="13"/>
        <v>14034889.532904075</v>
      </c>
      <c r="Q30" s="89">
        <f t="shared" ca="1" si="14"/>
        <v>2697974.187773346</v>
      </c>
      <c r="R30" s="89">
        <f t="shared" ca="1" si="15"/>
        <v>16732863.72067742</v>
      </c>
      <c r="S30" s="101">
        <f t="shared" ca="1" si="16"/>
        <v>33493.191858678962</v>
      </c>
      <c r="T30" s="99">
        <f t="shared" ca="1" si="17"/>
        <v>29306542.876344092</v>
      </c>
      <c r="U30" s="89">
        <f t="shared" si="18"/>
        <v>1585236.0086126253</v>
      </c>
      <c r="V30" s="89">
        <f t="shared" si="29"/>
        <v>-8653340.7389421873</v>
      </c>
      <c r="W30" s="89">
        <f t="shared" si="19"/>
        <v>0</v>
      </c>
      <c r="X30" s="89">
        <f t="shared" si="20"/>
        <v>12887301.240450006</v>
      </c>
      <c r="Y30" s="89">
        <f t="shared" si="21"/>
        <v>1073941.7700375</v>
      </c>
      <c r="Z30" s="89">
        <f t="shared" si="0"/>
        <v>11813359.470412506</v>
      </c>
      <c r="AA30" s="94">
        <f t="shared" si="22"/>
        <v>240507.97066977399</v>
      </c>
      <c r="AB30" s="94">
        <f t="shared" si="30"/>
        <v>96203.188267909602</v>
      </c>
      <c r="AC30" s="94">
        <f t="shared" si="1"/>
        <v>144304.78240186439</v>
      </c>
      <c r="AE30" s="89">
        <f t="shared" si="31"/>
        <v>13513094.260151444</v>
      </c>
      <c r="AF30" s="89">
        <f t="shared" si="23"/>
        <v>1256717.7661940842</v>
      </c>
      <c r="AG30" s="89">
        <f t="shared" si="24"/>
        <v>-2712009.574750822</v>
      </c>
      <c r="AH30" s="89">
        <f t="shared" si="25"/>
        <v>12057802.451594707</v>
      </c>
    </row>
    <row r="31" spans="1:34" x14ac:dyDescent="0.3">
      <c r="A31" s="55">
        <f t="shared" si="26"/>
        <v>10</v>
      </c>
      <c r="B31" s="100">
        <f t="shared" si="32"/>
        <v>0.7153811813700931</v>
      </c>
      <c r="C31" s="96">
        <f t="shared" si="2"/>
        <v>609338.8569239307</v>
      </c>
      <c r="D31" s="96">
        <f t="shared" si="3"/>
        <v>1</v>
      </c>
      <c r="E31" s="97">
        <f t="shared" si="27"/>
        <v>5.49</v>
      </c>
      <c r="F31" s="96">
        <f t="shared" si="4"/>
        <v>3278364.918022132</v>
      </c>
      <c r="G31" s="96">
        <f t="shared" si="28"/>
        <v>346608.05052300845</v>
      </c>
      <c r="H31" s="96">
        <f t="shared" si="5"/>
        <v>29533.398676031265</v>
      </c>
      <c r="I31" s="96">
        <f t="shared" si="6"/>
        <v>0</v>
      </c>
      <c r="J31" s="96">
        <f t="shared" si="7"/>
        <v>2902223.4688230921</v>
      </c>
      <c r="K31" s="96">
        <f t="shared" si="8"/>
        <v>0</v>
      </c>
      <c r="L31" s="96">
        <f t="shared" si="9"/>
        <v>2902223.4688230921</v>
      </c>
      <c r="M31" s="96">
        <f t="shared" si="10"/>
        <v>14034889.532904075</v>
      </c>
      <c r="N31" s="89">
        <f t="shared" si="11"/>
        <v>1697192.6580243697</v>
      </c>
      <c r="O31" s="89">
        <f t="shared" si="12"/>
        <v>2902223.4688230921</v>
      </c>
      <c r="P31" s="96">
        <f t="shared" si="13"/>
        <v>12829858.722105352</v>
      </c>
      <c r="Q31" s="89">
        <f t="shared" ca="1" si="14"/>
        <v>2994607.203241318</v>
      </c>
      <c r="R31" s="89">
        <f t="shared" ca="1" si="15"/>
        <v>15824465.925346671</v>
      </c>
      <c r="S31" s="101">
        <f t="shared" ca="1" si="16"/>
        <v>31674.905273017219</v>
      </c>
      <c r="T31" s="99">
        <f t="shared" ca="1" si="17"/>
        <v>27715542.113890067</v>
      </c>
      <c r="U31" s="89">
        <f t="shared" si="18"/>
        <v>1723125.9278640384</v>
      </c>
      <c r="V31" s="89">
        <f t="shared" si="29"/>
        <v>-6930214.8110781489</v>
      </c>
      <c r="W31" s="89">
        <f t="shared" si="19"/>
        <v>0</v>
      </c>
      <c r="X31" s="89">
        <f t="shared" si="20"/>
        <v>11813359.470412506</v>
      </c>
      <c r="Y31" s="89">
        <f t="shared" si="21"/>
        <v>1073941.7700375</v>
      </c>
      <c r="Z31" s="89">
        <f t="shared" si="0"/>
        <v>10739417.700375006</v>
      </c>
      <c r="AA31" s="94">
        <f t="shared" si="22"/>
        <v>144304.78240186439</v>
      </c>
      <c r="AB31" s="94">
        <f t="shared" si="30"/>
        <v>57721.912960745758</v>
      </c>
      <c r="AC31" s="94">
        <f t="shared" si="1"/>
        <v>86582.86944111863</v>
      </c>
      <c r="AE31" s="89">
        <f t="shared" si="31"/>
        <v>12057802.451594707</v>
      </c>
      <c r="AF31" s="89">
        <f t="shared" si="23"/>
        <v>1121375.6279983078</v>
      </c>
      <c r="AG31" s="89">
        <f t="shared" si="24"/>
        <v>-2712009.574750822</v>
      </c>
      <c r="AH31" s="89">
        <f t="shared" si="25"/>
        <v>10467168.504842192</v>
      </c>
    </row>
    <row r="32" spans="1:34" x14ac:dyDescent="0.3">
      <c r="A32" s="55">
        <f t="shared" si="26"/>
        <v>11</v>
      </c>
      <c r="B32" s="100">
        <f t="shared" si="32"/>
        <v>0.7105881274549134</v>
      </c>
      <c r="C32" s="96">
        <f t="shared" si="2"/>
        <v>605256.28658254037</v>
      </c>
      <c r="D32" s="96">
        <f t="shared" si="3"/>
        <v>1</v>
      </c>
      <c r="E32" s="97">
        <f t="shared" si="27"/>
        <v>5.49</v>
      </c>
      <c r="F32" s="96">
        <f t="shared" si="4"/>
        <v>3256399.8730713837</v>
      </c>
      <c r="G32" s="96">
        <f t="shared" si="28"/>
        <v>363938.45304915891</v>
      </c>
      <c r="H32" s="96">
        <f t="shared" si="5"/>
        <v>26848.544250937513</v>
      </c>
      <c r="I32" s="96">
        <f t="shared" si="6"/>
        <v>214788.35400749999</v>
      </c>
      <c r="J32" s="96">
        <f t="shared" si="7"/>
        <v>2650824.5217637871</v>
      </c>
      <c r="K32" s="96">
        <f t="shared" si="8"/>
        <v>0</v>
      </c>
      <c r="L32" s="96">
        <f t="shared" si="9"/>
        <v>2650824.5217637871</v>
      </c>
      <c r="M32" s="96">
        <f t="shared" si="10"/>
        <v>12829858.722105352</v>
      </c>
      <c r="N32" s="89">
        <f t="shared" si="11"/>
        <v>1551472.27739822</v>
      </c>
      <c r="O32" s="89">
        <f t="shared" si="12"/>
        <v>2650824.5217637871</v>
      </c>
      <c r="P32" s="96">
        <f t="shared" si="13"/>
        <v>11730506.477739785</v>
      </c>
      <c r="Q32" s="89">
        <f t="shared" ca="1" si="14"/>
        <v>3292377.9701993237</v>
      </c>
      <c r="R32" s="89">
        <f t="shared" ca="1" si="15"/>
        <v>15022884.447939109</v>
      </c>
      <c r="S32" s="101">
        <f t="shared" ca="1" si="16"/>
        <v>30070.426645727715</v>
      </c>
      <c r="T32" s="99">
        <f t="shared" ca="1" si="17"/>
        <v>26311623.315011751</v>
      </c>
      <c r="U32" s="89">
        <f t="shared" si="18"/>
        <v>1642744.7030370161</v>
      </c>
      <c r="V32" s="89">
        <f t="shared" si="29"/>
        <v>-5287470.1080411328</v>
      </c>
      <c r="W32" s="89">
        <f t="shared" si="19"/>
        <v>0</v>
      </c>
      <c r="X32" s="89">
        <f t="shared" si="20"/>
        <v>10739417.700375006</v>
      </c>
      <c r="Y32" s="89">
        <f t="shared" si="21"/>
        <v>1073941.7700375</v>
      </c>
      <c r="Z32" s="89">
        <f t="shared" si="0"/>
        <v>9665475.9303375054</v>
      </c>
      <c r="AA32" s="94">
        <f t="shared" si="22"/>
        <v>86582.86944111863</v>
      </c>
      <c r="AB32" s="94">
        <f t="shared" si="30"/>
        <v>34633.147776447455</v>
      </c>
      <c r="AC32" s="94">
        <f t="shared" si="1"/>
        <v>51949.721664671175</v>
      </c>
      <c r="AE32" s="89">
        <f t="shared" si="31"/>
        <v>10467168.504842192</v>
      </c>
      <c r="AF32" s="89">
        <f t="shared" si="23"/>
        <v>973446.67095032381</v>
      </c>
      <c r="AG32" s="89">
        <f t="shared" si="24"/>
        <v>-2712009.574750822</v>
      </c>
      <c r="AH32" s="89">
        <f t="shared" si="25"/>
        <v>8728605.6010416932</v>
      </c>
    </row>
    <row r="33" spans="1:34" x14ac:dyDescent="0.3">
      <c r="A33" s="55">
        <f t="shared" si="26"/>
        <v>12</v>
      </c>
      <c r="B33" s="100">
        <f t="shared" si="32"/>
        <v>0.70582718700096547</v>
      </c>
      <c r="C33" s="96">
        <f t="shared" si="2"/>
        <v>601201.0694624373</v>
      </c>
      <c r="D33" s="96">
        <f t="shared" si="3"/>
        <v>1</v>
      </c>
      <c r="E33" s="97">
        <f t="shared" si="27"/>
        <v>5.49</v>
      </c>
      <c r="F33" s="96">
        <f t="shared" si="4"/>
        <v>3234581.9939218052</v>
      </c>
      <c r="G33" s="96">
        <f t="shared" si="28"/>
        <v>382135.37570161687</v>
      </c>
      <c r="H33" s="96">
        <f t="shared" ref="H33:H46" si="33">Z32*$H$8*D33</f>
        <v>24163.689825843765</v>
      </c>
      <c r="I33" s="96">
        <f t="shared" si="6"/>
        <v>214788.35400749999</v>
      </c>
      <c r="J33" s="96">
        <f t="shared" si="7"/>
        <v>2613494.5743868444</v>
      </c>
      <c r="K33" s="96">
        <f t="shared" si="8"/>
        <v>0</v>
      </c>
      <c r="L33" s="96">
        <f t="shared" si="9"/>
        <v>2613494.5743868444</v>
      </c>
      <c r="M33" s="96">
        <f t="shared" si="10"/>
        <v>11730506.477739785</v>
      </c>
      <c r="N33" s="89">
        <f t="shared" si="11"/>
        <v>1418531.2554296786</v>
      </c>
      <c r="O33" s="89">
        <f t="shared" si="12"/>
        <v>2613494.5743868444</v>
      </c>
      <c r="P33" s="96">
        <f t="shared" si="13"/>
        <v>10535543.158782618</v>
      </c>
      <c r="Q33" s="89">
        <f t="shared" ca="1" si="14"/>
        <v>3604956.9364737966</v>
      </c>
      <c r="R33" s="89">
        <f t="shared" ca="1" si="15"/>
        <v>14140500.095256414</v>
      </c>
      <c r="S33" s="101">
        <f t="shared" ca="1" si="16"/>
        <v>28304.209642419613</v>
      </c>
      <c r="T33" s="99">
        <f t="shared" ca="1" si="17"/>
        <v>24766183.437117163</v>
      </c>
      <c r="U33" s="89">
        <f t="shared" si="18"/>
        <v>1780954.3648240985</v>
      </c>
      <c r="V33" s="89">
        <f t="shared" si="29"/>
        <v>-3506515.7432170343</v>
      </c>
      <c r="W33" s="89">
        <f t="shared" si="19"/>
        <v>0</v>
      </c>
      <c r="X33" s="89">
        <f t="shared" si="20"/>
        <v>9665475.9303375054</v>
      </c>
      <c r="Y33" s="89">
        <f t="shared" si="21"/>
        <v>1073941.7700375</v>
      </c>
      <c r="Z33" s="89">
        <f t="shared" si="0"/>
        <v>8591534.1603000052</v>
      </c>
      <c r="AA33" s="94">
        <f t="shared" si="22"/>
        <v>51949.721664671175</v>
      </c>
      <c r="AB33" s="94">
        <f t="shared" si="30"/>
        <v>20779.888665868471</v>
      </c>
      <c r="AC33" s="94">
        <f t="shared" si="1"/>
        <v>31169.832998802704</v>
      </c>
      <c r="AE33" s="89">
        <f t="shared" si="31"/>
        <v>8728605.6010416932</v>
      </c>
      <c r="AF33" s="89">
        <f t="shared" si="23"/>
        <v>811760.32089687744</v>
      </c>
      <c r="AG33" s="89">
        <f t="shared" si="24"/>
        <v>-2712009.574750822</v>
      </c>
      <c r="AH33" s="89">
        <f t="shared" si="25"/>
        <v>6828356.3471877482</v>
      </c>
    </row>
    <row r="34" spans="1:34" x14ac:dyDescent="0.3">
      <c r="A34" s="55">
        <f t="shared" si="26"/>
        <v>13</v>
      </c>
      <c r="B34" s="100">
        <f t="shared" si="32"/>
        <v>0.70109814484805899</v>
      </c>
      <c r="C34" s="96">
        <f t="shared" si="2"/>
        <v>597173.02229703893</v>
      </c>
      <c r="D34" s="96">
        <f t="shared" si="3"/>
        <v>1</v>
      </c>
      <c r="E34" s="97">
        <f t="shared" si="27"/>
        <v>5.49</v>
      </c>
      <c r="F34" s="96">
        <f t="shared" si="4"/>
        <v>3212910.2945625288</v>
      </c>
      <c r="G34" s="96">
        <f t="shared" si="28"/>
        <v>401242.14448669774</v>
      </c>
      <c r="H34" s="96">
        <f t="shared" si="33"/>
        <v>21478.835400750013</v>
      </c>
      <c r="I34" s="96">
        <f t="shared" si="6"/>
        <v>214788.35400749999</v>
      </c>
      <c r="J34" s="96">
        <f t="shared" si="7"/>
        <v>2575400.9606675813</v>
      </c>
      <c r="K34" s="96">
        <f t="shared" si="8"/>
        <v>0</v>
      </c>
      <c r="L34" s="96">
        <f t="shared" si="9"/>
        <v>2575400.9606675813</v>
      </c>
      <c r="M34" s="96">
        <f t="shared" si="10"/>
        <v>10535543.158782618</v>
      </c>
      <c r="N34" s="89">
        <f t="shared" si="11"/>
        <v>1274028.3032127907</v>
      </c>
      <c r="O34" s="89">
        <f t="shared" si="12"/>
        <v>2575400.9606675813</v>
      </c>
      <c r="P34" s="96">
        <f t="shared" si="13"/>
        <v>9234170.5013278276</v>
      </c>
      <c r="Q34" s="89">
        <f t="shared" ca="1" si="14"/>
        <v>3934134.2022226942</v>
      </c>
      <c r="R34" s="89">
        <f t="shared" ca="1" si="15"/>
        <v>13168304.703550521</v>
      </c>
      <c r="S34" s="101">
        <f t="shared" ca="1" si="16"/>
        <v>26358.223150084112</v>
      </c>
      <c r="T34" s="99">
        <f t="shared" ca="1" si="17"/>
        <v>23063445.256323598</v>
      </c>
      <c r="U34" s="89">
        <f t="shared" si="18"/>
        <v>1927895.8871795996</v>
      </c>
      <c r="V34" s="89">
        <f t="shared" si="29"/>
        <v>-1578619.8560374347</v>
      </c>
      <c r="W34" s="89">
        <f t="shared" si="19"/>
        <v>0</v>
      </c>
      <c r="X34" s="89">
        <f t="shared" si="20"/>
        <v>8591534.1603000052</v>
      </c>
      <c r="Y34" s="89">
        <f t="shared" si="21"/>
        <v>1073941.7700375</v>
      </c>
      <c r="Z34" s="89">
        <f t="shared" si="0"/>
        <v>7517592.390262505</v>
      </c>
      <c r="AA34" s="94">
        <f t="shared" si="22"/>
        <v>31169.832998802704</v>
      </c>
      <c r="AB34" s="94">
        <f t="shared" si="30"/>
        <v>12467.933199521081</v>
      </c>
      <c r="AC34" s="94">
        <f t="shared" si="1"/>
        <v>18701.899799281622</v>
      </c>
      <c r="AE34" s="89">
        <f t="shared" si="31"/>
        <v>6828356.3471877482</v>
      </c>
      <c r="AF34" s="89">
        <f t="shared" si="23"/>
        <v>635037.14028846053</v>
      </c>
      <c r="AG34" s="89">
        <f t="shared" si="24"/>
        <v>-2712009.574750822</v>
      </c>
      <c r="AH34" s="89">
        <f t="shared" si="25"/>
        <v>4751383.9127253871</v>
      </c>
    </row>
    <row r="35" spans="1:34" x14ac:dyDescent="0.3">
      <c r="A35" s="55">
        <f t="shared" si="26"/>
        <v>14</v>
      </c>
      <c r="B35" s="100">
        <f t="shared" si="32"/>
        <v>0.69640078727757693</v>
      </c>
      <c r="C35" s="96">
        <f t="shared" si="2"/>
        <v>593171.96304764878</v>
      </c>
      <c r="D35" s="96">
        <f t="shared" si="3"/>
        <v>1</v>
      </c>
      <c r="E35" s="97">
        <f t="shared" si="27"/>
        <v>5.49</v>
      </c>
      <c r="F35" s="96">
        <f t="shared" si="4"/>
        <v>3191383.7955889599</v>
      </c>
      <c r="G35" s="96">
        <f t="shared" si="28"/>
        <v>421304.25171103264</v>
      </c>
      <c r="H35" s="96">
        <f t="shared" si="33"/>
        <v>18793.980975656264</v>
      </c>
      <c r="I35" s="96">
        <f t="shared" si="6"/>
        <v>214788.35400749999</v>
      </c>
      <c r="J35" s="96">
        <f t="shared" si="7"/>
        <v>2536497.2088947711</v>
      </c>
      <c r="K35" s="96">
        <f t="shared" si="8"/>
        <v>364664.70682240394</v>
      </c>
      <c r="L35" s="96">
        <f t="shared" si="9"/>
        <v>2171832.5020723669</v>
      </c>
      <c r="M35" s="96">
        <f t="shared" si="10"/>
        <v>9234170.5013278276</v>
      </c>
      <c r="N35" s="89">
        <f t="shared" si="11"/>
        <v>1116657.6224954401</v>
      </c>
      <c r="O35" s="89">
        <f t="shared" si="12"/>
        <v>2171832.5020723669</v>
      </c>
      <c r="P35" s="96">
        <f t="shared" si="13"/>
        <v>8178995.6217509015</v>
      </c>
      <c r="Q35" s="89">
        <f t="shared" ca="1" si="14"/>
        <v>4207641.3997518988</v>
      </c>
      <c r="R35" s="89">
        <f t="shared" ca="1" si="15"/>
        <v>12386637.0215028</v>
      </c>
      <c r="S35" s="101">
        <f t="shared" ca="1" si="16"/>
        <v>24793.604798940734</v>
      </c>
      <c r="T35" s="99">
        <f t="shared" ca="1" si="17"/>
        <v>21694404.199073143</v>
      </c>
      <c r="U35" s="89">
        <f t="shared" si="18"/>
        <v>2087137.7450915973</v>
      </c>
      <c r="V35" s="89">
        <f t="shared" si="29"/>
        <v>0</v>
      </c>
      <c r="W35" s="89">
        <f t="shared" si="19"/>
        <v>364664.70682240394</v>
      </c>
      <c r="X35" s="89">
        <f t="shared" si="20"/>
        <v>7517592.390262505</v>
      </c>
      <c r="Y35" s="89">
        <f t="shared" si="21"/>
        <v>1073941.7700375</v>
      </c>
      <c r="Z35" s="89">
        <f t="shared" si="0"/>
        <v>6443650.6202250049</v>
      </c>
      <c r="AA35" s="94">
        <f t="shared" si="22"/>
        <v>18701.899799281622</v>
      </c>
      <c r="AB35" s="94">
        <f t="shared" si="30"/>
        <v>7480.7599197126492</v>
      </c>
      <c r="AC35" s="94">
        <f t="shared" si="1"/>
        <v>11221.139879568973</v>
      </c>
      <c r="AE35" s="89">
        <f t="shared" si="31"/>
        <v>4751383.9127253871</v>
      </c>
      <c r="AF35" s="89">
        <f t="shared" si="23"/>
        <v>441878.70388346101</v>
      </c>
      <c r="AG35" s="89">
        <f t="shared" si="24"/>
        <v>-2712009.574750822</v>
      </c>
      <c r="AH35" s="89">
        <f t="shared" si="25"/>
        <v>2481253.0418580258</v>
      </c>
    </row>
    <row r="36" spans="1:34" x14ac:dyDescent="0.3">
      <c r="A36" s="55">
        <f t="shared" si="26"/>
        <v>15</v>
      </c>
      <c r="B36" s="100">
        <f t="shared" si="32"/>
        <v>0.69173490200281718</v>
      </c>
      <c r="C36" s="96">
        <f t="shared" si="2"/>
        <v>589197.71089522948</v>
      </c>
      <c r="D36" s="96">
        <f t="shared" si="3"/>
        <v>1</v>
      </c>
      <c r="E36" s="97">
        <f t="shared" si="27"/>
        <v>5.49</v>
      </c>
      <c r="F36" s="96">
        <f t="shared" si="4"/>
        <v>3170001.5241585136</v>
      </c>
      <c r="G36" s="96">
        <f t="shared" si="28"/>
        <v>442369.46429658431</v>
      </c>
      <c r="H36" s="96">
        <f t="shared" si="33"/>
        <v>16109.126550562512</v>
      </c>
      <c r="I36" s="96">
        <f t="shared" si="6"/>
        <v>214788.35400749999</v>
      </c>
      <c r="J36" s="96">
        <f t="shared" si="7"/>
        <v>2496734.5793038667</v>
      </c>
      <c r="K36" s="96">
        <f t="shared" si="8"/>
        <v>395127.46124503895</v>
      </c>
      <c r="L36" s="96">
        <f t="shared" si="9"/>
        <v>2101607.1180588277</v>
      </c>
      <c r="M36" s="96">
        <f t="shared" si="10"/>
        <v>8178995.6217509015</v>
      </c>
      <c r="N36" s="89">
        <f t="shared" si="11"/>
        <v>989058.82277911983</v>
      </c>
      <c r="O36" s="89">
        <f t="shared" si="12"/>
        <v>2101607.1180588277</v>
      </c>
      <c r="P36" s="96">
        <f t="shared" si="13"/>
        <v>7066447.3264711937</v>
      </c>
      <c r="Q36" s="89">
        <f t="shared" ca="1" si="14"/>
        <v>3636822.6946435971</v>
      </c>
      <c r="R36" s="89">
        <f t="shared" ca="1" si="15"/>
        <v>10703270.021114791</v>
      </c>
      <c r="S36" s="101">
        <f t="shared" ca="1" si="16"/>
        <v>21424.107810634301</v>
      </c>
      <c r="T36" s="99">
        <f t="shared" ca="1" si="17"/>
        <v>18746094.334305014</v>
      </c>
      <c r="U36" s="89">
        <f t="shared" si="18"/>
        <v>2261489.5904592429</v>
      </c>
      <c r="V36" s="89">
        <f t="shared" si="29"/>
        <v>0</v>
      </c>
      <c r="W36" s="89">
        <f t="shared" si="19"/>
        <v>395127.46124503895</v>
      </c>
      <c r="X36" s="89">
        <f t="shared" si="20"/>
        <v>6443650.6202250049</v>
      </c>
      <c r="Y36" s="89">
        <f t="shared" si="21"/>
        <v>1073941.7700375</v>
      </c>
      <c r="Z36" s="89">
        <f t="shared" si="0"/>
        <v>5369708.8501875047</v>
      </c>
      <c r="AA36" s="94">
        <f t="shared" si="22"/>
        <v>11221.139879568973</v>
      </c>
      <c r="AB36" s="94">
        <f t="shared" si="30"/>
        <v>4488.4559518275892</v>
      </c>
      <c r="AC36" s="94">
        <f t="shared" si="1"/>
        <v>6732.6839277413837</v>
      </c>
      <c r="AE36" s="89">
        <f t="shared" si="31"/>
        <v>2481253.0418580258</v>
      </c>
      <c r="AF36" s="89">
        <f t="shared" si="23"/>
        <v>230756.53289279641</v>
      </c>
      <c r="AG36" s="89">
        <f t="shared" si="24"/>
        <v>-2712009.574750822</v>
      </c>
      <c r="AH36" s="89">
        <f t="shared" si="25"/>
        <v>0</v>
      </c>
    </row>
    <row r="37" spans="1:34" x14ac:dyDescent="0.3">
      <c r="A37" s="55">
        <f t="shared" si="26"/>
        <v>16</v>
      </c>
      <c r="B37" s="100">
        <f t="shared" si="32"/>
        <v>0.68710027815939823</v>
      </c>
      <c r="C37" s="96">
        <f t="shared" si="2"/>
        <v>585250.08623223146</v>
      </c>
      <c r="D37" s="96">
        <f t="shared" si="3"/>
        <v>1</v>
      </c>
      <c r="E37" s="97">
        <f t="shared" si="27"/>
        <v>5.49</v>
      </c>
      <c r="F37" s="96">
        <f t="shared" si="4"/>
        <v>3148762.5139466519</v>
      </c>
      <c r="G37" s="96">
        <f t="shared" si="28"/>
        <v>464487.93751141353</v>
      </c>
      <c r="H37" s="96">
        <f t="shared" si="33"/>
        <v>13424.272125468762</v>
      </c>
      <c r="I37" s="96">
        <f t="shared" si="6"/>
        <v>214788.35400749999</v>
      </c>
      <c r="J37" s="96">
        <f t="shared" si="7"/>
        <v>2456061.9503022698</v>
      </c>
      <c r="K37" s="96">
        <f t="shared" si="8"/>
        <v>428652.61014247063</v>
      </c>
      <c r="L37" s="96">
        <f t="shared" si="9"/>
        <v>2027409.3401597992</v>
      </c>
      <c r="M37" s="96">
        <f t="shared" si="10"/>
        <v>7066447.3264711937</v>
      </c>
      <c r="N37" s="89">
        <f t="shared" si="11"/>
        <v>854522.04612552084</v>
      </c>
      <c r="O37" s="89">
        <f t="shared" si="12"/>
        <v>2027409.3401597992</v>
      </c>
      <c r="P37" s="96">
        <f t="shared" si="13"/>
        <v>5893560.0324369157</v>
      </c>
      <c r="Q37" s="89">
        <f t="shared" ca="1" si="14"/>
        <v>3033995.3689504424</v>
      </c>
      <c r="R37" s="89">
        <f t="shared" ca="1" si="15"/>
        <v>8927555.4013873581</v>
      </c>
      <c r="S37" s="101">
        <f t="shared" ca="1" si="16"/>
        <v>17869.764009262311</v>
      </c>
      <c r="T37" s="99">
        <f t="shared" ca="1" si="17"/>
        <v>15636043.508104522</v>
      </c>
      <c r="U37" s="89">
        <f t="shared" si="18"/>
        <v>2453368.8767311731</v>
      </c>
      <c r="V37" s="89">
        <f t="shared" si="29"/>
        <v>0</v>
      </c>
      <c r="W37" s="89">
        <f t="shared" si="19"/>
        <v>428652.61014247063</v>
      </c>
      <c r="X37" s="89">
        <f t="shared" si="20"/>
        <v>5369708.8501875047</v>
      </c>
      <c r="Y37" s="89">
        <f t="shared" si="21"/>
        <v>1073941.7700375</v>
      </c>
      <c r="Z37" s="89">
        <f t="shared" si="0"/>
        <v>4295767.0801500045</v>
      </c>
      <c r="AA37" s="94">
        <f t="shared" si="22"/>
        <v>6732.6839277413837</v>
      </c>
      <c r="AB37" s="94">
        <f t="shared" si="30"/>
        <v>2693.0735710965537</v>
      </c>
      <c r="AC37" s="94">
        <f t="shared" si="1"/>
        <v>4039.6103566448301</v>
      </c>
      <c r="AE37" s="89">
        <f t="shared" si="31"/>
        <v>0</v>
      </c>
      <c r="AF37" s="89">
        <f t="shared" si="23"/>
        <v>0</v>
      </c>
      <c r="AG37" s="89">
        <f t="shared" si="24"/>
        <v>0</v>
      </c>
      <c r="AH37" s="89">
        <f t="shared" si="25"/>
        <v>0</v>
      </c>
    </row>
    <row r="38" spans="1:34" x14ac:dyDescent="0.3">
      <c r="A38" s="55">
        <f t="shared" si="26"/>
        <v>17</v>
      </c>
      <c r="B38" s="100">
        <f t="shared" si="32"/>
        <v>0.68249670629573023</v>
      </c>
      <c r="C38" s="96">
        <f t="shared" si="2"/>
        <v>581328.91065447545</v>
      </c>
      <c r="D38" s="96">
        <f t="shared" si="3"/>
        <v>1</v>
      </c>
      <c r="E38" s="97">
        <f t="shared" si="27"/>
        <v>5.49</v>
      </c>
      <c r="F38" s="96">
        <f t="shared" si="4"/>
        <v>3127665.8051032089</v>
      </c>
      <c r="G38" s="96">
        <f t="shared" si="28"/>
        <v>487712.33438698424</v>
      </c>
      <c r="H38" s="96">
        <f t="shared" si="33"/>
        <v>10739.417700375012</v>
      </c>
      <c r="I38" s="96">
        <f t="shared" si="6"/>
        <v>214788.35400749999</v>
      </c>
      <c r="J38" s="96">
        <f t="shared" si="7"/>
        <v>2414425.6990083493</v>
      </c>
      <c r="K38" s="96">
        <f t="shared" si="8"/>
        <v>421566.1378421337</v>
      </c>
      <c r="L38" s="96">
        <f t="shared" si="9"/>
        <v>1992859.5611662157</v>
      </c>
      <c r="M38" s="96">
        <f t="shared" si="10"/>
        <v>5893560.0324369157</v>
      </c>
      <c r="N38" s="89">
        <f t="shared" si="11"/>
        <v>712688.67440868972</v>
      </c>
      <c r="O38" s="89">
        <f t="shared" si="12"/>
        <v>1992859.5611662157</v>
      </c>
      <c r="P38" s="96">
        <f t="shared" si="13"/>
        <v>4613389.1456793901</v>
      </c>
      <c r="Q38" s="89">
        <f t="shared" ca="1" si="14"/>
        <v>2375345.8015427836</v>
      </c>
      <c r="R38" s="89">
        <f t="shared" ca="1" si="15"/>
        <v>6988734.9472221732</v>
      </c>
      <c r="S38" s="101">
        <f t="shared" ca="1" si="16"/>
        <v>13988.940825921603</v>
      </c>
      <c r="T38" s="99">
        <f t="shared" ca="1" si="17"/>
        <v>12240323.222681403</v>
      </c>
      <c r="U38" s="89">
        <f t="shared" si="18"/>
        <v>2412809.8548656916</v>
      </c>
      <c r="V38" s="89">
        <f t="shared" si="29"/>
        <v>0</v>
      </c>
      <c r="W38" s="89">
        <f t="shared" si="19"/>
        <v>421566.1378421337</v>
      </c>
      <c r="X38" s="89">
        <f t="shared" si="20"/>
        <v>4295767.0801500045</v>
      </c>
      <c r="Y38" s="89">
        <f t="shared" si="21"/>
        <v>1073941.7700375</v>
      </c>
      <c r="Z38" s="89">
        <f t="shared" si="0"/>
        <v>3221825.3101125043</v>
      </c>
      <c r="AA38" s="94">
        <f t="shared" si="22"/>
        <v>4039.6103566448301</v>
      </c>
      <c r="AB38" s="94">
        <f t="shared" si="30"/>
        <v>1615.844142657932</v>
      </c>
      <c r="AC38" s="94">
        <f t="shared" si="1"/>
        <v>2423.766213986898</v>
      </c>
      <c r="AE38" s="89">
        <f t="shared" si="31"/>
        <v>0</v>
      </c>
      <c r="AF38" s="89">
        <f t="shared" si="23"/>
        <v>0</v>
      </c>
      <c r="AG38" s="89">
        <f t="shared" si="24"/>
        <v>0</v>
      </c>
      <c r="AH38" s="89">
        <f t="shared" si="25"/>
        <v>0</v>
      </c>
    </row>
    <row r="39" spans="1:34" x14ac:dyDescent="0.3">
      <c r="A39" s="55">
        <f t="shared" si="26"/>
        <v>18</v>
      </c>
      <c r="B39" s="100">
        <f t="shared" si="32"/>
        <v>0.67792397836354878</v>
      </c>
      <c r="C39" s="96">
        <f t="shared" si="2"/>
        <v>577434.00695309043</v>
      </c>
      <c r="D39" s="96">
        <f t="shared" si="3"/>
        <v>1</v>
      </c>
      <c r="E39" s="97">
        <f t="shared" si="27"/>
        <v>5.49</v>
      </c>
      <c r="F39" s="96">
        <f t="shared" si="4"/>
        <v>3106710.4442090169</v>
      </c>
      <c r="G39" s="96">
        <f t="shared" si="28"/>
        <v>512097.95110633346</v>
      </c>
      <c r="H39" s="96">
        <f t="shared" si="33"/>
        <v>8054.5632752812608</v>
      </c>
      <c r="I39" s="96">
        <f t="shared" si="6"/>
        <v>214788.35400749999</v>
      </c>
      <c r="J39" s="96">
        <f t="shared" si="7"/>
        <v>2371769.5758199021</v>
      </c>
      <c r="K39" s="96">
        <f t="shared" si="8"/>
        <v>414226.18811409018</v>
      </c>
      <c r="L39" s="96">
        <f t="shared" si="9"/>
        <v>1957543.387705812</v>
      </c>
      <c r="M39" s="96">
        <f t="shared" si="10"/>
        <v>4613389.1456793901</v>
      </c>
      <c r="N39" s="89">
        <f t="shared" si="11"/>
        <v>557881.85352651286</v>
      </c>
      <c r="O39" s="89">
        <f t="shared" si="12"/>
        <v>1957543.387705812</v>
      </c>
      <c r="P39" s="96">
        <f t="shared" si="13"/>
        <v>3213727.6115000909</v>
      </c>
      <c r="Q39" s="89">
        <f t="shared" ca="1" si="14"/>
        <v>1654807.4842460263</v>
      </c>
      <c r="R39" s="89">
        <f t="shared" ca="1" si="15"/>
        <v>4868535.0957461167</v>
      </c>
      <c r="S39" s="101">
        <f t="shared" ca="1" si="16"/>
        <v>9745.06114162837</v>
      </c>
      <c r="T39" s="99">
        <f t="shared" ca="1" si="17"/>
        <v>8526928.4989248235</v>
      </c>
      <c r="U39" s="89">
        <f t="shared" si="18"/>
        <v>2370800.0693343072</v>
      </c>
      <c r="V39" s="89">
        <f t="shared" si="29"/>
        <v>0</v>
      </c>
      <c r="W39" s="89">
        <f t="shared" si="19"/>
        <v>414226.18811409018</v>
      </c>
      <c r="X39" s="89">
        <f t="shared" si="20"/>
        <v>3221825.3101125043</v>
      </c>
      <c r="Y39" s="89">
        <f t="shared" si="21"/>
        <v>1073941.7700375</v>
      </c>
      <c r="Z39" s="89">
        <f t="shared" si="0"/>
        <v>2147883.5400750041</v>
      </c>
      <c r="AA39" s="94">
        <f t="shared" si="22"/>
        <v>2423.766213986898</v>
      </c>
      <c r="AB39" s="94">
        <f t="shared" si="30"/>
        <v>969.50648559475928</v>
      </c>
      <c r="AC39" s="94">
        <f t="shared" si="1"/>
        <v>1454.2597283921386</v>
      </c>
      <c r="AE39" s="89">
        <f t="shared" si="31"/>
        <v>0</v>
      </c>
      <c r="AF39" s="89">
        <f t="shared" si="23"/>
        <v>0</v>
      </c>
      <c r="AG39" s="89">
        <f t="shared" si="24"/>
        <v>0</v>
      </c>
      <c r="AH39" s="89">
        <f t="shared" si="25"/>
        <v>0</v>
      </c>
    </row>
    <row r="40" spans="1:34" x14ac:dyDescent="0.3">
      <c r="A40" s="55">
        <f t="shared" si="26"/>
        <v>19</v>
      </c>
      <c r="B40" s="100">
        <f t="shared" si="32"/>
        <v>0.67338188770851293</v>
      </c>
      <c r="C40" s="96">
        <f t="shared" si="2"/>
        <v>573565.19910650468</v>
      </c>
      <c r="D40" s="96">
        <f t="shared" si="3"/>
        <v>1</v>
      </c>
      <c r="E40" s="97">
        <f t="shared" si="27"/>
        <v>5.49</v>
      </c>
      <c r="F40" s="96">
        <f t="shared" si="4"/>
        <v>3085895.4842328164</v>
      </c>
      <c r="G40" s="96">
        <f t="shared" si="28"/>
        <v>537702.84866165021</v>
      </c>
      <c r="H40" s="96">
        <f t="shared" si="33"/>
        <v>5369.7088501875105</v>
      </c>
      <c r="I40" s="96">
        <f t="shared" si="6"/>
        <v>214788.35400749999</v>
      </c>
      <c r="J40" s="96">
        <f t="shared" si="7"/>
        <v>2328034.5727134785</v>
      </c>
      <c r="K40" s="96">
        <f t="shared" si="8"/>
        <v>406652.56524060108</v>
      </c>
      <c r="L40" s="96">
        <f t="shared" si="9"/>
        <v>1921382.0074728774</v>
      </c>
      <c r="M40" s="96">
        <f t="shared" si="10"/>
        <v>3213727.6115000909</v>
      </c>
      <c r="N40" s="89">
        <f t="shared" si="11"/>
        <v>388625.42482723418</v>
      </c>
      <c r="O40" s="89">
        <f t="shared" si="12"/>
        <v>1921382.0074728774</v>
      </c>
      <c r="P40" s="96">
        <f t="shared" si="13"/>
        <v>1680971.0288544479</v>
      </c>
      <c r="Q40" s="89">
        <f t="shared" ca="1" si="14"/>
        <v>865505.2739786671</v>
      </c>
      <c r="R40" s="89">
        <f t="shared" ca="1" si="15"/>
        <v>2546476.3028331148</v>
      </c>
      <c r="S40" s="101">
        <f t="shared" ca="1" si="16"/>
        <v>5097.1322541146037</v>
      </c>
      <c r="T40" s="99">
        <f t="shared" ca="1" si="17"/>
        <v>4459990.7223502779</v>
      </c>
      <c r="U40" s="89">
        <f t="shared" si="18"/>
        <v>2327452.8688221215</v>
      </c>
      <c r="V40" s="89">
        <f t="shared" si="29"/>
        <v>0</v>
      </c>
      <c r="W40" s="89">
        <f t="shared" si="19"/>
        <v>406652.56524060108</v>
      </c>
      <c r="X40" s="89">
        <f t="shared" si="20"/>
        <v>2147883.5400750041</v>
      </c>
      <c r="Y40" s="89">
        <f t="shared" si="21"/>
        <v>1073941.7700375</v>
      </c>
      <c r="Z40" s="89">
        <f t="shared" si="0"/>
        <v>1073941.7700375041</v>
      </c>
      <c r="AA40" s="94">
        <f t="shared" si="22"/>
        <v>1454.2597283921386</v>
      </c>
      <c r="AB40" s="94">
        <f t="shared" si="30"/>
        <v>581.70389135685548</v>
      </c>
      <c r="AC40" s="94">
        <f t="shared" si="1"/>
        <v>872.55583703528316</v>
      </c>
      <c r="AE40" s="89">
        <f t="shared" si="31"/>
        <v>0</v>
      </c>
      <c r="AF40" s="89">
        <f t="shared" si="23"/>
        <v>0</v>
      </c>
      <c r="AG40" s="89">
        <f t="shared" si="24"/>
        <v>0</v>
      </c>
      <c r="AH40" s="89">
        <f t="shared" si="25"/>
        <v>0</v>
      </c>
    </row>
    <row r="41" spans="1:34" x14ac:dyDescent="0.3">
      <c r="A41" s="55">
        <f t="shared" si="26"/>
        <v>20</v>
      </c>
      <c r="B41" s="100">
        <f t="shared" si="32"/>
        <v>0.66887022906086591</v>
      </c>
      <c r="C41" s="96">
        <f t="shared" si="2"/>
        <v>569722.31227249105</v>
      </c>
      <c r="D41" s="96">
        <f t="shared" si="3"/>
        <v>1</v>
      </c>
      <c r="E41" s="97">
        <f t="shared" si="27"/>
        <v>5.49</v>
      </c>
      <c r="F41" s="96">
        <f t="shared" si="4"/>
        <v>3065219.984488456</v>
      </c>
      <c r="G41" s="96">
        <f t="shared" si="28"/>
        <v>564587.99109473277</v>
      </c>
      <c r="H41" s="96">
        <f t="shared" si="33"/>
        <v>2684.8544250937603</v>
      </c>
      <c r="I41" s="96">
        <f t="shared" si="6"/>
        <v>214788.35400749999</v>
      </c>
      <c r="J41" s="96">
        <f t="shared" si="7"/>
        <v>2283158.7849611295</v>
      </c>
      <c r="K41" s="96">
        <f t="shared" si="8"/>
        <v>398913.50290840858</v>
      </c>
      <c r="L41" s="96">
        <f t="shared" si="9"/>
        <v>1884245.2820527209</v>
      </c>
      <c r="M41" s="96">
        <f t="shared" si="10"/>
        <v>1680971.0288544479</v>
      </c>
      <c r="N41" s="89">
        <f t="shared" si="11"/>
        <v>203274.25319842302</v>
      </c>
      <c r="O41" s="89">
        <f t="shared" si="12"/>
        <v>1884245.2820527209</v>
      </c>
      <c r="P41" s="96">
        <f t="shared" si="13"/>
        <v>1.4994293451309204E-7</v>
      </c>
      <c r="Q41" s="89">
        <f t="shared" ca="1" si="14"/>
        <v>7.7243329900683777E-8</v>
      </c>
      <c r="R41" s="89">
        <f t="shared" ca="1" si="15"/>
        <v>2.2718626441377582E-7</v>
      </c>
      <c r="S41" s="101">
        <f t="shared" ca="1" si="16"/>
        <v>4.547454200720107E-10</v>
      </c>
      <c r="T41" s="99">
        <f t="shared" ca="1" si="17"/>
        <v>3.9790224256300937E-7</v>
      </c>
      <c r="U41" s="89">
        <f t="shared" si="18"/>
        <v>2283158.7849611295</v>
      </c>
      <c r="V41" s="89">
        <f t="shared" si="29"/>
        <v>0</v>
      </c>
      <c r="W41" s="89">
        <f t="shared" si="19"/>
        <v>398913.50290840858</v>
      </c>
      <c r="X41" s="89">
        <f t="shared" si="20"/>
        <v>1073941.7700375041</v>
      </c>
      <c r="Y41" s="89">
        <f t="shared" si="21"/>
        <v>1073941.7700375</v>
      </c>
      <c r="Z41" s="89">
        <f t="shared" si="0"/>
        <v>4.1909515857696533E-9</v>
      </c>
      <c r="AA41" s="94">
        <f t="shared" si="22"/>
        <v>0</v>
      </c>
      <c r="AB41" s="94">
        <f t="shared" si="30"/>
        <v>0</v>
      </c>
      <c r="AC41" s="94">
        <f t="shared" si="1"/>
        <v>0</v>
      </c>
      <c r="AE41" s="89">
        <f t="shared" si="31"/>
        <v>0</v>
      </c>
      <c r="AF41" s="89">
        <f t="shared" si="23"/>
        <v>0</v>
      </c>
      <c r="AG41" s="89">
        <f t="shared" si="24"/>
        <v>0</v>
      </c>
      <c r="AH41" s="89">
        <f t="shared" si="25"/>
        <v>0</v>
      </c>
    </row>
    <row r="42" spans="1:34" x14ac:dyDescent="0.3">
      <c r="A42" s="55">
        <f t="shared" si="26"/>
        <v>21</v>
      </c>
      <c r="B42" s="100">
        <f t="shared" si="32"/>
        <v>0.66438879852615806</v>
      </c>
      <c r="C42" s="96">
        <f t="shared" si="2"/>
        <v>565905.17278026533</v>
      </c>
      <c r="D42" s="96">
        <f t="shared" si="3"/>
        <v>0</v>
      </c>
      <c r="E42" s="97">
        <f t="shared" si="27"/>
        <v>0</v>
      </c>
      <c r="F42" s="96">
        <f t="shared" si="4"/>
        <v>0</v>
      </c>
      <c r="G42" s="96">
        <f t="shared" si="28"/>
        <v>0</v>
      </c>
      <c r="H42" s="96">
        <f t="shared" si="33"/>
        <v>0</v>
      </c>
      <c r="I42" s="96">
        <f t="shared" si="6"/>
        <v>0</v>
      </c>
      <c r="J42" s="96">
        <f t="shared" si="7"/>
        <v>0</v>
      </c>
      <c r="K42" s="96">
        <f t="shared" si="8"/>
        <v>0</v>
      </c>
      <c r="L42" s="96">
        <f t="shared" si="9"/>
        <v>0</v>
      </c>
      <c r="M42" s="96">
        <f t="shared" si="10"/>
        <v>1.4994293451309204E-7</v>
      </c>
      <c r="N42" s="89">
        <f t="shared" si="11"/>
        <v>1.8132101929383101E-8</v>
      </c>
      <c r="O42" s="89">
        <f t="shared" si="12"/>
        <v>0</v>
      </c>
      <c r="P42" s="96">
        <f t="shared" si="13"/>
        <v>1.6807503644247514E-7</v>
      </c>
      <c r="Q42" s="89">
        <f t="shared" ca="1" si="14"/>
        <v>8.6584109682487203E-8</v>
      </c>
      <c r="R42" s="89">
        <f t="shared" ca="1" si="15"/>
        <v>2.5465914612496235E-7</v>
      </c>
      <c r="S42" s="101">
        <f t="shared" ca="1" si="16"/>
        <v>5.0973627599624164E-10</v>
      </c>
      <c r="T42" s="99">
        <f t="shared" ca="1" si="17"/>
        <v>4.4601924149671142E-7</v>
      </c>
      <c r="U42" s="89">
        <f t="shared" si="18"/>
        <v>0</v>
      </c>
      <c r="V42" s="89">
        <f t="shared" si="29"/>
        <v>0</v>
      </c>
      <c r="W42" s="89">
        <f t="shared" si="19"/>
        <v>0</v>
      </c>
      <c r="X42" s="89">
        <f t="shared" si="20"/>
        <v>4.1909515857696533E-9</v>
      </c>
      <c r="Y42" s="89">
        <f t="shared" si="21"/>
        <v>0</v>
      </c>
      <c r="Z42" s="89">
        <f t="shared" si="0"/>
        <v>4.1909515857696533E-9</v>
      </c>
      <c r="AA42" s="94">
        <f t="shared" si="22"/>
        <v>0</v>
      </c>
      <c r="AB42" s="94">
        <f t="shared" si="30"/>
        <v>0</v>
      </c>
      <c r="AC42" s="94">
        <f t="shared" si="1"/>
        <v>0</v>
      </c>
      <c r="AE42" s="89">
        <f t="shared" si="31"/>
        <v>0</v>
      </c>
      <c r="AF42" s="89">
        <f t="shared" si="23"/>
        <v>0</v>
      </c>
      <c r="AG42" s="89">
        <f t="shared" si="24"/>
        <v>0</v>
      </c>
      <c r="AH42" s="89">
        <f t="shared" si="25"/>
        <v>0</v>
      </c>
    </row>
    <row r="43" spans="1:34" x14ac:dyDescent="0.3">
      <c r="A43" s="55">
        <f t="shared" si="26"/>
        <v>22</v>
      </c>
      <c r="B43" s="100">
        <f t="shared" si="32"/>
        <v>0.65993739357603276</v>
      </c>
      <c r="C43" s="96">
        <f t="shared" si="2"/>
        <v>562113.6081226375</v>
      </c>
      <c r="D43" s="96">
        <f t="shared" si="3"/>
        <v>0</v>
      </c>
      <c r="E43" s="97">
        <f t="shared" si="27"/>
        <v>0</v>
      </c>
      <c r="F43" s="96">
        <f t="shared" si="4"/>
        <v>0</v>
      </c>
      <c r="G43" s="96">
        <f t="shared" si="28"/>
        <v>0</v>
      </c>
      <c r="H43" s="96">
        <f t="shared" si="33"/>
        <v>0</v>
      </c>
      <c r="I43" s="96">
        <f t="shared" si="6"/>
        <v>0</v>
      </c>
      <c r="J43" s="96">
        <f t="shared" si="7"/>
        <v>0</v>
      </c>
      <c r="K43" s="96">
        <f t="shared" si="8"/>
        <v>0</v>
      </c>
      <c r="L43" s="96">
        <f t="shared" si="9"/>
        <v>0</v>
      </c>
      <c r="M43" s="96">
        <f t="shared" si="10"/>
        <v>1.6807503644247514E-7</v>
      </c>
      <c r="N43" s="89">
        <f t="shared" si="11"/>
        <v>2.0324756898056081E-8</v>
      </c>
      <c r="O43" s="89">
        <f t="shared" si="12"/>
        <v>0</v>
      </c>
      <c r="P43" s="96">
        <f t="shared" si="13"/>
        <v>1.8839979334053121E-7</v>
      </c>
      <c r="Q43" s="89">
        <f t="shared" ca="1" si="14"/>
        <v>9.7054438993607E-8</v>
      </c>
      <c r="R43" s="89">
        <f t="shared" ca="1" si="15"/>
        <v>2.854542323341382E-7</v>
      </c>
      <c r="S43" s="101">
        <f t="shared" ca="1" si="16"/>
        <v>5.7137699380319507E-10</v>
      </c>
      <c r="T43" s="99">
        <f t="shared" ca="1" si="17"/>
        <v>4.9995486957779564E-7</v>
      </c>
      <c r="U43" s="89">
        <f t="shared" si="18"/>
        <v>0</v>
      </c>
      <c r="V43" s="89">
        <f t="shared" si="29"/>
        <v>0</v>
      </c>
      <c r="W43" s="89">
        <f t="shared" si="19"/>
        <v>0</v>
      </c>
      <c r="X43" s="89">
        <f t="shared" si="20"/>
        <v>4.1909515857696533E-9</v>
      </c>
      <c r="Y43" s="89">
        <f t="shared" si="21"/>
        <v>0</v>
      </c>
      <c r="Z43" s="89">
        <f t="shared" si="0"/>
        <v>4.1909515857696533E-9</v>
      </c>
      <c r="AA43" s="94">
        <f t="shared" si="22"/>
        <v>0</v>
      </c>
      <c r="AB43" s="94">
        <f t="shared" si="30"/>
        <v>0</v>
      </c>
      <c r="AC43" s="94">
        <f t="shared" si="1"/>
        <v>0</v>
      </c>
      <c r="AE43" s="89">
        <f t="shared" si="31"/>
        <v>0</v>
      </c>
      <c r="AF43" s="89">
        <f t="shared" si="23"/>
        <v>0</v>
      </c>
      <c r="AG43" s="89">
        <f t="shared" si="24"/>
        <v>0</v>
      </c>
      <c r="AH43" s="89">
        <f t="shared" si="25"/>
        <v>0</v>
      </c>
    </row>
    <row r="44" spans="1:34" x14ac:dyDescent="0.3">
      <c r="A44" s="55">
        <f t="shared" si="26"/>
        <v>23</v>
      </c>
      <c r="B44" s="100">
        <f t="shared" si="32"/>
        <v>0.65551581303907336</v>
      </c>
      <c r="C44" s="96">
        <f t="shared" si="2"/>
        <v>558347.44694821583</v>
      </c>
      <c r="D44" s="96">
        <f t="shared" si="3"/>
        <v>0</v>
      </c>
      <c r="E44" s="97">
        <f t="shared" si="27"/>
        <v>0</v>
      </c>
      <c r="F44" s="96">
        <f t="shared" si="4"/>
        <v>0</v>
      </c>
      <c r="G44" s="96">
        <f t="shared" si="28"/>
        <v>0</v>
      </c>
      <c r="H44" s="96">
        <f t="shared" si="33"/>
        <v>0</v>
      </c>
      <c r="I44" s="96">
        <f t="shared" si="6"/>
        <v>0</v>
      </c>
      <c r="J44" s="96">
        <f t="shared" si="7"/>
        <v>0</v>
      </c>
      <c r="K44" s="96">
        <f t="shared" si="8"/>
        <v>0</v>
      </c>
      <c r="L44" s="96">
        <f t="shared" si="9"/>
        <v>0</v>
      </c>
      <c r="M44" s="96">
        <f t="shared" si="10"/>
        <v>1.8839979334053121E-7</v>
      </c>
      <c r="N44" s="89">
        <f t="shared" si="11"/>
        <v>2.2782562362262914E-8</v>
      </c>
      <c r="O44" s="89">
        <f t="shared" si="12"/>
        <v>0</v>
      </c>
      <c r="P44" s="96">
        <f t="shared" si="13"/>
        <v>2.1118235570279412E-7</v>
      </c>
      <c r="Q44" s="89">
        <f t="shared" ca="1" si="14"/>
        <v>1.0879091051356062E-7</v>
      </c>
      <c r="R44" s="89">
        <f t="shared" ca="1" si="15"/>
        <v>3.1997326621635473E-7</v>
      </c>
      <c r="S44" s="101">
        <f t="shared" ca="1" si="16"/>
        <v>6.4047171924248834E-10</v>
      </c>
      <c r="T44" s="99">
        <f t="shared" ca="1" si="17"/>
        <v>5.604127543371773E-7</v>
      </c>
      <c r="U44" s="89">
        <f t="shared" si="18"/>
        <v>0</v>
      </c>
      <c r="V44" s="89">
        <f t="shared" si="29"/>
        <v>0</v>
      </c>
      <c r="W44" s="89">
        <f t="shared" si="19"/>
        <v>0</v>
      </c>
      <c r="X44" s="89">
        <f t="shared" si="20"/>
        <v>4.1909515857696533E-9</v>
      </c>
      <c r="Y44" s="89">
        <f t="shared" si="21"/>
        <v>0</v>
      </c>
      <c r="Z44" s="89">
        <f t="shared" si="0"/>
        <v>4.1909515857696533E-9</v>
      </c>
      <c r="AA44" s="94">
        <f t="shared" si="22"/>
        <v>0</v>
      </c>
      <c r="AB44" s="94">
        <f t="shared" si="30"/>
        <v>0</v>
      </c>
      <c r="AC44" s="94">
        <f t="shared" si="1"/>
        <v>0</v>
      </c>
      <c r="AE44" s="89">
        <f t="shared" si="31"/>
        <v>0</v>
      </c>
      <c r="AF44" s="89">
        <f t="shared" si="23"/>
        <v>0</v>
      </c>
      <c r="AG44" s="89">
        <f t="shared" si="24"/>
        <v>0</v>
      </c>
      <c r="AH44" s="89">
        <f t="shared" si="25"/>
        <v>0</v>
      </c>
    </row>
    <row r="45" spans="1:34" x14ac:dyDescent="0.3">
      <c r="A45" s="55">
        <f t="shared" si="26"/>
        <v>24</v>
      </c>
      <c r="B45" s="100">
        <f t="shared" si="32"/>
        <v>0.6511238570917115</v>
      </c>
      <c r="C45" s="96">
        <f t="shared" si="2"/>
        <v>554606.51905366278</v>
      </c>
      <c r="D45" s="96">
        <f t="shared" si="3"/>
        <v>0</v>
      </c>
      <c r="E45" s="97">
        <f t="shared" si="27"/>
        <v>0</v>
      </c>
      <c r="F45" s="96">
        <f t="shared" si="4"/>
        <v>0</v>
      </c>
      <c r="G45" s="96">
        <f t="shared" si="28"/>
        <v>0</v>
      </c>
      <c r="H45" s="96">
        <f t="shared" si="33"/>
        <v>0</v>
      </c>
      <c r="I45" s="96">
        <f t="shared" si="6"/>
        <v>0</v>
      </c>
      <c r="J45" s="96">
        <f t="shared" si="7"/>
        <v>0</v>
      </c>
      <c r="K45" s="96">
        <f t="shared" si="8"/>
        <v>0</v>
      </c>
      <c r="L45" s="96">
        <f t="shared" si="9"/>
        <v>0</v>
      </c>
      <c r="M45" s="96">
        <f t="shared" si="10"/>
        <v>2.1118235570279412E-7</v>
      </c>
      <c r="N45" s="89">
        <f t="shared" si="11"/>
        <v>2.5537582092312343E-8</v>
      </c>
      <c r="O45" s="89">
        <f t="shared" si="12"/>
        <v>0</v>
      </c>
      <c r="P45" s="96">
        <f t="shared" si="13"/>
        <v>2.3671993779510647E-7</v>
      </c>
      <c r="Q45" s="89">
        <f t="shared" ca="1" si="14"/>
        <v>1.2194663462172154E-7</v>
      </c>
      <c r="R45" s="89">
        <f t="shared" ca="1" si="15"/>
        <v>3.5866657241682801E-7</v>
      </c>
      <c r="S45" s="101">
        <f t="shared" ca="1" si="16"/>
        <v>7.1792184074306541E-10</v>
      </c>
      <c r="T45" s="99">
        <f t="shared" ca="1" si="17"/>
        <v>6.2818161065018225E-7</v>
      </c>
      <c r="U45" s="89">
        <f t="shared" si="18"/>
        <v>0</v>
      </c>
      <c r="V45" s="89">
        <f t="shared" si="29"/>
        <v>0</v>
      </c>
      <c r="W45" s="89">
        <f t="shared" si="19"/>
        <v>0</v>
      </c>
      <c r="X45" s="89">
        <f t="shared" si="20"/>
        <v>4.1909515857696533E-9</v>
      </c>
      <c r="Y45" s="89">
        <f t="shared" si="21"/>
        <v>0</v>
      </c>
      <c r="Z45" s="89">
        <f t="shared" si="0"/>
        <v>4.1909515857696533E-9</v>
      </c>
      <c r="AA45" s="94">
        <f t="shared" si="22"/>
        <v>0</v>
      </c>
      <c r="AB45" s="94">
        <f t="shared" si="30"/>
        <v>0</v>
      </c>
      <c r="AC45" s="94">
        <f t="shared" si="1"/>
        <v>0</v>
      </c>
      <c r="AE45" s="89">
        <f t="shared" si="31"/>
        <v>0</v>
      </c>
      <c r="AF45" s="89">
        <f t="shared" si="23"/>
        <v>0</v>
      </c>
      <c r="AG45" s="89">
        <f t="shared" si="24"/>
        <v>0</v>
      </c>
      <c r="AH45" s="89">
        <f t="shared" si="25"/>
        <v>0</v>
      </c>
    </row>
    <row r="46" spans="1:34" x14ac:dyDescent="0.3">
      <c r="A46" s="55">
        <f t="shared" si="26"/>
        <v>25</v>
      </c>
      <c r="B46" s="100">
        <f t="shared" si="32"/>
        <v>0.64676132724919699</v>
      </c>
      <c r="C46" s="96">
        <f t="shared" si="2"/>
        <v>550890.65537600324</v>
      </c>
      <c r="D46" s="96">
        <f t="shared" si="3"/>
        <v>0</v>
      </c>
      <c r="E46" s="97">
        <f t="shared" si="27"/>
        <v>0</v>
      </c>
      <c r="F46" s="96">
        <f t="shared" si="4"/>
        <v>0</v>
      </c>
      <c r="G46" s="96">
        <f t="shared" si="28"/>
        <v>0</v>
      </c>
      <c r="H46" s="96">
        <f t="shared" si="33"/>
        <v>0</v>
      </c>
      <c r="I46" s="96">
        <f t="shared" si="6"/>
        <v>0</v>
      </c>
      <c r="J46" s="96">
        <f t="shared" si="7"/>
        <v>0</v>
      </c>
      <c r="K46" s="96">
        <f t="shared" si="8"/>
        <v>0</v>
      </c>
      <c r="L46" s="96">
        <f t="shared" si="9"/>
        <v>0</v>
      </c>
      <c r="M46" s="96">
        <f t="shared" si="10"/>
        <v>2.3671993779510647E-7</v>
      </c>
      <c r="N46" s="89">
        <f t="shared" si="11"/>
        <v>2.8625757223947944E-8</v>
      </c>
      <c r="O46" s="89">
        <f t="shared" si="12"/>
        <v>0</v>
      </c>
      <c r="P46" s="96">
        <f t="shared" si="13"/>
        <v>2.6534569501905441E-7</v>
      </c>
      <c r="Q46" s="89">
        <f t="shared" ca="1" si="14"/>
        <v>1.3669323682799774E-7</v>
      </c>
      <c r="R46" s="89">
        <f t="shared" ca="1" si="15"/>
        <v>4.0203893184705212E-7</v>
      </c>
      <c r="S46" s="101">
        <f t="shared" ca="1" si="16"/>
        <v>8.0473774864799558E-10</v>
      </c>
      <c r="T46" s="102">
        <f t="shared" ca="1" si="17"/>
        <v>7.0414553006699612E-7</v>
      </c>
      <c r="U46" s="89">
        <f t="shared" si="18"/>
        <v>0</v>
      </c>
      <c r="V46" s="89">
        <f t="shared" si="29"/>
        <v>0</v>
      </c>
      <c r="W46" s="89">
        <f t="shared" si="19"/>
        <v>0</v>
      </c>
      <c r="X46" s="89">
        <f t="shared" si="20"/>
        <v>4.1909515857696533E-9</v>
      </c>
      <c r="Y46" s="89">
        <f t="shared" si="21"/>
        <v>0</v>
      </c>
      <c r="Z46" s="89">
        <f t="shared" si="0"/>
        <v>4.1909515857696533E-9</v>
      </c>
      <c r="AA46" s="94">
        <f t="shared" si="22"/>
        <v>0</v>
      </c>
      <c r="AB46" s="94">
        <f t="shared" si="30"/>
        <v>0</v>
      </c>
      <c r="AC46" s="94">
        <f t="shared" si="1"/>
        <v>0</v>
      </c>
      <c r="AE46" s="89">
        <f t="shared" si="31"/>
        <v>0</v>
      </c>
      <c r="AF46" s="89">
        <f t="shared" si="23"/>
        <v>0</v>
      </c>
      <c r="AG46" s="89">
        <f t="shared" si="24"/>
        <v>0</v>
      </c>
      <c r="AH46" s="89">
        <f t="shared" si="25"/>
        <v>0</v>
      </c>
    </row>
    <row r="50" spans="41:43" ht="15" customHeight="1" x14ac:dyDescent="0.3"/>
    <row r="51" spans="41:43" ht="15" customHeight="1" x14ac:dyDescent="0.3">
      <c r="AO51" s="103" t="s">
        <v>527</v>
      </c>
      <c r="AP51" s="104" t="s">
        <v>543</v>
      </c>
      <c r="AQ51" s="105"/>
    </row>
    <row r="52" spans="41:43" ht="15" customHeight="1" x14ac:dyDescent="0.3">
      <c r="AO52" s="106">
        <v>1</v>
      </c>
      <c r="AP52" s="107">
        <f t="shared" ref="AP52:AP76" ca="1" si="34">S22</f>
        <v>42393.741627854906</v>
      </c>
      <c r="AQ52" s="124" t="s">
        <v>556</v>
      </c>
    </row>
    <row r="53" spans="41:43" ht="15" customHeight="1" x14ac:dyDescent="0.3">
      <c r="AO53" s="106">
        <v>2</v>
      </c>
      <c r="AP53" s="107">
        <f t="shared" ca="1" si="34"/>
        <v>41703.659909937516</v>
      </c>
      <c r="AQ53" s="124"/>
    </row>
    <row r="54" spans="41:43" ht="15" customHeight="1" x14ac:dyDescent="0.3">
      <c r="AO54" s="106">
        <v>3</v>
      </c>
      <c r="AP54" s="107">
        <f t="shared" ca="1" si="34"/>
        <v>40914.54741577134</v>
      </c>
      <c r="AQ54" s="124"/>
    </row>
    <row r="55" spans="41:43" ht="15" customHeight="1" x14ac:dyDescent="0.3">
      <c r="AO55" s="106">
        <v>4</v>
      </c>
      <c r="AP55" s="107">
        <f t="shared" ca="1" si="34"/>
        <v>40017.2184917782</v>
      </c>
      <c r="AQ55" s="124"/>
    </row>
    <row r="56" spans="41:43" ht="15" customHeight="1" x14ac:dyDescent="0.3">
      <c r="AO56" s="106">
        <v>5</v>
      </c>
      <c r="AP56" s="107">
        <f t="shared" ca="1" si="34"/>
        <v>39001.296743424886</v>
      </c>
      <c r="AQ56" s="124"/>
    </row>
    <row r="57" spans="41:43" ht="15" customHeight="1" x14ac:dyDescent="0.3">
      <c r="AO57" s="108">
        <v>6</v>
      </c>
      <c r="AP57" s="109">
        <f t="shared" ca="1" si="34"/>
        <v>37855.059661810847</v>
      </c>
      <c r="AQ57" s="105"/>
    </row>
    <row r="58" spans="41:43" ht="15" customHeight="1" x14ac:dyDescent="0.3">
      <c r="AO58" s="108">
        <v>7</v>
      </c>
      <c r="AP58" s="109">
        <f t="shared" ca="1" si="34"/>
        <v>36565.263108048151</v>
      </c>
      <c r="AQ58" s="105"/>
    </row>
    <row r="59" spans="41:43" ht="15" customHeight="1" x14ac:dyDescent="0.3">
      <c r="AO59" s="108">
        <v>8</v>
      </c>
      <c r="AP59" s="109">
        <f t="shared" ca="1" si="34"/>
        <v>35116.943079741315</v>
      </c>
      <c r="AQ59" s="105"/>
    </row>
    <row r="60" spans="41:43" ht="15" customHeight="1" x14ac:dyDescent="0.3">
      <c r="AO60" s="108">
        <v>9</v>
      </c>
      <c r="AP60" s="109">
        <f t="shared" ca="1" si="34"/>
        <v>33493.191858678962</v>
      </c>
      <c r="AQ60" s="105"/>
    </row>
    <row r="61" spans="41:43" ht="15" customHeight="1" x14ac:dyDescent="0.3">
      <c r="AO61" s="108">
        <v>10</v>
      </c>
      <c r="AP61" s="109">
        <f t="shared" ca="1" si="34"/>
        <v>31674.905273017219</v>
      </c>
      <c r="AQ61" s="105"/>
    </row>
    <row r="62" spans="41:43" ht="15" customHeight="1" x14ac:dyDescent="0.3">
      <c r="AO62" s="108">
        <v>11</v>
      </c>
      <c r="AP62" s="109">
        <f t="shared" ca="1" si="34"/>
        <v>30070.426645727715</v>
      </c>
      <c r="AQ62" s="105"/>
    </row>
    <row r="63" spans="41:43" ht="15" customHeight="1" x14ac:dyDescent="0.3">
      <c r="AO63" s="108">
        <v>12</v>
      </c>
      <c r="AP63" s="109">
        <f t="shared" ca="1" si="34"/>
        <v>28304.209642419613</v>
      </c>
      <c r="AQ63" s="105"/>
    </row>
    <row r="64" spans="41:43" ht="15" customHeight="1" x14ac:dyDescent="0.3">
      <c r="AO64" s="108">
        <v>13</v>
      </c>
      <c r="AP64" s="109">
        <f t="shared" ca="1" si="34"/>
        <v>26358.223150084112</v>
      </c>
      <c r="AQ64" s="105"/>
    </row>
    <row r="65" spans="19:43" ht="15" customHeight="1" x14ac:dyDescent="0.3">
      <c r="S65" s="110"/>
      <c r="AO65" s="108">
        <v>14</v>
      </c>
      <c r="AP65" s="109">
        <f t="shared" ca="1" si="34"/>
        <v>24793.604798940734</v>
      </c>
      <c r="AQ65" s="105"/>
    </row>
    <row r="66" spans="19:43" ht="15" customHeight="1" x14ac:dyDescent="0.3">
      <c r="S66" s="110"/>
      <c r="AO66" s="108">
        <v>15</v>
      </c>
      <c r="AP66" s="109">
        <f t="shared" ca="1" si="34"/>
        <v>21424.107810634301</v>
      </c>
      <c r="AQ66" s="105"/>
    </row>
    <row r="67" spans="19:43" ht="15" customHeight="1" x14ac:dyDescent="0.3">
      <c r="S67" s="110"/>
      <c r="AO67" s="108">
        <v>16</v>
      </c>
      <c r="AP67" s="109">
        <f t="shared" ca="1" si="34"/>
        <v>17869.764009262311</v>
      </c>
      <c r="AQ67" s="105"/>
    </row>
    <row r="68" spans="19:43" ht="15" customHeight="1" x14ac:dyDescent="0.3">
      <c r="S68" s="110"/>
      <c r="AO68" s="108">
        <v>17</v>
      </c>
      <c r="AP68" s="109">
        <f t="shared" ca="1" si="34"/>
        <v>13988.940825921603</v>
      </c>
      <c r="AQ68" s="105"/>
    </row>
    <row r="69" spans="19:43" ht="15" customHeight="1" x14ac:dyDescent="0.3">
      <c r="S69" s="110"/>
      <c r="AO69" s="108">
        <v>18</v>
      </c>
      <c r="AP69" s="109">
        <f t="shared" ca="1" si="34"/>
        <v>9745.06114162837</v>
      </c>
      <c r="AQ69" s="105"/>
    </row>
    <row r="70" spans="19:43" ht="15" customHeight="1" x14ac:dyDescent="0.3">
      <c r="S70" s="110"/>
      <c r="AO70" s="108">
        <v>19</v>
      </c>
      <c r="AP70" s="109">
        <f t="shared" ca="1" si="34"/>
        <v>5097.1322541146037</v>
      </c>
      <c r="AQ70" s="105"/>
    </row>
    <row r="71" spans="19:43" ht="15" customHeight="1" x14ac:dyDescent="0.3">
      <c r="S71" s="110"/>
      <c r="AO71" s="108">
        <v>20</v>
      </c>
      <c r="AP71" s="109">
        <f t="shared" ca="1" si="34"/>
        <v>4.547454200720107E-10</v>
      </c>
      <c r="AQ71" s="105"/>
    </row>
    <row r="72" spans="19:43" ht="15" customHeight="1" x14ac:dyDescent="0.3">
      <c r="S72" s="110"/>
      <c r="AO72" s="108">
        <v>21</v>
      </c>
      <c r="AP72" s="109">
        <f t="shared" ca="1" si="34"/>
        <v>5.0973627599624164E-10</v>
      </c>
      <c r="AQ72" s="105"/>
    </row>
    <row r="73" spans="19:43" ht="15" customHeight="1" x14ac:dyDescent="0.3">
      <c r="S73" s="110"/>
      <c r="AO73" s="108">
        <v>22</v>
      </c>
      <c r="AP73" s="109">
        <f t="shared" ca="1" si="34"/>
        <v>5.7137699380319507E-10</v>
      </c>
      <c r="AQ73" s="105"/>
    </row>
    <row r="74" spans="19:43" ht="15" customHeight="1" x14ac:dyDescent="0.3">
      <c r="S74" s="110"/>
      <c r="AO74" s="108">
        <v>23</v>
      </c>
      <c r="AP74" s="109">
        <f t="shared" ca="1" si="34"/>
        <v>6.4047171924248834E-10</v>
      </c>
      <c r="AQ74" s="105"/>
    </row>
    <row r="75" spans="19:43" ht="15" customHeight="1" x14ac:dyDescent="0.3">
      <c r="S75" s="110"/>
      <c r="AO75" s="108">
        <v>24</v>
      </c>
      <c r="AP75" s="109">
        <f t="shared" ca="1" si="34"/>
        <v>7.1792184074306541E-10</v>
      </c>
      <c r="AQ75" s="105"/>
    </row>
    <row r="76" spans="19:43" ht="15" customHeight="1" x14ac:dyDescent="0.3">
      <c r="S76" s="110"/>
      <c r="AO76" s="108">
        <v>25</v>
      </c>
      <c r="AP76" s="109">
        <f t="shared" ca="1" si="34"/>
        <v>8.0473774864799558E-10</v>
      </c>
      <c r="AQ76" s="105"/>
    </row>
    <row r="77" spans="19:43" x14ac:dyDescent="0.3">
      <c r="S77" s="110"/>
    </row>
    <row r="78" spans="19:43" x14ac:dyDescent="0.3">
      <c r="S78" s="110"/>
    </row>
    <row r="79" spans="19:43" x14ac:dyDescent="0.3">
      <c r="S79" s="110"/>
    </row>
    <row r="80" spans="19:43" x14ac:dyDescent="0.3">
      <c r="S80" s="110"/>
    </row>
    <row r="81" spans="19:19" x14ac:dyDescent="0.3">
      <c r="S81" s="110"/>
    </row>
    <row r="82" spans="19:19" x14ac:dyDescent="0.3">
      <c r="S82" s="110"/>
    </row>
    <row r="83" spans="19:19" x14ac:dyDescent="0.3">
      <c r="S83" s="110"/>
    </row>
    <row r="84" spans="19:19" x14ac:dyDescent="0.3">
      <c r="S84" s="110"/>
    </row>
    <row r="85" spans="19:19" x14ac:dyDescent="0.3">
      <c r="S85" s="110"/>
    </row>
    <row r="86" spans="19:19" x14ac:dyDescent="0.3">
      <c r="S86" s="110"/>
    </row>
    <row r="87" spans="19:19" x14ac:dyDescent="0.3">
      <c r="S87" s="110"/>
    </row>
    <row r="88" spans="19:19" x14ac:dyDescent="0.3">
      <c r="S88" s="110"/>
    </row>
    <row r="89" spans="19:19" x14ac:dyDescent="0.3">
      <c r="S89" s="110"/>
    </row>
  </sheetData>
  <mergeCells count="18">
    <mergeCell ref="A1:N1"/>
    <mergeCell ref="B4:D4"/>
    <mergeCell ref="B5:D5"/>
    <mergeCell ref="B6:D6"/>
    <mergeCell ref="B7:D7"/>
    <mergeCell ref="B8:D8"/>
    <mergeCell ref="B9:D9"/>
    <mergeCell ref="B11:D11"/>
    <mergeCell ref="B12:D12"/>
    <mergeCell ref="B13:D13"/>
    <mergeCell ref="B19:S19"/>
    <mergeCell ref="AE19:AH19"/>
    <mergeCell ref="AQ52:AQ56"/>
    <mergeCell ref="B14:D14"/>
    <mergeCell ref="B15:D15"/>
    <mergeCell ref="B16:D16"/>
    <mergeCell ref="B17:D17"/>
    <mergeCell ref="B18:D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Proposal Inputs</vt:lpstr>
      <vt:lpstr>Environmental Benefits</vt:lpstr>
      <vt:lpstr>Buyout values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 Aaron</cp:lastModifiedBy>
  <cp:revision>0</cp:revision>
  <dcterms:created xsi:type="dcterms:W3CDTF">2026-08-05T05:31:39Z</dcterms:created>
  <dcterms:modified xsi:type="dcterms:W3CDTF">2026-08-10T12:23:56Z</dcterms:modified>
  <dc:language>en-US</dc:language>
</cp:coreProperties>
</file>